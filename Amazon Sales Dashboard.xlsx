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drawings/drawing8.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116C9F2E-BF2F-457E-B919-44E8A7EC6BC1}" xr6:coauthVersionLast="47" xr6:coauthVersionMax="47" xr10:uidLastSave="{00000000-0000-0000-0000-000000000000}"/>
  <bookViews>
    <workbookView xWindow="-108" yWindow="-108" windowWidth="23256" windowHeight="12456" activeTab="9" xr2:uid="{2D382B47-F5FC-443D-A9E7-E5FADE889073}"/>
  </bookViews>
  <sheets>
    <sheet name="Detail1" sheetId="8" r:id="rId1"/>
    <sheet name="Sheet2" sheetId="2" r:id="rId2"/>
    <sheet name="Sheet3" sheetId="3" r:id="rId3"/>
    <sheet name="Sheet4" sheetId="4" r:id="rId4"/>
    <sheet name="Sheet5" sheetId="5" r:id="rId5"/>
    <sheet name="Sheet6" sheetId="6" r:id="rId6"/>
    <sheet name="Sheet8" sheetId="9" r:id="rId7"/>
    <sheet name="Sheet11" sheetId="17" r:id="rId8"/>
    <sheet name="Sheet1" sheetId="1" r:id="rId9"/>
    <sheet name="final_result" sheetId="15" r:id="rId10"/>
  </sheets>
  <definedNames>
    <definedName name="amazon_sale_dashboard">#REF!</definedName>
    <definedName name="Slicer_Category">#N/A</definedName>
    <definedName name="Slicer_Category1">#N/A</definedName>
    <definedName name="Slicer_Months__OrderDate">#N/A</definedName>
    <definedName name="Slicer_OrderStatus">#N/A</definedName>
    <definedName name="Slicer_PaymentMethod1">#N/A</definedName>
  </definedNames>
  <calcPr calcId="191029"/>
  <pivotCaches>
    <pivotCache cacheId="31" r:id="rId11"/>
    <pivotCache cacheId="32"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7" i="15" l="1"/>
  <c r="J7" i="15"/>
  <c r="T7" i="15" s="1"/>
  <c r="E7" i="15"/>
</calcChain>
</file>

<file path=xl/sharedStrings.xml><?xml version="1.0" encoding="utf-8"?>
<sst xmlns="http://schemas.openxmlformats.org/spreadsheetml/2006/main" count="22119" uniqueCount="2350">
  <si>
    <t>OrderID</t>
  </si>
  <si>
    <t>OrderDate</t>
  </si>
  <si>
    <t>CustomerID</t>
  </si>
  <si>
    <t>CustomerName</t>
  </si>
  <si>
    <t>ProductName</t>
  </si>
  <si>
    <t>Category</t>
  </si>
  <si>
    <t>Brand</t>
  </si>
  <si>
    <t>Quantity</t>
  </si>
  <si>
    <t>UnitPrice</t>
  </si>
  <si>
    <t>Discount</t>
  </si>
  <si>
    <t>Tax</t>
  </si>
  <si>
    <t>ShippingCost</t>
  </si>
  <si>
    <t>TotalAmount</t>
  </si>
  <si>
    <t>PaymentMethod</t>
  </si>
  <si>
    <t>OrderStatus</t>
  </si>
  <si>
    <t>City</t>
  </si>
  <si>
    <t>State</t>
  </si>
  <si>
    <t>Country</t>
  </si>
  <si>
    <t>ORD0000001</t>
  </si>
  <si>
    <t>CUST001504</t>
  </si>
  <si>
    <t>Vihaan Sharma</t>
  </si>
  <si>
    <t>Drone Mini</t>
  </si>
  <si>
    <t>Books</t>
  </si>
  <si>
    <t>BrightLux</t>
  </si>
  <si>
    <t>Debit Card</t>
  </si>
  <si>
    <t>Delivered</t>
  </si>
  <si>
    <t>Washington</t>
  </si>
  <si>
    <t>DC</t>
  </si>
  <si>
    <t>India</t>
  </si>
  <si>
    <t>ORD0000002</t>
  </si>
  <si>
    <t>CUST000178</t>
  </si>
  <si>
    <t>Pooja Kumari</t>
  </si>
  <si>
    <t>Microphone</t>
  </si>
  <si>
    <t>Home &amp; Kitchen</t>
  </si>
  <si>
    <t>UrbanStyle</t>
  </si>
  <si>
    <t>Amazon Pay</t>
  </si>
  <si>
    <t>Fort Worth</t>
  </si>
  <si>
    <t>TX</t>
  </si>
  <si>
    <t>United States</t>
  </si>
  <si>
    <t>ORD0000003</t>
  </si>
  <si>
    <t>CUST047516</t>
  </si>
  <si>
    <t>Sneha Singh</t>
  </si>
  <si>
    <t>Power Bank 20000mAh</t>
  </si>
  <si>
    <t>Clothing</t>
  </si>
  <si>
    <t>Austin</t>
  </si>
  <si>
    <t>ORD0000004</t>
  </si>
  <si>
    <t>CUST030059</t>
  </si>
  <si>
    <t>Vihaan Reddy</t>
  </si>
  <si>
    <t>Webcam Full HD</t>
  </si>
  <si>
    <t>Zenith</t>
  </si>
  <si>
    <t>Cash on Delivery</t>
  </si>
  <si>
    <t>Charlotte</t>
  </si>
  <si>
    <t>NC</t>
  </si>
  <si>
    <t>ORD0000005</t>
  </si>
  <si>
    <t>CUST048677</t>
  </si>
  <si>
    <t>Aditya Kapoor</t>
  </si>
  <si>
    <t>T-Shirt</t>
  </si>
  <si>
    <t>KiddoFun</t>
  </si>
  <si>
    <t>Credit Card</t>
  </si>
  <si>
    <t>Cancelled</t>
  </si>
  <si>
    <t>San Antonio</t>
  </si>
  <si>
    <t>Canada</t>
  </si>
  <si>
    <t>ORD0000006</t>
  </si>
  <si>
    <t>CUST042705</t>
  </si>
  <si>
    <t>Karan Sharma</t>
  </si>
  <si>
    <t>Cookware Set</t>
  </si>
  <si>
    <t>ReadMore</t>
  </si>
  <si>
    <t>UPI</t>
  </si>
  <si>
    <t>Los Angeles</t>
  </si>
  <si>
    <t>CA</t>
  </si>
  <si>
    <t>ORD0000007</t>
  </si>
  <si>
    <t>CUST037667</t>
  </si>
  <si>
    <t>Aarav Verma</t>
  </si>
  <si>
    <t>Dress Shirt</t>
  </si>
  <si>
    <t>Chicago</t>
  </si>
  <si>
    <t>IL</t>
  </si>
  <si>
    <t>Australia</t>
  </si>
  <si>
    <t>ORD0000008</t>
  </si>
  <si>
    <t>CUST031165</t>
  </si>
  <si>
    <t>Rohit Kumar</t>
  </si>
  <si>
    <t>Jeans</t>
  </si>
  <si>
    <t>Toys &amp; Games</t>
  </si>
  <si>
    <t>Pending</t>
  </si>
  <si>
    <t>Denver</t>
  </si>
  <si>
    <t>CO</t>
  </si>
  <si>
    <t>ORD0000009</t>
  </si>
  <si>
    <t>CUST026965</t>
  </si>
  <si>
    <t>Aman Kapoor</t>
  </si>
  <si>
    <t>Kids Toy Car</t>
  </si>
  <si>
    <t>Sports &amp; Outdoors</t>
  </si>
  <si>
    <t>Apex</t>
  </si>
  <si>
    <t>ORD0000010</t>
  </si>
  <si>
    <t>CUST029472</t>
  </si>
  <si>
    <t>Aarav Reddy</t>
  </si>
  <si>
    <t>Wireless Earbuds</t>
  </si>
  <si>
    <t>Houston</t>
  </si>
  <si>
    <t>ORD0000011</t>
  </si>
  <si>
    <t>CUST005346</t>
  </si>
  <si>
    <t>Rohit Reddy</t>
  </si>
  <si>
    <t>Car Charger</t>
  </si>
  <si>
    <t>HomeEase</t>
  </si>
  <si>
    <t>Jacksonville</t>
  </si>
  <si>
    <t>FL</t>
  </si>
  <si>
    <t>ORD0000012</t>
  </si>
  <si>
    <t>CUST046088</t>
  </si>
  <si>
    <t>Karan Kumar</t>
  </si>
  <si>
    <t>Projector Mini</t>
  </si>
  <si>
    <t>Shipped</t>
  </si>
  <si>
    <t>ORD0000013</t>
  </si>
  <si>
    <t>CUST026576</t>
  </si>
  <si>
    <t>Simran Kapoor</t>
  </si>
  <si>
    <t>Vacuum Cleaner</t>
  </si>
  <si>
    <t>New York</t>
  </si>
  <si>
    <t>NY</t>
  </si>
  <si>
    <t>ORD0000014</t>
  </si>
  <si>
    <t>CUST006051</t>
  </si>
  <si>
    <t>Pooja Sharma</t>
  </si>
  <si>
    <t>Seattle</t>
  </si>
  <si>
    <t>WA</t>
  </si>
  <si>
    <t>ORD0000015</t>
  </si>
  <si>
    <t>CUST025111</t>
  </si>
  <si>
    <t>Mohit Mehta</t>
  </si>
  <si>
    <t>Desk Plant</t>
  </si>
  <si>
    <t>Net Banking</t>
  </si>
  <si>
    <t>Indianapolis</t>
  </si>
  <si>
    <t>IN</t>
  </si>
  <si>
    <t>ORD0000016</t>
  </si>
  <si>
    <t>CUST040957</t>
  </si>
  <si>
    <t>Anjali Gupta</t>
  </si>
  <si>
    <t>ORD0000017</t>
  </si>
  <si>
    <t>CUST000735</t>
  </si>
  <si>
    <t>Arjun Kumar</t>
  </si>
  <si>
    <t>Running Shoes</t>
  </si>
  <si>
    <t>Philadelphia</t>
  </si>
  <si>
    <t>PA</t>
  </si>
  <si>
    <t>ORD0000018</t>
  </si>
  <si>
    <t>CUST038237</t>
  </si>
  <si>
    <t>Anjali Verma</t>
  </si>
  <si>
    <t>Graphic Tablet</t>
  </si>
  <si>
    <t>ORD0000019</t>
  </si>
  <si>
    <t>CUST040211</t>
  </si>
  <si>
    <t>Aditya Mehta</t>
  </si>
  <si>
    <t>Puzzle 1000pc</t>
  </si>
  <si>
    <t>Electronics</t>
  </si>
  <si>
    <t>Returned</t>
  </si>
  <si>
    <t>Phoenix</t>
  </si>
  <si>
    <t>AZ</t>
  </si>
  <si>
    <t>ORD0000020</t>
  </si>
  <si>
    <t>CUST046893</t>
  </si>
  <si>
    <t>Vihaan Patel</t>
  </si>
  <si>
    <t>San Diego</t>
  </si>
  <si>
    <t>ORD0000021</t>
  </si>
  <si>
    <t>CUST041508</t>
  </si>
  <si>
    <t>Vikas Kapoor</t>
  </si>
  <si>
    <t>ORD0000022</t>
  </si>
  <si>
    <t>CUST048817</t>
  </si>
  <si>
    <t>Smartwatch</t>
  </si>
  <si>
    <t>ORD0000023</t>
  </si>
  <si>
    <t>CUST048828</t>
  </si>
  <si>
    <t>Simran Reddy</t>
  </si>
  <si>
    <t>Smartphone Case</t>
  </si>
  <si>
    <t>ORD0000024</t>
  </si>
  <si>
    <t>CUST033080</t>
  </si>
  <si>
    <t>Vihaan Mehta</t>
  </si>
  <si>
    <t>Backpack</t>
  </si>
  <si>
    <t>Dallas</t>
  </si>
  <si>
    <t>ORD0000025</t>
  </si>
  <si>
    <t>CUST041929</t>
  </si>
  <si>
    <t>Aditya Reddy</t>
  </si>
  <si>
    <t>4K Monitor</t>
  </si>
  <si>
    <t>ORD0000026</t>
  </si>
  <si>
    <t>CUST035043</t>
  </si>
  <si>
    <t>Priya Kapoor</t>
  </si>
  <si>
    <t>Columbus</t>
  </si>
  <si>
    <t>OH</t>
  </si>
  <si>
    <t>ORD0000027</t>
  </si>
  <si>
    <t>CUST043777</t>
  </si>
  <si>
    <t>Smart Light Bulb</t>
  </si>
  <si>
    <t>San Francisco</t>
  </si>
  <si>
    <t>ORD0000028</t>
  </si>
  <si>
    <t>CUST037985</t>
  </si>
  <si>
    <t>Rohit Verma</t>
  </si>
  <si>
    <t>LED Desk Lamp</t>
  </si>
  <si>
    <t>United Kingdom</t>
  </si>
  <si>
    <t>ORD0000029</t>
  </si>
  <si>
    <t>CUST000721</t>
  </si>
  <si>
    <t>Vivaan Kumar</t>
  </si>
  <si>
    <t>ORD0000030</t>
  </si>
  <si>
    <t>CUST008013</t>
  </si>
  <si>
    <t>Priya Verma</t>
  </si>
  <si>
    <t>Phone Tripod</t>
  </si>
  <si>
    <t>ORD0000031</t>
  </si>
  <si>
    <t>CUST018693</t>
  </si>
  <si>
    <t>Sneha Verma</t>
  </si>
  <si>
    <t>ORD0000032</t>
  </si>
  <si>
    <t>CUST044089</t>
  </si>
  <si>
    <t>Sunita Gupta</t>
  </si>
  <si>
    <t>Gaming Mouse</t>
  </si>
  <si>
    <t>FitLife</t>
  </si>
  <si>
    <t>ORD0000033</t>
  </si>
  <si>
    <t>CUST011946</t>
  </si>
  <si>
    <t>Simran Patel</t>
  </si>
  <si>
    <t>Memory Card 128GB</t>
  </si>
  <si>
    <t>CoreTech</t>
  </si>
  <si>
    <t>ORD0000034</t>
  </si>
  <si>
    <t>CUST049225</t>
  </si>
  <si>
    <t>Mohit Patel</t>
  </si>
  <si>
    <t>ORD0000035</t>
  </si>
  <si>
    <t>CUST048518</t>
  </si>
  <si>
    <t>Vikas Kumar</t>
  </si>
  <si>
    <t>ORD0000036</t>
  </si>
  <si>
    <t>CUST047957</t>
  </si>
  <si>
    <t>Pooja Verma</t>
  </si>
  <si>
    <t>ORD0000037</t>
  </si>
  <si>
    <t>CUST043577</t>
  </si>
  <si>
    <t>Kabir Singh</t>
  </si>
  <si>
    <t>Board Game</t>
  </si>
  <si>
    <t>ORD0000038</t>
  </si>
  <si>
    <t>CUST029566</t>
  </si>
  <si>
    <t>Sahil Kumar</t>
  </si>
  <si>
    <t>Instant Pot</t>
  </si>
  <si>
    <t>ORD0000039</t>
  </si>
  <si>
    <t>CUST004199</t>
  </si>
  <si>
    <t>Mohit Joshi</t>
  </si>
  <si>
    <t>ORD0000040</t>
  </si>
  <si>
    <t>CUST042096</t>
  </si>
  <si>
    <t>ORD0000041</t>
  </si>
  <si>
    <t>CUST017203</t>
  </si>
  <si>
    <t>ORD0000042</t>
  </si>
  <si>
    <t>CUST046853</t>
  </si>
  <si>
    <t>Anjali Sharma</t>
  </si>
  <si>
    <t>Water Bottle</t>
  </si>
  <si>
    <t>ORD0000043</t>
  </si>
  <si>
    <t>CUST020850</t>
  </si>
  <si>
    <t>Sneha Sharma</t>
  </si>
  <si>
    <t>ORD0000044</t>
  </si>
  <si>
    <t>CUST039744</t>
  </si>
  <si>
    <t>Anjali Mehta</t>
  </si>
  <si>
    <t>ORD0000045</t>
  </si>
  <si>
    <t>CUST017434</t>
  </si>
  <si>
    <t>ORD0000046</t>
  </si>
  <si>
    <t>CUST045893</t>
  </si>
  <si>
    <t>Rohit Kapoor</t>
  </si>
  <si>
    <t>Portable SSD 1TB</t>
  </si>
  <si>
    <t>ORD0000047</t>
  </si>
  <si>
    <t>CUST033696</t>
  </si>
  <si>
    <t>Anjali Kumar</t>
  </si>
  <si>
    <t>ORD0000048</t>
  </si>
  <si>
    <t>CUST032008</t>
  </si>
  <si>
    <t>Neha Mehta</t>
  </si>
  <si>
    <t>ORD0000049</t>
  </si>
  <si>
    <t>CUST011785</t>
  </si>
  <si>
    <t>Simran Singh</t>
  </si>
  <si>
    <t>ORD0000050</t>
  </si>
  <si>
    <t>CUST001846</t>
  </si>
  <si>
    <t>Pooja Singh</t>
  </si>
  <si>
    <t>Noise Cancelling Headphones</t>
  </si>
  <si>
    <t>San Jose</t>
  </si>
  <si>
    <t>ORD0000051</t>
  </si>
  <si>
    <t>CUST048348</t>
  </si>
  <si>
    <t>Sneha Reddy</t>
  </si>
  <si>
    <t>ORD0000052</t>
  </si>
  <si>
    <t>CUST027076</t>
  </si>
  <si>
    <t>Sahil Gupta</t>
  </si>
  <si>
    <t>ORD0000053</t>
  </si>
  <si>
    <t>CUST012995</t>
  </si>
  <si>
    <t>Ritika Mehta</t>
  </si>
  <si>
    <t>Novel Bestseller</t>
  </si>
  <si>
    <t>NexPro</t>
  </si>
  <si>
    <t>ORD0000054</t>
  </si>
  <si>
    <t>CUST030633</t>
  </si>
  <si>
    <t>Children's Book</t>
  </si>
  <si>
    <t>ORD0000055</t>
  </si>
  <si>
    <t>CUST013482</t>
  </si>
  <si>
    <t>ORD0000056</t>
  </si>
  <si>
    <t>CUST030091</t>
  </si>
  <si>
    <t>Arjun Reddy</t>
  </si>
  <si>
    <t>ORD0000057</t>
  </si>
  <si>
    <t>CUST031856</t>
  </si>
  <si>
    <t>Neha Verma</t>
  </si>
  <si>
    <t>ORD0000058</t>
  </si>
  <si>
    <t>CUST040925</t>
  </si>
  <si>
    <t>Vivaan Verma</t>
  </si>
  <si>
    <t>Laptop Sleeve</t>
  </si>
  <si>
    <t>ORD0000059</t>
  </si>
  <si>
    <t>CUST031615</t>
  </si>
  <si>
    <t>Arjun Singh</t>
  </si>
  <si>
    <t>Air Fryer</t>
  </si>
  <si>
    <t>ORD0000060</t>
  </si>
  <si>
    <t>CUST018312</t>
  </si>
  <si>
    <t>Karan Kapoor</t>
  </si>
  <si>
    <t>Winter Jacket</t>
  </si>
  <si>
    <t>ORD0000061</t>
  </si>
  <si>
    <t>CUST017070</t>
  </si>
  <si>
    <t>Router</t>
  </si>
  <si>
    <t>ORD0000062</t>
  </si>
  <si>
    <t>CUST026591</t>
  </si>
  <si>
    <t>Sunita Kapoor</t>
  </si>
  <si>
    <t>ORD0000063</t>
  </si>
  <si>
    <t>CUST006724</t>
  </si>
  <si>
    <t>USB-C Charger</t>
  </si>
  <si>
    <t>ORD0000064</t>
  </si>
  <si>
    <t>CUST026258</t>
  </si>
  <si>
    <t>Pooja Reddy</t>
  </si>
  <si>
    <t>ORD0000065</t>
  </si>
  <si>
    <t>CUST000139</t>
  </si>
  <si>
    <t>ORD0000066</t>
  </si>
  <si>
    <t>CUST038107</t>
  </si>
  <si>
    <t>ORD0000067</t>
  </si>
  <si>
    <t>CUST015763</t>
  </si>
  <si>
    <t>ORD0000068</t>
  </si>
  <si>
    <t>CUST041458</t>
  </si>
  <si>
    <t>Priya Mehta</t>
  </si>
  <si>
    <t>ORD0000069</t>
  </si>
  <si>
    <t>CUST033817</t>
  </si>
  <si>
    <t>ORD0000070</t>
  </si>
  <si>
    <t>CUST041366</t>
  </si>
  <si>
    <t>Aarav Gupta</t>
  </si>
  <si>
    <t>ORD0000071</t>
  </si>
  <si>
    <t>CUST005372</t>
  </si>
  <si>
    <t>Aman Singh</t>
  </si>
  <si>
    <t>ORD0000072</t>
  </si>
  <si>
    <t>CUST018135</t>
  </si>
  <si>
    <t>Aman Verma</t>
  </si>
  <si>
    <t>Fitness Band</t>
  </si>
  <si>
    <t>ORD0000073</t>
  </si>
  <si>
    <t>CUST043454</t>
  </si>
  <si>
    <t>Priya Reddy</t>
  </si>
  <si>
    <t>ORD0000074</t>
  </si>
  <si>
    <t>CUST007050</t>
  </si>
  <si>
    <t>Kabir Kumar</t>
  </si>
  <si>
    <t>ORD0000075</t>
  </si>
  <si>
    <t>CUST027444</t>
  </si>
  <si>
    <t>Arjun Patel</t>
  </si>
  <si>
    <t>ORD0000076</t>
  </si>
  <si>
    <t>CUST042061</t>
  </si>
  <si>
    <t>Mohit Reddy</t>
  </si>
  <si>
    <t>ORD0000077</t>
  </si>
  <si>
    <t>CUST016864</t>
  </si>
  <si>
    <t>Aman Sharma</t>
  </si>
  <si>
    <t>Sunglasses</t>
  </si>
  <si>
    <t>ORD0000078</t>
  </si>
  <si>
    <t>CUST028956</t>
  </si>
  <si>
    <t>Kabir Patel</t>
  </si>
  <si>
    <t>ORD0000079</t>
  </si>
  <si>
    <t>CUST001710</t>
  </si>
  <si>
    <t>Neha Sharma</t>
  </si>
  <si>
    <t>ORD0000080</t>
  </si>
  <si>
    <t>CUST023701</t>
  </si>
  <si>
    <t>Mechanical Keyboard</t>
  </si>
  <si>
    <t>ORD0000081</t>
  </si>
  <si>
    <t>CUST005263</t>
  </si>
  <si>
    <t>Priya Kumar</t>
  </si>
  <si>
    <t>ORD0000082</t>
  </si>
  <si>
    <t>CUST014979</t>
  </si>
  <si>
    <t>ORD0000083</t>
  </si>
  <si>
    <t>CUST038225</t>
  </si>
  <si>
    <t>Ritika Verma</t>
  </si>
  <si>
    <t>ORD0000084</t>
  </si>
  <si>
    <t>CUST028769</t>
  </si>
  <si>
    <t>Aditya Joshi</t>
  </si>
  <si>
    <t>ORD0000085</t>
  </si>
  <si>
    <t>CUST049605</t>
  </si>
  <si>
    <t>ORD0000086</t>
  </si>
  <si>
    <t>CUST015624</t>
  </si>
  <si>
    <t>Electric Kettle</t>
  </si>
  <si>
    <t>ORD0000087</t>
  </si>
  <si>
    <t>CUST026490</t>
  </si>
  <si>
    <t>Neha Reddy</t>
  </si>
  <si>
    <t>ORD0000088</t>
  </si>
  <si>
    <t>CUST001370</t>
  </si>
  <si>
    <t>Mohit Gupta</t>
  </si>
  <si>
    <t>ORD0000089</t>
  </si>
  <si>
    <t>CUST043394</t>
  </si>
  <si>
    <t>ORD0000090</t>
  </si>
  <si>
    <t>CUST039077</t>
  </si>
  <si>
    <t>ORD0000091</t>
  </si>
  <si>
    <t>CUST007564</t>
  </si>
  <si>
    <t>ORD0000092</t>
  </si>
  <si>
    <t>CUST033299</t>
  </si>
  <si>
    <t>ORD0000093</t>
  </si>
  <si>
    <t>CUST039707</t>
  </si>
  <si>
    <t>Vikas Joshi</t>
  </si>
  <si>
    <t>ORD0000094</t>
  </si>
  <si>
    <t>CUST043458</t>
  </si>
  <si>
    <t>Aman Joshi</t>
  </si>
  <si>
    <t>Wireless Charger</t>
  </si>
  <si>
    <t>ORD0000095</t>
  </si>
  <si>
    <t>CUST001552</t>
  </si>
  <si>
    <t>Vihaan Kumar</t>
  </si>
  <si>
    <t>ORD0000096</t>
  </si>
  <si>
    <t>CUST039426</t>
  </si>
  <si>
    <t>HDMI Cable 2m</t>
  </si>
  <si>
    <t>ORD0000097</t>
  </si>
  <si>
    <t>CUST049557</t>
  </si>
  <si>
    <t>ORD0000098</t>
  </si>
  <si>
    <t>CUST033386</t>
  </si>
  <si>
    <t>Ritika Reddy</t>
  </si>
  <si>
    <t>ORD0000099</t>
  </si>
  <si>
    <t>CUST018449</t>
  </si>
  <si>
    <t>Sneha Kapoor</t>
  </si>
  <si>
    <t>ORD0000100</t>
  </si>
  <si>
    <t>CUST012492</t>
  </si>
  <si>
    <t>ORD0000101</t>
  </si>
  <si>
    <t>CUST015367</t>
  </si>
  <si>
    <t>Aditya Sharma</t>
  </si>
  <si>
    <t>ORD0000102</t>
  </si>
  <si>
    <t>CUST009929</t>
  </si>
  <si>
    <t>ORD0000103</t>
  </si>
  <si>
    <t>CUST030254</t>
  </si>
  <si>
    <t>Vivaan Patel</t>
  </si>
  <si>
    <t>ORD0000104</t>
  </si>
  <si>
    <t>CUST041994</t>
  </si>
  <si>
    <t>ORD0000105</t>
  </si>
  <si>
    <t>CUST034561</t>
  </si>
  <si>
    <t>Sneha Gupta</t>
  </si>
  <si>
    <t>ORD0000106</t>
  </si>
  <si>
    <t>CUST028297</t>
  </si>
  <si>
    <t>Neha Kumar</t>
  </si>
  <si>
    <t>ORD0000107</t>
  </si>
  <si>
    <t>CUST002237</t>
  </si>
  <si>
    <t>Sahil Singh</t>
  </si>
  <si>
    <t>ORD0000108</t>
  </si>
  <si>
    <t>CUST007600</t>
  </si>
  <si>
    <t>Ritika Kapoor</t>
  </si>
  <si>
    <t>Desk Organizer</t>
  </si>
  <si>
    <t>ORD0000109</t>
  </si>
  <si>
    <t>CUST010526</t>
  </si>
  <si>
    <t>ORD0000110</t>
  </si>
  <si>
    <t>CUST024904</t>
  </si>
  <si>
    <t>ORD0000111</t>
  </si>
  <si>
    <t>CUST033463</t>
  </si>
  <si>
    <t>ORD0000112</t>
  </si>
  <si>
    <t>CUST015883</t>
  </si>
  <si>
    <t>ORD0000113</t>
  </si>
  <si>
    <t>CUST035697</t>
  </si>
  <si>
    <t>Vikas Mehta</t>
  </si>
  <si>
    <t>Yoga Mat</t>
  </si>
  <si>
    <t>ORD0000114</t>
  </si>
  <si>
    <t>CUST010676</t>
  </si>
  <si>
    <t>Karan Joshi</t>
  </si>
  <si>
    <t>ORD0000115</t>
  </si>
  <si>
    <t>CUST037855</t>
  </si>
  <si>
    <t>ORD0000116</t>
  </si>
  <si>
    <t>CUST013803</t>
  </si>
  <si>
    <t>Vivaan Mehta</t>
  </si>
  <si>
    <t>ORD0000117</t>
  </si>
  <si>
    <t>CUST041291</t>
  </si>
  <si>
    <t>ORD0000118</t>
  </si>
  <si>
    <t>CUST025351</t>
  </si>
  <si>
    <t>Sneha Kumar</t>
  </si>
  <si>
    <t>ORD0000119</t>
  </si>
  <si>
    <t>CUST023478</t>
  </si>
  <si>
    <t>ORD0000120</t>
  </si>
  <si>
    <t>CUST029783</t>
  </si>
  <si>
    <t>ORD0000121</t>
  </si>
  <si>
    <t>CUST001056</t>
  </si>
  <si>
    <t>Karan Singh</t>
  </si>
  <si>
    <t>ORD0000122</t>
  </si>
  <si>
    <t>CUST026942</t>
  </si>
  <si>
    <t>Pooja Joshi</t>
  </si>
  <si>
    <t>ORD0000123</t>
  </si>
  <si>
    <t>CUST027791</t>
  </si>
  <si>
    <t>ORD0000124</t>
  </si>
  <si>
    <t>CUST019410</t>
  </si>
  <si>
    <t>ORD0000125</t>
  </si>
  <si>
    <t>CUST009308</t>
  </si>
  <si>
    <t>ORD0000126</t>
  </si>
  <si>
    <t>CUST004285</t>
  </si>
  <si>
    <t>Sahil Sharma</t>
  </si>
  <si>
    <t>ORD0000127</t>
  </si>
  <si>
    <t>CUST037966</t>
  </si>
  <si>
    <t>Aditya Kumar</t>
  </si>
  <si>
    <t>ORD0000128</t>
  </si>
  <si>
    <t>CUST025421</t>
  </si>
  <si>
    <t>ORD0000129</t>
  </si>
  <si>
    <t>CUST039352</t>
  </si>
  <si>
    <t>Neha Joshi</t>
  </si>
  <si>
    <t>ORD0000130</t>
  </si>
  <si>
    <t>CUST032886</t>
  </si>
  <si>
    <t>Rohit Mehta</t>
  </si>
  <si>
    <t>ORD0000131</t>
  </si>
  <si>
    <t>CUST014360</t>
  </si>
  <si>
    <t>Vivaan Singh</t>
  </si>
  <si>
    <t>ORD0000132</t>
  </si>
  <si>
    <t>CUST007708</t>
  </si>
  <si>
    <t>Sunita Sharma</t>
  </si>
  <si>
    <t>ORD0000133</t>
  </si>
  <si>
    <t>CUST013067</t>
  </si>
  <si>
    <t>ORD0000134</t>
  </si>
  <si>
    <t>CUST046835</t>
  </si>
  <si>
    <t>Simran Gupta</t>
  </si>
  <si>
    <t>ORD0000135</t>
  </si>
  <si>
    <t>CUST011228</t>
  </si>
  <si>
    <t>Karan Reddy</t>
  </si>
  <si>
    <t>ORD0000136</t>
  </si>
  <si>
    <t>CUST046806</t>
  </si>
  <si>
    <t>Neha Singh</t>
  </si>
  <si>
    <t>Action Camera</t>
  </si>
  <si>
    <t>ORD0000137</t>
  </si>
  <si>
    <t>CUST014033</t>
  </si>
  <si>
    <t>Rohit Gupta</t>
  </si>
  <si>
    <t>ORD0000138</t>
  </si>
  <si>
    <t>CUST040569</t>
  </si>
  <si>
    <t>Rohit Sharma</t>
  </si>
  <si>
    <t>ORD0000139</t>
  </si>
  <si>
    <t>CUST041172</t>
  </si>
  <si>
    <t>ORD0000140</t>
  </si>
  <si>
    <t>CUST001601</t>
  </si>
  <si>
    <t>ORD0000141</t>
  </si>
  <si>
    <t>CUST046508</t>
  </si>
  <si>
    <t>Vivaan Sharma</t>
  </si>
  <si>
    <t>ORD0000142</t>
  </si>
  <si>
    <t>CUST027712</t>
  </si>
  <si>
    <t>Ritika Joshi</t>
  </si>
  <si>
    <t>ORD0000143</t>
  </si>
  <si>
    <t>CUST029705</t>
  </si>
  <si>
    <t>Aman Reddy</t>
  </si>
  <si>
    <t>ORD0000144</t>
  </si>
  <si>
    <t>CUST008224</t>
  </si>
  <si>
    <t>Mohit Sharma</t>
  </si>
  <si>
    <t>ORD0000145</t>
  </si>
  <si>
    <t>CUST046362</t>
  </si>
  <si>
    <t>ORD0000146</t>
  </si>
  <si>
    <t>CUST005950</t>
  </si>
  <si>
    <t>Mohit Verma</t>
  </si>
  <si>
    <t>ORD0000147</t>
  </si>
  <si>
    <t>CUST037485</t>
  </si>
  <si>
    <t>Kabir Verma</t>
  </si>
  <si>
    <t>ORD0000148</t>
  </si>
  <si>
    <t>CUST027818</t>
  </si>
  <si>
    <t>Sneha Mehta</t>
  </si>
  <si>
    <t>ORD0000149</t>
  </si>
  <si>
    <t>CUST048304</t>
  </si>
  <si>
    <t>Vihaan Kapoor</t>
  </si>
  <si>
    <t>ORD0000150</t>
  </si>
  <si>
    <t>CUST033670</t>
  </si>
  <si>
    <t>ORD0000151</t>
  </si>
  <si>
    <t>CUST038774</t>
  </si>
  <si>
    <t>Kabir Sharma</t>
  </si>
  <si>
    <t>ORD0000152</t>
  </si>
  <si>
    <t>CUST026880</t>
  </si>
  <si>
    <t>ORD0000153</t>
  </si>
  <si>
    <t>CUST044830</t>
  </si>
  <si>
    <t>ORD0000154</t>
  </si>
  <si>
    <t>CUST040087</t>
  </si>
  <si>
    <t>ORD0000155</t>
  </si>
  <si>
    <t>CUST026727</t>
  </si>
  <si>
    <t>ORD0000156</t>
  </si>
  <si>
    <t>CUST011225</t>
  </si>
  <si>
    <t>Rohit Patel</t>
  </si>
  <si>
    <t>ORD0000157</t>
  </si>
  <si>
    <t>CUST031885</t>
  </si>
  <si>
    <t>ORD0000158</t>
  </si>
  <si>
    <t>CUST016025</t>
  </si>
  <si>
    <t>Sunita Singh</t>
  </si>
  <si>
    <t>ORD0000159</t>
  </si>
  <si>
    <t>CUST036113</t>
  </si>
  <si>
    <t>Priya Joshi</t>
  </si>
  <si>
    <t>ORD0000160</t>
  </si>
  <si>
    <t>CUST043628</t>
  </si>
  <si>
    <t>ORD0000161</t>
  </si>
  <si>
    <t>CUST020507</t>
  </si>
  <si>
    <t>Aarav Joshi</t>
  </si>
  <si>
    <t>ORD0000162</t>
  </si>
  <si>
    <t>CUST012422</t>
  </si>
  <si>
    <t>Kabir Kapoor</t>
  </si>
  <si>
    <t>ORD0000163</t>
  </si>
  <si>
    <t>CUST009807</t>
  </si>
  <si>
    <t>Vihaan Verma</t>
  </si>
  <si>
    <t>ORD0000164</t>
  </si>
  <si>
    <t>CUST048496</t>
  </si>
  <si>
    <t>ORD0000165</t>
  </si>
  <si>
    <t>CUST029400</t>
  </si>
  <si>
    <t>Aman Gupta</t>
  </si>
  <si>
    <t>ORD0000166</t>
  </si>
  <si>
    <t>CUST004811</t>
  </si>
  <si>
    <t>External HDD 2TB</t>
  </si>
  <si>
    <t>ORD0000167</t>
  </si>
  <si>
    <t>CUST008669</t>
  </si>
  <si>
    <t>ORD0000168</t>
  </si>
  <si>
    <t>CUST035784</t>
  </si>
  <si>
    <t>Vikas Gupta</t>
  </si>
  <si>
    <t>ORD0000169</t>
  </si>
  <si>
    <t>CUST027512</t>
  </si>
  <si>
    <t>ORD0000170</t>
  </si>
  <si>
    <t>CUST023754</t>
  </si>
  <si>
    <t>ORD0000171</t>
  </si>
  <si>
    <t>CUST011579</t>
  </si>
  <si>
    <t>Kabir Reddy</t>
  </si>
  <si>
    <t>ORD0000172</t>
  </si>
  <si>
    <t>CUST003082</t>
  </si>
  <si>
    <t>ORD0000173</t>
  </si>
  <si>
    <t>CUST040193</t>
  </si>
  <si>
    <t>ORD0000174</t>
  </si>
  <si>
    <t>CUST014061</t>
  </si>
  <si>
    <t>Arjun Gupta</t>
  </si>
  <si>
    <t>Office Chair</t>
  </si>
  <si>
    <t>ORD0000175</t>
  </si>
  <si>
    <t>CUST028212</t>
  </si>
  <si>
    <t>ORD0000176</t>
  </si>
  <si>
    <t>CUST010967</t>
  </si>
  <si>
    <t>ORD0000177</t>
  </si>
  <si>
    <t>CUST022674</t>
  </si>
  <si>
    <t>Pooja Gupta</t>
  </si>
  <si>
    <t>ORD0000178</t>
  </si>
  <si>
    <t>CUST048983</t>
  </si>
  <si>
    <t>ORD0000179</t>
  </si>
  <si>
    <t>CUST016133</t>
  </si>
  <si>
    <t>ORD0000180</t>
  </si>
  <si>
    <t>CUST044928</t>
  </si>
  <si>
    <t>ORD0000181</t>
  </si>
  <si>
    <t>CUST024560</t>
  </si>
  <si>
    <t>Neha Gupta</t>
  </si>
  <si>
    <t>ORD0000182</t>
  </si>
  <si>
    <t>CUST019814</t>
  </si>
  <si>
    <t>ORD0000183</t>
  </si>
  <si>
    <t>CUST015222</t>
  </si>
  <si>
    <t>Karan Gupta</t>
  </si>
  <si>
    <t>ORD0000184</t>
  </si>
  <si>
    <t>CUST015733</t>
  </si>
  <si>
    <t>ORD0000185</t>
  </si>
  <si>
    <t>CUST023655</t>
  </si>
  <si>
    <t>Anjali Singh</t>
  </si>
  <si>
    <t>ORD0000186</t>
  </si>
  <si>
    <t>CUST021204</t>
  </si>
  <si>
    <t>ORD0000187</t>
  </si>
  <si>
    <t>CUST016221</t>
  </si>
  <si>
    <t>ORD0000188</t>
  </si>
  <si>
    <t>CUST036912</t>
  </si>
  <si>
    <t>ORD0000189</t>
  </si>
  <si>
    <t>CUST043111</t>
  </si>
  <si>
    <t>ORD0000190</t>
  </si>
  <si>
    <t>CUST034016</t>
  </si>
  <si>
    <t>Aditya Singh</t>
  </si>
  <si>
    <t>ORD0000191</t>
  </si>
  <si>
    <t>CUST040748</t>
  </si>
  <si>
    <t>ORD0000192</t>
  </si>
  <si>
    <t>CUST004207</t>
  </si>
  <si>
    <t>ORD0000193</t>
  </si>
  <si>
    <t>CUST041282</t>
  </si>
  <si>
    <t>ORD0000194</t>
  </si>
  <si>
    <t>CUST044672</t>
  </si>
  <si>
    <t>ORD0000195</t>
  </si>
  <si>
    <t>CUST004859</t>
  </si>
  <si>
    <t>Vivaan Gupta</t>
  </si>
  <si>
    <t>ORD0000196</t>
  </si>
  <si>
    <t>CUST007154</t>
  </si>
  <si>
    <t>Vikas Sharma</t>
  </si>
  <si>
    <t>ORD0000197</t>
  </si>
  <si>
    <t>CUST035993</t>
  </si>
  <si>
    <t>ORD0000198</t>
  </si>
  <si>
    <t>CUST027565</t>
  </si>
  <si>
    <t>ORD0000199</t>
  </si>
  <si>
    <t>CUST010007</t>
  </si>
  <si>
    <t>Vikas Reddy</t>
  </si>
  <si>
    <t>ORD0000200</t>
  </si>
  <si>
    <t>CUST022505</t>
  </si>
  <si>
    <t>ORD0000201</t>
  </si>
  <si>
    <t>CUST007081</t>
  </si>
  <si>
    <t>ORD0000202</t>
  </si>
  <si>
    <t>CUST042401</t>
  </si>
  <si>
    <t>Mohit Singh</t>
  </si>
  <si>
    <t>ORD0000203</t>
  </si>
  <si>
    <t>CUST040825</t>
  </si>
  <si>
    <t>ORD0000204</t>
  </si>
  <si>
    <t>CUST022812</t>
  </si>
  <si>
    <t>ORD0000205</t>
  </si>
  <si>
    <t>CUST029448</t>
  </si>
  <si>
    <t>ORD0000206</t>
  </si>
  <si>
    <t>CUST025313</t>
  </si>
  <si>
    <t>ORD0000207</t>
  </si>
  <si>
    <t>CUST029438</t>
  </si>
  <si>
    <t>ORD0000208</t>
  </si>
  <si>
    <t>CUST001181</t>
  </si>
  <si>
    <t>Vivaan Joshi</t>
  </si>
  <si>
    <t>ORD0000209</t>
  </si>
  <si>
    <t>CUST017264</t>
  </si>
  <si>
    <t>ORD0000210</t>
  </si>
  <si>
    <t>CUST039608</t>
  </si>
  <si>
    <t>ORD0000211</t>
  </si>
  <si>
    <t>CUST019237</t>
  </si>
  <si>
    <t>ORD0000212</t>
  </si>
  <si>
    <t>CUST035731</t>
  </si>
  <si>
    <t>ORD0000213</t>
  </si>
  <si>
    <t>CUST012280</t>
  </si>
  <si>
    <t>ORD0000214</t>
  </si>
  <si>
    <t>CUST003507</t>
  </si>
  <si>
    <t>ORD0000215</t>
  </si>
  <si>
    <t>CUST023893</t>
  </si>
  <si>
    <t>Aditya Gupta</t>
  </si>
  <si>
    <t>Bluetooth Speaker</t>
  </si>
  <si>
    <t>ORD0000216</t>
  </si>
  <si>
    <t>CUST008440</t>
  </si>
  <si>
    <t>ORD0000217</t>
  </si>
  <si>
    <t>CUST019363</t>
  </si>
  <si>
    <t>Sunita Reddy</t>
  </si>
  <si>
    <t>ORD0000218</t>
  </si>
  <si>
    <t>CUST034266</t>
  </si>
  <si>
    <t>ORD0000219</t>
  </si>
  <si>
    <t>CUST026742</t>
  </si>
  <si>
    <t>Vihaan Gupta</t>
  </si>
  <si>
    <t>ORD0000220</t>
  </si>
  <si>
    <t>CUST020572</t>
  </si>
  <si>
    <t>Mohit Kapoor</t>
  </si>
  <si>
    <t>ORD0000221</t>
  </si>
  <si>
    <t>CUST012246</t>
  </si>
  <si>
    <t>ORD0000222</t>
  </si>
  <si>
    <t>CUST021328</t>
  </si>
  <si>
    <t>ORD0000223</t>
  </si>
  <si>
    <t>CUST017932</t>
  </si>
  <si>
    <t>Karan Patel</t>
  </si>
  <si>
    <t>ORD0000224</t>
  </si>
  <si>
    <t>CUST030236</t>
  </si>
  <si>
    <t>ORD0000225</t>
  </si>
  <si>
    <t>CUST018375</t>
  </si>
  <si>
    <t>ORD0000226</t>
  </si>
  <si>
    <t>CUST031704</t>
  </si>
  <si>
    <t>ORD0000227</t>
  </si>
  <si>
    <t>CUST003147</t>
  </si>
  <si>
    <t>Ritika Kumar</t>
  </si>
  <si>
    <t>ORD0000228</t>
  </si>
  <si>
    <t>CUST014415</t>
  </si>
  <si>
    <t>ORD0000229</t>
  </si>
  <si>
    <t>CUST001747</t>
  </si>
  <si>
    <t>ORD0000230</t>
  </si>
  <si>
    <t>CUST031415</t>
  </si>
  <si>
    <t>ORD0000231</t>
  </si>
  <si>
    <t>CUST048207</t>
  </si>
  <si>
    <t>ORD0000232</t>
  </si>
  <si>
    <t>CUST019145</t>
  </si>
  <si>
    <t>Karan Verma</t>
  </si>
  <si>
    <t>ORD0000233</t>
  </si>
  <si>
    <t>CUST028877</t>
  </si>
  <si>
    <t>Anjali Kapoor</t>
  </si>
  <si>
    <t>ORD0000234</t>
  </si>
  <si>
    <t>CUST006962</t>
  </si>
  <si>
    <t>ORD0000235</t>
  </si>
  <si>
    <t>CUST037405</t>
  </si>
  <si>
    <t>ORD0000236</t>
  </si>
  <si>
    <t>CUST025402</t>
  </si>
  <si>
    <t>ORD0000237</t>
  </si>
  <si>
    <t>CUST029978</t>
  </si>
  <si>
    <t>ORD0000238</t>
  </si>
  <si>
    <t>CUST049175</t>
  </si>
  <si>
    <t>ORD0000239</t>
  </si>
  <si>
    <t>CUST028805</t>
  </si>
  <si>
    <t>ORD0000240</t>
  </si>
  <si>
    <t>CUST024635</t>
  </si>
  <si>
    <t>Karan Mehta</t>
  </si>
  <si>
    <t>ORD0000241</t>
  </si>
  <si>
    <t>CUST034448</t>
  </si>
  <si>
    <t>ORD0000242</t>
  </si>
  <si>
    <t>CUST040551</t>
  </si>
  <si>
    <t>Ritika Gupta</t>
  </si>
  <si>
    <t>ORD0000243</t>
  </si>
  <si>
    <t>CUST034398</t>
  </si>
  <si>
    <t>ORD0000244</t>
  </si>
  <si>
    <t>CUST042901</t>
  </si>
  <si>
    <t>ORD0000245</t>
  </si>
  <si>
    <t>CUST029445</t>
  </si>
  <si>
    <t>ORD0000246</t>
  </si>
  <si>
    <t>CUST039354</t>
  </si>
  <si>
    <t>ORD0000247</t>
  </si>
  <si>
    <t>CUST047386</t>
  </si>
  <si>
    <t>ORD0000248</t>
  </si>
  <si>
    <t>CUST014192</t>
  </si>
  <si>
    <t>Simran Joshi</t>
  </si>
  <si>
    <t>ORD0000249</t>
  </si>
  <si>
    <t>CUST027774</t>
  </si>
  <si>
    <t>Simran Kumar</t>
  </si>
  <si>
    <t>ORD0000250</t>
  </si>
  <si>
    <t>CUST045022</t>
  </si>
  <si>
    <t>ORD0000251</t>
  </si>
  <si>
    <t>CUST015291</t>
  </si>
  <si>
    <t>ORD0000252</t>
  </si>
  <si>
    <t>CUST019542</t>
  </si>
  <si>
    <t>ORD0000253</t>
  </si>
  <si>
    <t>CUST005818</t>
  </si>
  <si>
    <t>ORD0000254</t>
  </si>
  <si>
    <t>CUST017005</t>
  </si>
  <si>
    <t>ORD0000255</t>
  </si>
  <si>
    <t>CUST004652</t>
  </si>
  <si>
    <t>ORD0000256</t>
  </si>
  <si>
    <t>CUST000716</t>
  </si>
  <si>
    <t>Rohit Singh</t>
  </si>
  <si>
    <t>ORD0000257</t>
  </si>
  <si>
    <t>CUST008298</t>
  </si>
  <si>
    <t>Aarav Sharma</t>
  </si>
  <si>
    <t>ORD0000258</t>
  </si>
  <si>
    <t>CUST047323</t>
  </si>
  <si>
    <t>Sneha Joshi</t>
  </si>
  <si>
    <t>ORD0000259</t>
  </si>
  <si>
    <t>CUST024173</t>
  </si>
  <si>
    <t>ORD0000260</t>
  </si>
  <si>
    <t>CUST039468</t>
  </si>
  <si>
    <t>Simran Mehta</t>
  </si>
  <si>
    <t>ORD0000261</t>
  </si>
  <si>
    <t>CUST017113</t>
  </si>
  <si>
    <t>ORD0000262</t>
  </si>
  <si>
    <t>CUST012593</t>
  </si>
  <si>
    <t>Sunita Joshi</t>
  </si>
  <si>
    <t>ORD0000263</t>
  </si>
  <si>
    <t>CUST043099</t>
  </si>
  <si>
    <t>Sunita Kumar</t>
  </si>
  <si>
    <t>ORD0000264</t>
  </si>
  <si>
    <t>CUST002544</t>
  </si>
  <si>
    <t>Arjun Sharma</t>
  </si>
  <si>
    <t>ORD0000265</t>
  </si>
  <si>
    <t>CUST003153</t>
  </si>
  <si>
    <t>ORD0000266</t>
  </si>
  <si>
    <t>CUST049849</t>
  </si>
  <si>
    <t>ORD0000267</t>
  </si>
  <si>
    <t>CUST020614</t>
  </si>
  <si>
    <t>ORD0000268</t>
  </si>
  <si>
    <t>CUST008599</t>
  </si>
  <si>
    <t>Vivaan Reddy</t>
  </si>
  <si>
    <t>ORD0000269</t>
  </si>
  <si>
    <t>CUST031058</t>
  </si>
  <si>
    <t>ORD0000270</t>
  </si>
  <si>
    <t>CUST032555</t>
  </si>
  <si>
    <t>ORD0000271</t>
  </si>
  <si>
    <t>CUST023550</t>
  </si>
  <si>
    <t>ORD0000272</t>
  </si>
  <si>
    <t>CUST042540</t>
  </si>
  <si>
    <t>Sahil Kapoor</t>
  </si>
  <si>
    <t>ORD0000273</t>
  </si>
  <si>
    <t>CUST044529</t>
  </si>
  <si>
    <t>Anjali Joshi</t>
  </si>
  <si>
    <t>ORD0000274</t>
  </si>
  <si>
    <t>CUST037954</t>
  </si>
  <si>
    <t>ORD0000275</t>
  </si>
  <si>
    <t>CUST035117</t>
  </si>
  <si>
    <t>ORD0000276</t>
  </si>
  <si>
    <t>CUST046611</t>
  </si>
  <si>
    <t>ORD0000277</t>
  </si>
  <si>
    <t>CUST044280</t>
  </si>
  <si>
    <t>ORD0000278</t>
  </si>
  <si>
    <t>CUST033284</t>
  </si>
  <si>
    <t>Pooja Kumar</t>
  </si>
  <si>
    <t>ORD0000279</t>
  </si>
  <si>
    <t>CUST036194</t>
  </si>
  <si>
    <t>ORD0000280</t>
  </si>
  <si>
    <t>CUST023648</t>
  </si>
  <si>
    <t>ORD0000281</t>
  </si>
  <si>
    <t>CUST001746</t>
  </si>
  <si>
    <t>ORD0000282</t>
  </si>
  <si>
    <t>CUST034953</t>
  </si>
  <si>
    <t>ORD0000283</t>
  </si>
  <si>
    <t>CUST036197</t>
  </si>
  <si>
    <t>ORD0000284</t>
  </si>
  <si>
    <t>CUST001072</t>
  </si>
  <si>
    <t>Anjali Patel</t>
  </si>
  <si>
    <t>ORD0000285</t>
  </si>
  <si>
    <t>CUST001188</t>
  </si>
  <si>
    <t>Sahil Verma</t>
  </si>
  <si>
    <t>ORD0000286</t>
  </si>
  <si>
    <t>CUST016884</t>
  </si>
  <si>
    <t>ORD0000287</t>
  </si>
  <si>
    <t>CUST043203</t>
  </si>
  <si>
    <t>ORD0000288</t>
  </si>
  <si>
    <t>CUST012562</t>
  </si>
  <si>
    <t>ORD0000289</t>
  </si>
  <si>
    <t>CUST030504</t>
  </si>
  <si>
    <t>ORD0000290</t>
  </si>
  <si>
    <t>CUST002550</t>
  </si>
  <si>
    <t>ORD0000291</t>
  </si>
  <si>
    <t>CUST006082</t>
  </si>
  <si>
    <t>Sahil Joshi</t>
  </si>
  <si>
    <t>ORD0000292</t>
  </si>
  <si>
    <t>CUST007148</t>
  </si>
  <si>
    <t>ORD0000293</t>
  </si>
  <si>
    <t>CUST014657</t>
  </si>
  <si>
    <t>ORD0000294</t>
  </si>
  <si>
    <t>CUST049112</t>
  </si>
  <si>
    <t>ORD0000295</t>
  </si>
  <si>
    <t>CUST029592</t>
  </si>
  <si>
    <t>Aarav Kapoor</t>
  </si>
  <si>
    <t>ORD0000296</t>
  </si>
  <si>
    <t>CUST014517</t>
  </si>
  <si>
    <t>ORD0000297</t>
  </si>
  <si>
    <t>CUST005746</t>
  </si>
  <si>
    <t>Aarav Patel</t>
  </si>
  <si>
    <t>ORD0000298</t>
  </si>
  <si>
    <t>CUST027050</t>
  </si>
  <si>
    <t>ORD0000299</t>
  </si>
  <si>
    <t>CUST017205</t>
  </si>
  <si>
    <t>ORD0000300</t>
  </si>
  <si>
    <t>CUST009192</t>
  </si>
  <si>
    <t>ORD0000301</t>
  </si>
  <si>
    <t>CUST008766</t>
  </si>
  <si>
    <t>ORD0000302</t>
  </si>
  <si>
    <t>CUST001699</t>
  </si>
  <si>
    <t>ORD0000303</t>
  </si>
  <si>
    <t>CUST019427</t>
  </si>
  <si>
    <t>ORD0000304</t>
  </si>
  <si>
    <t>CUST003257</t>
  </si>
  <si>
    <t>Aarav Mehta</t>
  </si>
  <si>
    <t>ORD0000305</t>
  </si>
  <si>
    <t>CUST002188</t>
  </si>
  <si>
    <t>ORD0000306</t>
  </si>
  <si>
    <t>CUST001779</t>
  </si>
  <si>
    <t>ORD0000307</t>
  </si>
  <si>
    <t>CUST032817</t>
  </si>
  <si>
    <t>Arjun Kapoor</t>
  </si>
  <si>
    <t>ORD0000308</t>
  </si>
  <si>
    <t>CUST034263</t>
  </si>
  <si>
    <t>ORD0000309</t>
  </si>
  <si>
    <t>CUST047601</t>
  </si>
  <si>
    <t>ORD0000310</t>
  </si>
  <si>
    <t>CUST042134</t>
  </si>
  <si>
    <t>Ritika Sharma</t>
  </si>
  <si>
    <t>ORD0000311</t>
  </si>
  <si>
    <t>CUST013914</t>
  </si>
  <si>
    <t>ORD0000312</t>
  </si>
  <si>
    <t>CUST039236</t>
  </si>
  <si>
    <t>Arjun Joshi</t>
  </si>
  <si>
    <t>ORD0000313</t>
  </si>
  <si>
    <t>CUST025927</t>
  </si>
  <si>
    <t>ORD0000314</t>
  </si>
  <si>
    <t>CUST000351</t>
  </si>
  <si>
    <t>Pooja Mehta</t>
  </si>
  <si>
    <t>ORD0000315</t>
  </si>
  <si>
    <t>CUST034695</t>
  </si>
  <si>
    <t>ORD0000316</t>
  </si>
  <si>
    <t>CUST034686</t>
  </si>
  <si>
    <t>ORD0000317</t>
  </si>
  <si>
    <t>CUST028950</t>
  </si>
  <si>
    <t>ORD0000318</t>
  </si>
  <si>
    <t>CUST012442</t>
  </si>
  <si>
    <t>ORD0000319</t>
  </si>
  <si>
    <t>CUST038779</t>
  </si>
  <si>
    <t>ORD0000320</t>
  </si>
  <si>
    <t>CUST012713</t>
  </si>
  <si>
    <t>ORD0000321</t>
  </si>
  <si>
    <t>CUST020344</t>
  </si>
  <si>
    <t>ORD0000322</t>
  </si>
  <si>
    <t>CUST005270</t>
  </si>
  <si>
    <t>ORD0000323</t>
  </si>
  <si>
    <t>CUST023625</t>
  </si>
  <si>
    <t>ORD0000324</t>
  </si>
  <si>
    <t>CUST010542</t>
  </si>
  <si>
    <t>Aarav Kumar</t>
  </si>
  <si>
    <t>ORD0000325</t>
  </si>
  <si>
    <t>CUST021562</t>
  </si>
  <si>
    <t>ORD0000326</t>
  </si>
  <si>
    <t>CUST031261</t>
  </si>
  <si>
    <t>ORD0000327</t>
  </si>
  <si>
    <t>CUST024288</t>
  </si>
  <si>
    <t>ORD0000328</t>
  </si>
  <si>
    <t>CUST015925</t>
  </si>
  <si>
    <t>ORD0000329</t>
  </si>
  <si>
    <t>CUST011154</t>
  </si>
  <si>
    <t>ORD0000330</t>
  </si>
  <si>
    <t>CUST023840</t>
  </si>
  <si>
    <t>ORD0000331</t>
  </si>
  <si>
    <t>CUST004105</t>
  </si>
  <si>
    <t>Vikas Singh</t>
  </si>
  <si>
    <t>ORD0000332</t>
  </si>
  <si>
    <t>CUST034270</t>
  </si>
  <si>
    <t>ORD0000333</t>
  </si>
  <si>
    <t>CUST031200</t>
  </si>
  <si>
    <t>Vihaan Singh</t>
  </si>
  <si>
    <t>ORD0000334</t>
  </si>
  <si>
    <t>CUST002824</t>
  </si>
  <si>
    <t>ORD0000335</t>
  </si>
  <si>
    <t>CUST046488</t>
  </si>
  <si>
    <t>ORD0000336</t>
  </si>
  <si>
    <t>CUST000068</t>
  </si>
  <si>
    <t>ORD0000337</t>
  </si>
  <si>
    <t>CUST025908</t>
  </si>
  <si>
    <t>Sunita Mehta</t>
  </si>
  <si>
    <t>ORD0000338</t>
  </si>
  <si>
    <t>CUST012590</t>
  </si>
  <si>
    <t>ORD0000339</t>
  </si>
  <si>
    <t>CUST043281</t>
  </si>
  <si>
    <t>ORD0000340</t>
  </si>
  <si>
    <t>CUST023061</t>
  </si>
  <si>
    <t>ORD0000341</t>
  </si>
  <si>
    <t>CUST024329</t>
  </si>
  <si>
    <t>ORD0000342</t>
  </si>
  <si>
    <t>CUST049916</t>
  </si>
  <si>
    <t>ORD0000343</t>
  </si>
  <si>
    <t>CUST005573</t>
  </si>
  <si>
    <t>ORD0000344</t>
  </si>
  <si>
    <t>CUST041438</t>
  </si>
  <si>
    <t>ORD0000345</t>
  </si>
  <si>
    <t>CUST027366</t>
  </si>
  <si>
    <t>ORD0000346</t>
  </si>
  <si>
    <t>CUST013256</t>
  </si>
  <si>
    <t>ORD0000347</t>
  </si>
  <si>
    <t>CUST037808</t>
  </si>
  <si>
    <t>ORD0000348</t>
  </si>
  <si>
    <t>CUST012334</t>
  </si>
  <si>
    <t>ORD0000349</t>
  </si>
  <si>
    <t>CUST046689</t>
  </si>
  <si>
    <t>ORD0000350</t>
  </si>
  <si>
    <t>CUST017408</t>
  </si>
  <si>
    <t>Arjun Mehta</t>
  </si>
  <si>
    <t>ORD0000351</t>
  </si>
  <si>
    <t>CUST014960</t>
  </si>
  <si>
    <t>ORD0000352</t>
  </si>
  <si>
    <t>CUST010085</t>
  </si>
  <si>
    <t>Pooja Kapoor</t>
  </si>
  <si>
    <t>ORD0000353</t>
  </si>
  <si>
    <t>CUST021961</t>
  </si>
  <si>
    <t>ORD0000354</t>
  </si>
  <si>
    <t>CUST029119</t>
  </si>
  <si>
    <t>ORD0000355</t>
  </si>
  <si>
    <t>CUST037507</t>
  </si>
  <si>
    <t>ORD0000356</t>
  </si>
  <si>
    <t>CUST006815</t>
  </si>
  <si>
    <t>ORD0000357</t>
  </si>
  <si>
    <t>CUST039527</t>
  </si>
  <si>
    <t>ORD0000358</t>
  </si>
  <si>
    <t>CUST021127</t>
  </si>
  <si>
    <t>ORD0000359</t>
  </si>
  <si>
    <t>CUST034300</t>
  </si>
  <si>
    <t>ORD0000360</t>
  </si>
  <si>
    <t>CUST021084</t>
  </si>
  <si>
    <t>Kabir Mehta</t>
  </si>
  <si>
    <t>ORD0000361</t>
  </si>
  <si>
    <t>CUST005859</t>
  </si>
  <si>
    <t>ORD0000362</t>
  </si>
  <si>
    <t>CUST049807</t>
  </si>
  <si>
    <t>Neha Patel</t>
  </si>
  <si>
    <t>ORD0000363</t>
  </si>
  <si>
    <t>CUST041735</t>
  </si>
  <si>
    <t>ORD0000364</t>
  </si>
  <si>
    <t>CUST014691</t>
  </si>
  <si>
    <t>ORD0000365</t>
  </si>
  <si>
    <t>CUST028272</t>
  </si>
  <si>
    <t>Pooja Patel</t>
  </si>
  <si>
    <t>ORD0000366</t>
  </si>
  <si>
    <t>CUST006623</t>
  </si>
  <si>
    <t>ORD0000367</t>
  </si>
  <si>
    <t>CUST038822</t>
  </si>
  <si>
    <t>ORD0000368</t>
  </si>
  <si>
    <t>CUST005512</t>
  </si>
  <si>
    <t>ORD0000369</t>
  </si>
  <si>
    <t>CUST011448</t>
  </si>
  <si>
    <t>ORD0000370</t>
  </si>
  <si>
    <t>CUST045030</t>
  </si>
  <si>
    <t>ORD0000371</t>
  </si>
  <si>
    <t>CUST040400</t>
  </si>
  <si>
    <t>ORD0000372</t>
  </si>
  <si>
    <t>CUST008802</t>
  </si>
  <si>
    <t>ORD0000373</t>
  </si>
  <si>
    <t>CUST049537</t>
  </si>
  <si>
    <t>ORD0000374</t>
  </si>
  <si>
    <t>CUST047635</t>
  </si>
  <si>
    <t>ORD0000375</t>
  </si>
  <si>
    <t>CUST014084</t>
  </si>
  <si>
    <t>ORD0000376</t>
  </si>
  <si>
    <t>CUST000192</t>
  </si>
  <si>
    <t>ORD0000377</t>
  </si>
  <si>
    <t>CUST040930</t>
  </si>
  <si>
    <t>ORD0000378</t>
  </si>
  <si>
    <t>CUST006786</t>
  </si>
  <si>
    <t>ORD0000379</t>
  </si>
  <si>
    <t>CUST044236</t>
  </si>
  <si>
    <t>Sahil Reddy</t>
  </si>
  <si>
    <t>ORD0000380</t>
  </si>
  <si>
    <t>CUST035512</t>
  </si>
  <si>
    <t>ORD0000381</t>
  </si>
  <si>
    <t>CUST044533</t>
  </si>
  <si>
    <t>Sahil Patel</t>
  </si>
  <si>
    <t>ORD0000382</t>
  </si>
  <si>
    <t>CUST015840</t>
  </si>
  <si>
    <t>ORD0000383</t>
  </si>
  <si>
    <t>CUST012211</t>
  </si>
  <si>
    <t>ORD0000384</t>
  </si>
  <si>
    <t>CUST041119</t>
  </si>
  <si>
    <t>ORD0000385</t>
  </si>
  <si>
    <t>CUST019770</t>
  </si>
  <si>
    <t>ORD0000386</t>
  </si>
  <si>
    <t>CUST014244</t>
  </si>
  <si>
    <t>ORD0000387</t>
  </si>
  <si>
    <t>CUST039927</t>
  </si>
  <si>
    <t>ORD0000388</t>
  </si>
  <si>
    <t>CUST018394</t>
  </si>
  <si>
    <t>ORD0000389</t>
  </si>
  <si>
    <t>CUST030988</t>
  </si>
  <si>
    <t>ORD0000390</t>
  </si>
  <si>
    <t>CUST019107</t>
  </si>
  <si>
    <t>ORD0000391</t>
  </si>
  <si>
    <t>CUST037892</t>
  </si>
  <si>
    <t>Kabir Gupta</t>
  </si>
  <si>
    <t>ORD0000392</t>
  </si>
  <si>
    <t>CUST023324</t>
  </si>
  <si>
    <t>ORD0000393</t>
  </si>
  <si>
    <t>CUST030181</t>
  </si>
  <si>
    <t>ORD0000394</t>
  </si>
  <si>
    <t>CUST013642</t>
  </si>
  <si>
    <t>ORD0000395</t>
  </si>
  <si>
    <t>CUST009422</t>
  </si>
  <si>
    <t>Priya Sharma</t>
  </si>
  <si>
    <t>ORD0000396</t>
  </si>
  <si>
    <t>CUST048133</t>
  </si>
  <si>
    <t>ORD0000397</t>
  </si>
  <si>
    <t>CUST036618</t>
  </si>
  <si>
    <t>ORD0000398</t>
  </si>
  <si>
    <t>CUST011417</t>
  </si>
  <si>
    <t>ORD0000399</t>
  </si>
  <si>
    <t>CUST034217</t>
  </si>
  <si>
    <t>Priya Singh</t>
  </si>
  <si>
    <t>ORD0000400</t>
  </si>
  <si>
    <t>CUST033773</t>
  </si>
  <si>
    <t>ORD0000401</t>
  </si>
  <si>
    <t>CUST009971</t>
  </si>
  <si>
    <t>ORD0000402</t>
  </si>
  <si>
    <t>CUST016596</t>
  </si>
  <si>
    <t>ORD0000403</t>
  </si>
  <si>
    <t>CUST022332</t>
  </si>
  <si>
    <t>ORD0000404</t>
  </si>
  <si>
    <t>CUST027937</t>
  </si>
  <si>
    <t>ORD0000405</t>
  </si>
  <si>
    <t>CUST030345</t>
  </si>
  <si>
    <t>ORD0000406</t>
  </si>
  <si>
    <t>CUST008370</t>
  </si>
  <si>
    <t>ORD0000407</t>
  </si>
  <si>
    <t>CUST044703</t>
  </si>
  <si>
    <t>ORD0000408</t>
  </si>
  <si>
    <t>CUST030597</t>
  </si>
  <si>
    <t>ORD0000409</t>
  </si>
  <si>
    <t>CUST045230</t>
  </si>
  <si>
    <t>ORD0000410</t>
  </si>
  <si>
    <t>CUST022493</t>
  </si>
  <si>
    <t>ORD0000411</t>
  </si>
  <si>
    <t>CUST045811</t>
  </si>
  <si>
    <t>ORD0000412</t>
  </si>
  <si>
    <t>CUST041583</t>
  </si>
  <si>
    <t>ORD0000413</t>
  </si>
  <si>
    <t>CUST049796</t>
  </si>
  <si>
    <t>ORD0000414</t>
  </si>
  <si>
    <t>CUST000031</t>
  </si>
  <si>
    <t>ORD0000415</t>
  </si>
  <si>
    <t>CUST008196</t>
  </si>
  <si>
    <t>ORD0000416</t>
  </si>
  <si>
    <t>CUST013179</t>
  </si>
  <si>
    <t>ORD0000417</t>
  </si>
  <si>
    <t>CUST000018</t>
  </si>
  <si>
    <t>ORD0000418</t>
  </si>
  <si>
    <t>CUST025938</t>
  </si>
  <si>
    <t>ORD0000419</t>
  </si>
  <si>
    <t>CUST037096</t>
  </si>
  <si>
    <t>ORD0000420</t>
  </si>
  <si>
    <t>CUST001826</t>
  </si>
  <si>
    <t>ORD0000421</t>
  </si>
  <si>
    <t>CUST024624</t>
  </si>
  <si>
    <t>ORD0000422</t>
  </si>
  <si>
    <t>CUST006207</t>
  </si>
  <si>
    <t>ORD0000423</t>
  </si>
  <si>
    <t>CUST019546</t>
  </si>
  <si>
    <t>ORD0000424</t>
  </si>
  <si>
    <t>CUST034816</t>
  </si>
  <si>
    <t>ORD0000425</t>
  </si>
  <si>
    <t>CUST007767</t>
  </si>
  <si>
    <t>Mohit Kumar</t>
  </si>
  <si>
    <t>ORD0000426</t>
  </si>
  <si>
    <t>CUST024865</t>
  </si>
  <si>
    <t>ORD0000427</t>
  </si>
  <si>
    <t>CUST007249</t>
  </si>
  <si>
    <t>ORD0000428</t>
  </si>
  <si>
    <t>CUST024746</t>
  </si>
  <si>
    <t>ORD0000429</t>
  </si>
  <si>
    <t>CUST016032</t>
  </si>
  <si>
    <t>ORD0000430</t>
  </si>
  <si>
    <t>CUST028771</t>
  </si>
  <si>
    <t>ORD0000431</t>
  </si>
  <si>
    <t>CUST023411</t>
  </si>
  <si>
    <t>ORD0000432</t>
  </si>
  <si>
    <t>CUST040414</t>
  </si>
  <si>
    <t>Priya Gupta</t>
  </si>
  <si>
    <t>ORD0000433</t>
  </si>
  <si>
    <t>CUST018575</t>
  </si>
  <si>
    <t>Simran Verma</t>
  </si>
  <si>
    <t>ORD0000434</t>
  </si>
  <si>
    <t>CUST039284</t>
  </si>
  <si>
    <t>ORD0000435</t>
  </si>
  <si>
    <t>CUST044787</t>
  </si>
  <si>
    <t>ORD0000436</t>
  </si>
  <si>
    <t>CUST013895</t>
  </si>
  <si>
    <t>ORD0000437</t>
  </si>
  <si>
    <t>CUST047497</t>
  </si>
  <si>
    <t>ORD0000438</t>
  </si>
  <si>
    <t>CUST032397</t>
  </si>
  <si>
    <t>ORD0000439</t>
  </si>
  <si>
    <t>CUST021608</t>
  </si>
  <si>
    <t>Arjun Verma</t>
  </si>
  <si>
    <t>ORD0000440</t>
  </si>
  <si>
    <t>CUST042130</t>
  </si>
  <si>
    <t>ORD0000441</t>
  </si>
  <si>
    <t>CUST011939</t>
  </si>
  <si>
    <t>ORD0000442</t>
  </si>
  <si>
    <t>CUST032769</t>
  </si>
  <si>
    <t>ORD0000443</t>
  </si>
  <si>
    <t>CUST039640</t>
  </si>
  <si>
    <t>ORD0000444</t>
  </si>
  <si>
    <t>CUST005245</t>
  </si>
  <si>
    <t>ORD0000445</t>
  </si>
  <si>
    <t>CUST029042</t>
  </si>
  <si>
    <t>ORD0000446</t>
  </si>
  <si>
    <t>CUST007204</t>
  </si>
  <si>
    <t>ORD0000447</t>
  </si>
  <si>
    <t>CUST049394</t>
  </si>
  <si>
    <t>ORD0000448</t>
  </si>
  <si>
    <t>CUST032464</t>
  </si>
  <si>
    <t>ORD0000449</t>
  </si>
  <si>
    <t>CUST021458</t>
  </si>
  <si>
    <t>ORD0000450</t>
  </si>
  <si>
    <t>CUST044799</t>
  </si>
  <si>
    <t>ORD0000451</t>
  </si>
  <si>
    <t>CUST011203</t>
  </si>
  <si>
    <t>ORD0000452</t>
  </si>
  <si>
    <t>CUST048942</t>
  </si>
  <si>
    <t>ORD0000453</t>
  </si>
  <si>
    <t>CUST021245</t>
  </si>
  <si>
    <t>ORD0000454</t>
  </si>
  <si>
    <t>CUST021669</t>
  </si>
  <si>
    <t>ORD0000455</t>
  </si>
  <si>
    <t>CUST012286</t>
  </si>
  <si>
    <t>ORD0000456</t>
  </si>
  <si>
    <t>CUST027621</t>
  </si>
  <si>
    <t>ORD0000457</t>
  </si>
  <si>
    <t>CUST049115</t>
  </si>
  <si>
    <t>ORD0000458</t>
  </si>
  <si>
    <t>CUST018220</t>
  </si>
  <si>
    <t>ORD0000459</t>
  </si>
  <si>
    <t>CUST016196</t>
  </si>
  <si>
    <t>ORD0000460</t>
  </si>
  <si>
    <t>CUST005196</t>
  </si>
  <si>
    <t>ORD0000461</t>
  </si>
  <si>
    <t>CUST020302</t>
  </si>
  <si>
    <t>ORD0000462</t>
  </si>
  <si>
    <t>CUST003763</t>
  </si>
  <si>
    <t>ORD0000463</t>
  </si>
  <si>
    <t>CUST015050</t>
  </si>
  <si>
    <t>ORD0000464</t>
  </si>
  <si>
    <t>CUST041737</t>
  </si>
  <si>
    <t>ORD0000465</t>
  </si>
  <si>
    <t>CUST026072</t>
  </si>
  <si>
    <t>ORD0000466</t>
  </si>
  <si>
    <t>CUST049522</t>
  </si>
  <si>
    <t>ORD0000467</t>
  </si>
  <si>
    <t>CUST022865</t>
  </si>
  <si>
    <t>ORD0000468</t>
  </si>
  <si>
    <t>CUST049733</t>
  </si>
  <si>
    <t>ORD0000469</t>
  </si>
  <si>
    <t>CUST031650</t>
  </si>
  <si>
    <t>ORD0000470</t>
  </si>
  <si>
    <t>CUST013377</t>
  </si>
  <si>
    <t>ORD0000471</t>
  </si>
  <si>
    <t>CUST034331</t>
  </si>
  <si>
    <t>ORD0000472</t>
  </si>
  <si>
    <t>CUST013224</t>
  </si>
  <si>
    <t>ORD0000473</t>
  </si>
  <si>
    <t>CUST034822</t>
  </si>
  <si>
    <t>ORD0000474</t>
  </si>
  <si>
    <t>CUST042805</t>
  </si>
  <si>
    <t>ORD0000475</t>
  </si>
  <si>
    <t>CUST008630</t>
  </si>
  <si>
    <t>Aman Patel</t>
  </si>
  <si>
    <t>ORD0000476</t>
  </si>
  <si>
    <t>CUST034759</t>
  </si>
  <si>
    <t>Kabir Joshi</t>
  </si>
  <si>
    <t>ORD0000477</t>
  </si>
  <si>
    <t>CUST036736</t>
  </si>
  <si>
    <t>Simran Sharma</t>
  </si>
  <si>
    <t>ORD0000478</t>
  </si>
  <si>
    <t>CUST036150</t>
  </si>
  <si>
    <t>ORD0000479</t>
  </si>
  <si>
    <t>CUST039074</t>
  </si>
  <si>
    <t>ORD0000480</t>
  </si>
  <si>
    <t>CUST007456</t>
  </si>
  <si>
    <t>ORD0000481</t>
  </si>
  <si>
    <t>CUST016193</t>
  </si>
  <si>
    <t>ORD0000482</t>
  </si>
  <si>
    <t>CUST022270</t>
  </si>
  <si>
    <t>ORD0000483</t>
  </si>
  <si>
    <t>ORD0000484</t>
  </si>
  <si>
    <t>CUST013837</t>
  </si>
  <si>
    <t>ORD0000485</t>
  </si>
  <si>
    <t>CUST045576</t>
  </si>
  <si>
    <t>ORD0000486</t>
  </si>
  <si>
    <t>CUST027038</t>
  </si>
  <si>
    <t>ORD0000487</t>
  </si>
  <si>
    <t>CUST005384</t>
  </si>
  <si>
    <t>ORD0000488</t>
  </si>
  <si>
    <t>CUST049978</t>
  </si>
  <si>
    <t>ORD0000489</t>
  </si>
  <si>
    <t>CUST017276</t>
  </si>
  <si>
    <t>ORD0000490</t>
  </si>
  <si>
    <t>CUST036187</t>
  </si>
  <si>
    <t>ORD0000491</t>
  </si>
  <si>
    <t>CUST028007</t>
  </si>
  <si>
    <t>ORD0000492</t>
  </si>
  <si>
    <t>CUST032599</t>
  </si>
  <si>
    <t>ORD0000493</t>
  </si>
  <si>
    <t>CUST013448</t>
  </si>
  <si>
    <t>ORD0000494</t>
  </si>
  <si>
    <t>CUST033085</t>
  </si>
  <si>
    <t>ORD0000495</t>
  </si>
  <si>
    <t>CUST014799</t>
  </si>
  <si>
    <t>ORD0000496</t>
  </si>
  <si>
    <t>CUST041982</t>
  </si>
  <si>
    <t>ORD0000497</t>
  </si>
  <si>
    <t>CUST017484</t>
  </si>
  <si>
    <t>ORD0000498</t>
  </si>
  <si>
    <t>CUST018852</t>
  </si>
  <si>
    <t>ORD0000499</t>
  </si>
  <si>
    <t>CUST023915</t>
  </si>
  <si>
    <t>Anjali Reddy</t>
  </si>
  <si>
    <t>ORD0000500</t>
  </si>
  <si>
    <t>CUST011710</t>
  </si>
  <si>
    <t>ORD0000501</t>
  </si>
  <si>
    <t>CUST042668</t>
  </si>
  <si>
    <t>ORD0000502</t>
  </si>
  <si>
    <t>CUST010609</t>
  </si>
  <si>
    <t>ORD0000503</t>
  </si>
  <si>
    <t>CUST035476</t>
  </si>
  <si>
    <t>ORD0000504</t>
  </si>
  <si>
    <t>CUST000030</t>
  </si>
  <si>
    <t>ORD0000505</t>
  </si>
  <si>
    <t>CUST000435</t>
  </si>
  <si>
    <t>ORD0000506</t>
  </si>
  <si>
    <t>CUST025772</t>
  </si>
  <si>
    <t>ORD0000507</t>
  </si>
  <si>
    <t>CUST044282</t>
  </si>
  <si>
    <t>Sahil Mehta</t>
  </si>
  <si>
    <t>ORD0000508</t>
  </si>
  <si>
    <t>ORD0000509</t>
  </si>
  <si>
    <t>CUST049199</t>
  </si>
  <si>
    <t>ORD0000510</t>
  </si>
  <si>
    <t>CUST042507</t>
  </si>
  <si>
    <t>ORD0000511</t>
  </si>
  <si>
    <t>CUST019926</t>
  </si>
  <si>
    <t>ORD0000512</t>
  </si>
  <si>
    <t>CUST026026</t>
  </si>
  <si>
    <t>ORD0000513</t>
  </si>
  <si>
    <t>CUST020867</t>
  </si>
  <si>
    <t>ORD0000514</t>
  </si>
  <si>
    <t>CUST013828</t>
  </si>
  <si>
    <t>ORD0000515</t>
  </si>
  <si>
    <t>CUST003555</t>
  </si>
  <si>
    <t>ORD0000516</t>
  </si>
  <si>
    <t>CUST023407</t>
  </si>
  <si>
    <t>ORD0000517</t>
  </si>
  <si>
    <t>CUST010953</t>
  </si>
  <si>
    <t>Ritika Patel</t>
  </si>
  <si>
    <t>ORD0000518</t>
  </si>
  <si>
    <t>CUST010696</t>
  </si>
  <si>
    <t>Vihaan Joshi</t>
  </si>
  <si>
    <t>ORD0000519</t>
  </si>
  <si>
    <t>CUST004258</t>
  </si>
  <si>
    <t>ORD0000520</t>
  </si>
  <si>
    <t>CUST019763</t>
  </si>
  <si>
    <t>ORD0000521</t>
  </si>
  <si>
    <t>CUST027375</t>
  </si>
  <si>
    <t>ORD0000522</t>
  </si>
  <si>
    <t>CUST026015</t>
  </si>
  <si>
    <t>ORD0000523</t>
  </si>
  <si>
    <t>CUST029288</t>
  </si>
  <si>
    <t>ORD0000524</t>
  </si>
  <si>
    <t>CUST033107</t>
  </si>
  <si>
    <t>ORD0000525</t>
  </si>
  <si>
    <t>CUST046117</t>
  </si>
  <si>
    <t>Sunita Verma</t>
  </si>
  <si>
    <t>ORD0000526</t>
  </si>
  <si>
    <t>CUST038971</t>
  </si>
  <si>
    <t>ORD0000527</t>
  </si>
  <si>
    <t>CUST011116</t>
  </si>
  <si>
    <t>Sunita Patel</t>
  </si>
  <si>
    <t>ORD0000528</t>
  </si>
  <si>
    <t>CUST005340</t>
  </si>
  <si>
    <t>ORD0000529</t>
  </si>
  <si>
    <t>CUST002409</t>
  </si>
  <si>
    <t>Vivaan Kapoor</t>
  </si>
  <si>
    <t>ORD0000530</t>
  </si>
  <si>
    <t>CUST011026</t>
  </si>
  <si>
    <t>ORD0000531</t>
  </si>
  <si>
    <t>CUST006169</t>
  </si>
  <si>
    <t>ORD0000532</t>
  </si>
  <si>
    <t>CUST018314</t>
  </si>
  <si>
    <t>ORD0000533</t>
  </si>
  <si>
    <t>CUST018885</t>
  </si>
  <si>
    <t>ORD0000534</t>
  </si>
  <si>
    <t>CUST023759</t>
  </si>
  <si>
    <t>ORD0000535</t>
  </si>
  <si>
    <t>CUST026649</t>
  </si>
  <si>
    <t>ORD0000536</t>
  </si>
  <si>
    <t>CUST009300</t>
  </si>
  <si>
    <t>ORD0000537</t>
  </si>
  <si>
    <t>CUST018680</t>
  </si>
  <si>
    <t>ORD0000538</t>
  </si>
  <si>
    <t>CUST007416</t>
  </si>
  <si>
    <t>Vikas Patel</t>
  </si>
  <si>
    <t>ORD0000539</t>
  </si>
  <si>
    <t>CUST007219</t>
  </si>
  <si>
    <t>ORD0000540</t>
  </si>
  <si>
    <t>CUST007093</t>
  </si>
  <si>
    <t>ORD0000541</t>
  </si>
  <si>
    <t>CUST042506</t>
  </si>
  <si>
    <t>ORD0000542</t>
  </si>
  <si>
    <t>CUST018609</t>
  </si>
  <si>
    <t>ORD0000543</t>
  </si>
  <si>
    <t>CUST006269</t>
  </si>
  <si>
    <t>ORD0000544</t>
  </si>
  <si>
    <t>CUST024742</t>
  </si>
  <si>
    <t>ORD0000545</t>
  </si>
  <si>
    <t>CUST011612</t>
  </si>
  <si>
    <t>ORD0000546</t>
  </si>
  <si>
    <t>CUST036209</t>
  </si>
  <si>
    <t>Neha Kapoor</t>
  </si>
  <si>
    <t>ORD0000547</t>
  </si>
  <si>
    <t>CUST017266</t>
  </si>
  <si>
    <t>ORD0000548</t>
  </si>
  <si>
    <t>CUST005934</t>
  </si>
  <si>
    <t>ORD0000549</t>
  </si>
  <si>
    <t>CUST007415</t>
  </si>
  <si>
    <t>ORD0000550</t>
  </si>
  <si>
    <t>CUST004166</t>
  </si>
  <si>
    <t>ORD0000551</t>
  </si>
  <si>
    <t>CUST006138</t>
  </si>
  <si>
    <t>ORD0000552</t>
  </si>
  <si>
    <t>CUST033291</t>
  </si>
  <si>
    <t>ORD0000553</t>
  </si>
  <si>
    <t>CUST031827</t>
  </si>
  <si>
    <t>ORD0000554</t>
  </si>
  <si>
    <t>CUST042384</t>
  </si>
  <si>
    <t>ORD0000555</t>
  </si>
  <si>
    <t>CUST043680</t>
  </si>
  <si>
    <t>ORD0000556</t>
  </si>
  <si>
    <t>CUST042370</t>
  </si>
  <si>
    <t>ORD0000557</t>
  </si>
  <si>
    <t>CUST014311</t>
  </si>
  <si>
    <t>ORD0000558</t>
  </si>
  <si>
    <t>CUST003130</t>
  </si>
  <si>
    <t>ORD0000559</t>
  </si>
  <si>
    <t>CUST019366</t>
  </si>
  <si>
    <t>ORD0000560</t>
  </si>
  <si>
    <t>CUST035919</t>
  </si>
  <si>
    <t>ORD0000561</t>
  </si>
  <si>
    <t>CUST022713</t>
  </si>
  <si>
    <t>ORD0000562</t>
  </si>
  <si>
    <t>CUST013389</t>
  </si>
  <si>
    <t>ORD0000563</t>
  </si>
  <si>
    <t>CUST033863</t>
  </si>
  <si>
    <t>ORD0000564</t>
  </si>
  <si>
    <t>CUST017524</t>
  </si>
  <si>
    <t>ORD0000565</t>
  </si>
  <si>
    <t>CUST027833</t>
  </si>
  <si>
    <t>ORD0000566</t>
  </si>
  <si>
    <t>CUST006467</t>
  </si>
  <si>
    <t>ORD0000567</t>
  </si>
  <si>
    <t>CUST008207</t>
  </si>
  <si>
    <t>ORD0000568</t>
  </si>
  <si>
    <t>CUST015188</t>
  </si>
  <si>
    <t>ORD0000569</t>
  </si>
  <si>
    <t>ORD0000570</t>
  </si>
  <si>
    <t>CUST034307</t>
  </si>
  <si>
    <t>ORD0000571</t>
  </si>
  <si>
    <t>CUST037946</t>
  </si>
  <si>
    <t>ORD0000572</t>
  </si>
  <si>
    <t>CUST006543</t>
  </si>
  <si>
    <t>ORD0000573</t>
  </si>
  <si>
    <t>CUST045827</t>
  </si>
  <si>
    <t>ORD0000574</t>
  </si>
  <si>
    <t>CUST007580</t>
  </si>
  <si>
    <t>ORD0000575</t>
  </si>
  <si>
    <t>CUST026287</t>
  </si>
  <si>
    <t>ORD0000576</t>
  </si>
  <si>
    <t>CUST043585</t>
  </si>
  <si>
    <t>ORD0000577</t>
  </si>
  <si>
    <t>CUST042421</t>
  </si>
  <si>
    <t>ORD0000578</t>
  </si>
  <si>
    <t>CUST005012</t>
  </si>
  <si>
    <t>ORD0000579</t>
  </si>
  <si>
    <t>CUST013323</t>
  </si>
  <si>
    <t>ORD0000580</t>
  </si>
  <si>
    <t>CUST034585</t>
  </si>
  <si>
    <t>ORD0000581</t>
  </si>
  <si>
    <t>CUST026815</t>
  </si>
  <si>
    <t>ORD0000582</t>
  </si>
  <si>
    <t>CUST005636</t>
  </si>
  <si>
    <t>ORD0000583</t>
  </si>
  <si>
    <t>CUST006995</t>
  </si>
  <si>
    <t>ORD0000584</t>
  </si>
  <si>
    <t>CUST028214</t>
  </si>
  <si>
    <t>ORD0000585</t>
  </si>
  <si>
    <t>CUST038972</t>
  </si>
  <si>
    <t>ORD0000586</t>
  </si>
  <si>
    <t>CUST004252</t>
  </si>
  <si>
    <t>ORD0000587</t>
  </si>
  <si>
    <t>CUST044170</t>
  </si>
  <si>
    <t>Vikas Verma</t>
  </si>
  <si>
    <t>ORD0000588</t>
  </si>
  <si>
    <t>CUST046075</t>
  </si>
  <si>
    <t>ORD0000589</t>
  </si>
  <si>
    <t>CUST039381</t>
  </si>
  <si>
    <t>ORD0000590</t>
  </si>
  <si>
    <t>CUST042660</t>
  </si>
  <si>
    <t>ORD0000591</t>
  </si>
  <si>
    <t>CUST013904</t>
  </si>
  <si>
    <t>ORD0000592</t>
  </si>
  <si>
    <t>CUST019361</t>
  </si>
  <si>
    <t>ORD0000593</t>
  </si>
  <si>
    <t>CUST024891</t>
  </si>
  <si>
    <t>ORD0000594</t>
  </si>
  <si>
    <t>CUST029875</t>
  </si>
  <si>
    <t>ORD0000595</t>
  </si>
  <si>
    <t>CUST046126</t>
  </si>
  <si>
    <t>ORD0000596</t>
  </si>
  <si>
    <t>CUST044429</t>
  </si>
  <si>
    <t>ORD0000597</t>
  </si>
  <si>
    <t>CUST035227</t>
  </si>
  <si>
    <t>ORD0000598</t>
  </si>
  <si>
    <t>CUST016520</t>
  </si>
  <si>
    <t>ORD0000599</t>
  </si>
  <si>
    <t>CUST049966</t>
  </si>
  <si>
    <t>ORD0000600</t>
  </si>
  <si>
    <t>CUST011144</t>
  </si>
  <si>
    <t>ORD0000601</t>
  </si>
  <si>
    <t>CUST006657</t>
  </si>
  <si>
    <t>ORD0000602</t>
  </si>
  <si>
    <t>CUST031211</t>
  </si>
  <si>
    <t>ORD0000603</t>
  </si>
  <si>
    <t>CUST032624</t>
  </si>
  <si>
    <t>ORD0000604</t>
  </si>
  <si>
    <t>CUST023521</t>
  </si>
  <si>
    <t>ORD0000605</t>
  </si>
  <si>
    <t>CUST006077</t>
  </si>
  <si>
    <t>ORD0000606</t>
  </si>
  <si>
    <t>CUST012756</t>
  </si>
  <si>
    <t>ORD0000607</t>
  </si>
  <si>
    <t>CUST002770</t>
  </si>
  <si>
    <t>ORD0000608</t>
  </si>
  <si>
    <t>CUST036442</t>
  </si>
  <si>
    <t>Ritika Singh</t>
  </si>
  <si>
    <t>ORD0000609</t>
  </si>
  <si>
    <t>CUST028699</t>
  </si>
  <si>
    <t>ORD0000610</t>
  </si>
  <si>
    <t>CUST041158</t>
  </si>
  <si>
    <t>ORD0000611</t>
  </si>
  <si>
    <t>CUST015252</t>
  </si>
  <si>
    <t>ORD0000612</t>
  </si>
  <si>
    <t>CUST009190</t>
  </si>
  <si>
    <t>ORD0000613</t>
  </si>
  <si>
    <t>CUST015078</t>
  </si>
  <si>
    <t>Rohit Joshi</t>
  </si>
  <si>
    <t>ORD0000614</t>
  </si>
  <si>
    <t>CUST015888</t>
  </si>
  <si>
    <t>ORD0000615</t>
  </si>
  <si>
    <t>CUST047044</t>
  </si>
  <si>
    <t>ORD0000616</t>
  </si>
  <si>
    <t>CUST014358</t>
  </si>
  <si>
    <t>ORD0000617</t>
  </si>
  <si>
    <t>CUST046153</t>
  </si>
  <si>
    <t>ORD0000618</t>
  </si>
  <si>
    <t>CUST001720</t>
  </si>
  <si>
    <t>ORD0000619</t>
  </si>
  <si>
    <t>CUST028536</t>
  </si>
  <si>
    <t>ORD0000620</t>
  </si>
  <si>
    <t>CUST041352</t>
  </si>
  <si>
    <t>ORD0000621</t>
  </si>
  <si>
    <t>CUST042316</t>
  </si>
  <si>
    <t>ORD0000622</t>
  </si>
  <si>
    <t>CUST031158</t>
  </si>
  <si>
    <t>ORD0000623</t>
  </si>
  <si>
    <t>CUST021388</t>
  </si>
  <si>
    <t>ORD0000624</t>
  </si>
  <si>
    <t>CUST035024</t>
  </si>
  <si>
    <t>ORD0000625</t>
  </si>
  <si>
    <t>CUST012302</t>
  </si>
  <si>
    <t>ORD0000626</t>
  </si>
  <si>
    <t>CUST005342</t>
  </si>
  <si>
    <t>ORD0000627</t>
  </si>
  <si>
    <t>CUST002027</t>
  </si>
  <si>
    <t>ORD0000628</t>
  </si>
  <si>
    <t>CUST004340</t>
  </si>
  <si>
    <t>Sneha Patel</t>
  </si>
  <si>
    <t>ORD0000629</t>
  </si>
  <si>
    <t>CUST001299</t>
  </si>
  <si>
    <t>ORD0000630</t>
  </si>
  <si>
    <t>CUST034381</t>
  </si>
  <si>
    <t>ORD0000631</t>
  </si>
  <si>
    <t>CUST032876</t>
  </si>
  <si>
    <t>ORD0000632</t>
  </si>
  <si>
    <t>CUST001354</t>
  </si>
  <si>
    <t>ORD0000633</t>
  </si>
  <si>
    <t>CUST034415</t>
  </si>
  <si>
    <t>ORD0000634</t>
  </si>
  <si>
    <t>CUST004221</t>
  </si>
  <si>
    <t>Aarav Singh</t>
  </si>
  <si>
    <t>ORD0000635</t>
  </si>
  <si>
    <t>CUST017501</t>
  </si>
  <si>
    <t>ORD0000636</t>
  </si>
  <si>
    <t>CUST041372</t>
  </si>
  <si>
    <t>ORD0000637</t>
  </si>
  <si>
    <t>CUST003021</t>
  </si>
  <si>
    <t>ORD0000638</t>
  </si>
  <si>
    <t>CUST000237</t>
  </si>
  <si>
    <t>ORD0000639</t>
  </si>
  <si>
    <t>CUST035471</t>
  </si>
  <si>
    <t>ORD0000640</t>
  </si>
  <si>
    <t>CUST041169</t>
  </si>
  <si>
    <t>ORD0000641</t>
  </si>
  <si>
    <t>CUST013631</t>
  </si>
  <si>
    <t>ORD0000642</t>
  </si>
  <si>
    <t>CUST012298</t>
  </si>
  <si>
    <t>ORD0000643</t>
  </si>
  <si>
    <t>CUST015104</t>
  </si>
  <si>
    <t>ORD0000644</t>
  </si>
  <si>
    <t>CUST016270</t>
  </si>
  <si>
    <t>ORD0000645</t>
  </si>
  <si>
    <t>CUST035106</t>
  </si>
  <si>
    <t>ORD0000646</t>
  </si>
  <si>
    <t>CUST038495</t>
  </si>
  <si>
    <t>ORD0000647</t>
  </si>
  <si>
    <t>CUST010023</t>
  </si>
  <si>
    <t>ORD0000648</t>
  </si>
  <si>
    <t>CUST018336</t>
  </si>
  <si>
    <t>ORD0000649</t>
  </si>
  <si>
    <t>CUST010320</t>
  </si>
  <si>
    <t>ORD0000650</t>
  </si>
  <si>
    <t>CUST040657</t>
  </si>
  <si>
    <t>ORD0000651</t>
  </si>
  <si>
    <t>CUST027748</t>
  </si>
  <si>
    <t>ORD0000652</t>
  </si>
  <si>
    <t>CUST039331</t>
  </si>
  <si>
    <t>ORD0000653</t>
  </si>
  <si>
    <t>CUST026647</t>
  </si>
  <si>
    <t>Aditya Verma</t>
  </si>
  <si>
    <t>ORD0000654</t>
  </si>
  <si>
    <t>CUST048921</t>
  </si>
  <si>
    <t>ORD0000655</t>
  </si>
  <si>
    <t>CUST041207</t>
  </si>
  <si>
    <t>ORD0000656</t>
  </si>
  <si>
    <t>CUST022106</t>
  </si>
  <si>
    <t>ORD0000657</t>
  </si>
  <si>
    <t>CUST047036</t>
  </si>
  <si>
    <t>ORD0000658</t>
  </si>
  <si>
    <t>CUST018918</t>
  </si>
  <si>
    <t>ORD0000659</t>
  </si>
  <si>
    <t>CUST013331</t>
  </si>
  <si>
    <t>ORD0000660</t>
  </si>
  <si>
    <t>CUST028139</t>
  </si>
  <si>
    <t>ORD0000661</t>
  </si>
  <si>
    <t>CUST041747</t>
  </si>
  <si>
    <t>ORD0000662</t>
  </si>
  <si>
    <t>CUST021614</t>
  </si>
  <si>
    <t>ORD0000663</t>
  </si>
  <si>
    <t>CUST015215</t>
  </si>
  <si>
    <t>ORD0000664</t>
  </si>
  <si>
    <t>ORD0000665</t>
  </si>
  <si>
    <t>CUST029669</t>
  </si>
  <si>
    <t>ORD0000666</t>
  </si>
  <si>
    <t>CUST043404</t>
  </si>
  <si>
    <t>ORD0000667</t>
  </si>
  <si>
    <t>CUST000342</t>
  </si>
  <si>
    <t>ORD0000668</t>
  </si>
  <si>
    <t>CUST028594</t>
  </si>
  <si>
    <t>ORD0000669</t>
  </si>
  <si>
    <t>CUST039500</t>
  </si>
  <si>
    <t>ORD0000670</t>
  </si>
  <si>
    <t>CUST042143</t>
  </si>
  <si>
    <t>ORD0000671</t>
  </si>
  <si>
    <t>CUST030029</t>
  </si>
  <si>
    <t>ORD0000672</t>
  </si>
  <si>
    <t>CUST017431</t>
  </si>
  <si>
    <t>ORD0000673</t>
  </si>
  <si>
    <t>CUST001021</t>
  </si>
  <si>
    <t>ORD0000674</t>
  </si>
  <si>
    <t>CUST046797</t>
  </si>
  <si>
    <t>ORD0000675</t>
  </si>
  <si>
    <t>CUST030534</t>
  </si>
  <si>
    <t>ORD0000676</t>
  </si>
  <si>
    <t>CUST049021</t>
  </si>
  <si>
    <t>ORD0000677</t>
  </si>
  <si>
    <t>CUST027888</t>
  </si>
  <si>
    <t>ORD0000678</t>
  </si>
  <si>
    <t>CUST002243</t>
  </si>
  <si>
    <t>ORD0000679</t>
  </si>
  <si>
    <t>CUST008903</t>
  </si>
  <si>
    <t>ORD0000680</t>
  </si>
  <si>
    <t>CUST027637</t>
  </si>
  <si>
    <t>ORD0000681</t>
  </si>
  <si>
    <t>CUST002558</t>
  </si>
  <si>
    <t>ORD0000682</t>
  </si>
  <si>
    <t>CUST021727</t>
  </si>
  <si>
    <t>ORD0000683</t>
  </si>
  <si>
    <t>CUST005548</t>
  </si>
  <si>
    <t>ORD0000684</t>
  </si>
  <si>
    <t>CUST046930</t>
  </si>
  <si>
    <t>ORD0000685</t>
  </si>
  <si>
    <t>CUST030151</t>
  </si>
  <si>
    <t>ORD0000686</t>
  </si>
  <si>
    <t>CUST029666</t>
  </si>
  <si>
    <t>ORD0000687</t>
  </si>
  <si>
    <t>CUST041687</t>
  </si>
  <si>
    <t>ORD0000688</t>
  </si>
  <si>
    <t>CUST029704</t>
  </si>
  <si>
    <t>ORD0000689</t>
  </si>
  <si>
    <t>CUST014194</t>
  </si>
  <si>
    <t>ORD0000690</t>
  </si>
  <si>
    <t>CUST012572</t>
  </si>
  <si>
    <t>ORD0000691</t>
  </si>
  <si>
    <t>CUST009709</t>
  </si>
  <si>
    <t>ORD0000692</t>
  </si>
  <si>
    <t>CUST012727</t>
  </si>
  <si>
    <t>ORD0000693</t>
  </si>
  <si>
    <t>CUST046847</t>
  </si>
  <si>
    <t>ORD0000694</t>
  </si>
  <si>
    <t>ORD0000695</t>
  </si>
  <si>
    <t>CUST022221</t>
  </si>
  <si>
    <t>ORD0000696</t>
  </si>
  <si>
    <t>CUST022439</t>
  </si>
  <si>
    <t>ORD0000697</t>
  </si>
  <si>
    <t>CUST006859</t>
  </si>
  <si>
    <t>ORD0000698</t>
  </si>
  <si>
    <t>CUST039325</t>
  </si>
  <si>
    <t>ORD0000699</t>
  </si>
  <si>
    <t>CUST023697</t>
  </si>
  <si>
    <t>ORD0000700</t>
  </si>
  <si>
    <t>CUST048774</t>
  </si>
  <si>
    <t>ORD0000701</t>
  </si>
  <si>
    <t>CUST019726</t>
  </si>
  <si>
    <t>ORD0000702</t>
  </si>
  <si>
    <t>CUST028627</t>
  </si>
  <si>
    <t>ORD0000703</t>
  </si>
  <si>
    <t>CUST037541</t>
  </si>
  <si>
    <t>ORD0000704</t>
  </si>
  <si>
    <t>CUST018027</t>
  </si>
  <si>
    <t>ORD0000705</t>
  </si>
  <si>
    <t>CUST030540</t>
  </si>
  <si>
    <t>ORD0000706</t>
  </si>
  <si>
    <t>CUST034643</t>
  </si>
  <si>
    <t>ORD0000707</t>
  </si>
  <si>
    <t>CUST017237</t>
  </si>
  <si>
    <t>ORD0000708</t>
  </si>
  <si>
    <t>CUST003101</t>
  </si>
  <si>
    <t>ORD0000709</t>
  </si>
  <si>
    <t>CUST021724</t>
  </si>
  <si>
    <t>ORD0000710</t>
  </si>
  <si>
    <t>ORD0000711</t>
  </si>
  <si>
    <t>CUST007217</t>
  </si>
  <si>
    <t>ORD0000712</t>
  </si>
  <si>
    <t>CUST018425</t>
  </si>
  <si>
    <t>ORD0000713</t>
  </si>
  <si>
    <t>CUST005122</t>
  </si>
  <si>
    <t>ORD0000714</t>
  </si>
  <si>
    <t>CUST041670</t>
  </si>
  <si>
    <t>ORD0000715</t>
  </si>
  <si>
    <t>CUST043609</t>
  </si>
  <si>
    <t>ORD0000716</t>
  </si>
  <si>
    <t>CUST000070</t>
  </si>
  <si>
    <t>ORD0000717</t>
  </si>
  <si>
    <t>CUST004801</t>
  </si>
  <si>
    <t>ORD0000718</t>
  </si>
  <si>
    <t>CUST024405</t>
  </si>
  <si>
    <t>ORD0000719</t>
  </si>
  <si>
    <t>CUST017301</t>
  </si>
  <si>
    <t>ORD0000720</t>
  </si>
  <si>
    <t>CUST031212</t>
  </si>
  <si>
    <t>ORD0000721</t>
  </si>
  <si>
    <t>CUST043505</t>
  </si>
  <si>
    <t>ORD0000722</t>
  </si>
  <si>
    <t>CUST001051</t>
  </si>
  <si>
    <t>ORD0000723</t>
  </si>
  <si>
    <t>CUST017599</t>
  </si>
  <si>
    <t>ORD0000724</t>
  </si>
  <si>
    <t>CUST001815</t>
  </si>
  <si>
    <t>ORD0000725</t>
  </si>
  <si>
    <t>CUST036068</t>
  </si>
  <si>
    <t>ORD0000726</t>
  </si>
  <si>
    <t>CUST021348</t>
  </si>
  <si>
    <t>ORD0000727</t>
  </si>
  <si>
    <t>CUST001082</t>
  </si>
  <si>
    <t>ORD0000728</t>
  </si>
  <si>
    <t>CUST041773</t>
  </si>
  <si>
    <t>Priya Patel</t>
  </si>
  <si>
    <t>ORD0000729</t>
  </si>
  <si>
    <t>CUST037585</t>
  </si>
  <si>
    <t>ORD0000730</t>
  </si>
  <si>
    <t>CUST039566</t>
  </si>
  <si>
    <t>ORD0000731</t>
  </si>
  <si>
    <t>CUST032406</t>
  </si>
  <si>
    <t>ORD0000732</t>
  </si>
  <si>
    <t>CUST006673</t>
  </si>
  <si>
    <t>ORD0000733</t>
  </si>
  <si>
    <t>CUST009117</t>
  </si>
  <si>
    <t>ORD0000734</t>
  </si>
  <si>
    <t>CUST020976</t>
  </si>
  <si>
    <t>ORD0000735</t>
  </si>
  <si>
    <t>CUST039664</t>
  </si>
  <si>
    <t>ORD0000736</t>
  </si>
  <si>
    <t>CUST016159</t>
  </si>
  <si>
    <t>ORD0000737</t>
  </si>
  <si>
    <t>CUST018490</t>
  </si>
  <si>
    <t>ORD0000738</t>
  </si>
  <si>
    <t>CUST000529</t>
  </si>
  <si>
    <t>Aditya Patel</t>
  </si>
  <si>
    <t>ORD0000739</t>
  </si>
  <si>
    <t>CUST041592</t>
  </si>
  <si>
    <t>ORD0000740</t>
  </si>
  <si>
    <t>ORD0000741</t>
  </si>
  <si>
    <t>CUST020962</t>
  </si>
  <si>
    <t>ORD0000742</t>
  </si>
  <si>
    <t>CUST019154</t>
  </si>
  <si>
    <t>ORD0000743</t>
  </si>
  <si>
    <t>CUST008405</t>
  </si>
  <si>
    <t>ORD0000744</t>
  </si>
  <si>
    <t>CUST002196</t>
  </si>
  <si>
    <t>ORD0000745</t>
  </si>
  <si>
    <t>CUST022788</t>
  </si>
  <si>
    <t>ORD0000746</t>
  </si>
  <si>
    <t>CUST020811</t>
  </si>
  <si>
    <t>ORD0000747</t>
  </si>
  <si>
    <t>CUST036913</t>
  </si>
  <si>
    <t>ORD0000748</t>
  </si>
  <si>
    <t>CUST023917</t>
  </si>
  <si>
    <t>ORD0000749</t>
  </si>
  <si>
    <t>CUST049946</t>
  </si>
  <si>
    <t>ORD0000750</t>
  </si>
  <si>
    <t>CUST037369</t>
  </si>
  <si>
    <t>ORD0000751</t>
  </si>
  <si>
    <t>CUST027164</t>
  </si>
  <si>
    <t>ORD0000752</t>
  </si>
  <si>
    <t>CUST035635</t>
  </si>
  <si>
    <t>ORD0000753</t>
  </si>
  <si>
    <t>CUST033448</t>
  </si>
  <si>
    <t>ORD0000754</t>
  </si>
  <si>
    <t>CUST022565</t>
  </si>
  <si>
    <t>ORD0000755</t>
  </si>
  <si>
    <t>CUST010986</t>
  </si>
  <si>
    <t>ORD0000756</t>
  </si>
  <si>
    <t>CUST015343</t>
  </si>
  <si>
    <t>ORD0000757</t>
  </si>
  <si>
    <t>CUST017587</t>
  </si>
  <si>
    <t>ORD0000758</t>
  </si>
  <si>
    <t>CUST008249</t>
  </si>
  <si>
    <t>ORD0000759</t>
  </si>
  <si>
    <t>CUST024297</t>
  </si>
  <si>
    <t>ORD0000760</t>
  </si>
  <si>
    <t>CUST043504</t>
  </si>
  <si>
    <t>ORD0000761</t>
  </si>
  <si>
    <t>CUST033352</t>
  </si>
  <si>
    <t>ORD0000762</t>
  </si>
  <si>
    <t>CUST036031</t>
  </si>
  <si>
    <t>ORD0000763</t>
  </si>
  <si>
    <t>CUST042892</t>
  </si>
  <si>
    <t>ORD0000764</t>
  </si>
  <si>
    <t>CUST005231</t>
  </si>
  <si>
    <t>ORD0000765</t>
  </si>
  <si>
    <t>CUST048475</t>
  </si>
  <si>
    <t>ORD0000766</t>
  </si>
  <si>
    <t>CUST002611</t>
  </si>
  <si>
    <t>ORD0000767</t>
  </si>
  <si>
    <t>CUST010990</t>
  </si>
  <si>
    <t>ORD0000768</t>
  </si>
  <si>
    <t>CUST009099</t>
  </si>
  <si>
    <t>ORD0000769</t>
  </si>
  <si>
    <t>CUST035974</t>
  </si>
  <si>
    <t>ORD0000770</t>
  </si>
  <si>
    <t>ORD0000771</t>
  </si>
  <si>
    <t>CUST002002</t>
  </si>
  <si>
    <t>ORD0000772</t>
  </si>
  <si>
    <t>CUST034073</t>
  </si>
  <si>
    <t>ORD0000773</t>
  </si>
  <si>
    <t>CUST038114</t>
  </si>
  <si>
    <t>ORD0000774</t>
  </si>
  <si>
    <t>CUST008122</t>
  </si>
  <si>
    <t>ORD0000775</t>
  </si>
  <si>
    <t>CUST002640</t>
  </si>
  <si>
    <t>ORD0000776</t>
  </si>
  <si>
    <t>CUST011556</t>
  </si>
  <si>
    <t>ORD0000777</t>
  </si>
  <si>
    <t>CUST003093</t>
  </si>
  <si>
    <t>ORD0000778</t>
  </si>
  <si>
    <t>CUST021844</t>
  </si>
  <si>
    <t>ORD0000779</t>
  </si>
  <si>
    <t>CUST034364</t>
  </si>
  <si>
    <t>Aman Mehta</t>
  </si>
  <si>
    <t>ORD0000780</t>
  </si>
  <si>
    <t>CUST037738</t>
  </si>
  <si>
    <t>ORD0000781</t>
  </si>
  <si>
    <t>CUST008946</t>
  </si>
  <si>
    <t>ORD0000782</t>
  </si>
  <si>
    <t>CUST041406</t>
  </si>
  <si>
    <t>ORD0000783</t>
  </si>
  <si>
    <t>CUST047483</t>
  </si>
  <si>
    <t>ORD0000784</t>
  </si>
  <si>
    <t>CUST037259</t>
  </si>
  <si>
    <t>ORD0000785</t>
  </si>
  <si>
    <t>CUST036430</t>
  </si>
  <si>
    <t>ORD0000786</t>
  </si>
  <si>
    <t>CUST038244</t>
  </si>
  <si>
    <t>ORD0000787</t>
  </si>
  <si>
    <t>CUST000643</t>
  </si>
  <si>
    <t>ORD0000788</t>
  </si>
  <si>
    <t>CUST027065</t>
  </si>
  <si>
    <t>ORD0000789</t>
  </si>
  <si>
    <t>CUST020694</t>
  </si>
  <si>
    <t>ORD0000790</t>
  </si>
  <si>
    <t>CUST020608</t>
  </si>
  <si>
    <t>ORD0000791</t>
  </si>
  <si>
    <t>ORD0000792</t>
  </si>
  <si>
    <t>CUST013765</t>
  </si>
  <si>
    <t>ORD0000793</t>
  </si>
  <si>
    <t>CUST045762</t>
  </si>
  <si>
    <t>ORD0000794</t>
  </si>
  <si>
    <t>CUST011582</t>
  </si>
  <si>
    <t>ORD0000795</t>
  </si>
  <si>
    <t>CUST043065</t>
  </si>
  <si>
    <t>ORD0000796</t>
  </si>
  <si>
    <t>CUST037250</t>
  </si>
  <si>
    <t>ORD0000797</t>
  </si>
  <si>
    <t>CUST020325</t>
  </si>
  <si>
    <t>ORD0000798</t>
  </si>
  <si>
    <t>CUST005907</t>
  </si>
  <si>
    <t>ORD0000799</t>
  </si>
  <si>
    <t>CUST013629</t>
  </si>
  <si>
    <t>ORD0000800</t>
  </si>
  <si>
    <t>CUST002565</t>
  </si>
  <si>
    <t>ORD0000801</t>
  </si>
  <si>
    <t>CUST048794</t>
  </si>
  <si>
    <t>ORD0000802</t>
  </si>
  <si>
    <t>CUST003091</t>
  </si>
  <si>
    <t>ORD0000803</t>
  </si>
  <si>
    <t>CUST009247</t>
  </si>
  <si>
    <t>ORD0000804</t>
  </si>
  <si>
    <t>ORD0000805</t>
  </si>
  <si>
    <t>CUST001515</t>
  </si>
  <si>
    <t>ORD0000806</t>
  </si>
  <si>
    <t>CUST045996</t>
  </si>
  <si>
    <t>ORD0000807</t>
  </si>
  <si>
    <t>CUST048787</t>
  </si>
  <si>
    <t>ORD0000808</t>
  </si>
  <si>
    <t>CUST007018</t>
  </si>
  <si>
    <t>ORD0000809</t>
  </si>
  <si>
    <t>CUST018257</t>
  </si>
  <si>
    <t>ORD0000810</t>
  </si>
  <si>
    <t>CUST041379</t>
  </si>
  <si>
    <t>ORD0000811</t>
  </si>
  <si>
    <t>CUST016218</t>
  </si>
  <si>
    <t>ORD0000812</t>
  </si>
  <si>
    <t>CUST038261</t>
  </si>
  <si>
    <t>ORD0000813</t>
  </si>
  <si>
    <t>CUST019069</t>
  </si>
  <si>
    <t>ORD0000814</t>
  </si>
  <si>
    <t>CUST015688</t>
  </si>
  <si>
    <t>ORD0000815</t>
  </si>
  <si>
    <t>CUST007016</t>
  </si>
  <si>
    <t>ORD0000816</t>
  </si>
  <si>
    <t>CUST047641</t>
  </si>
  <si>
    <t>ORD0000817</t>
  </si>
  <si>
    <t>CUST015085</t>
  </si>
  <si>
    <t>ORD0000818</t>
  </si>
  <si>
    <t>CUST038541</t>
  </si>
  <si>
    <t>ORD0000819</t>
  </si>
  <si>
    <t>CUST001322</t>
  </si>
  <si>
    <t>ORD0000820</t>
  </si>
  <si>
    <t>CUST019599</t>
  </si>
  <si>
    <t>ORD0000821</t>
  </si>
  <si>
    <t>CUST011799</t>
  </si>
  <si>
    <t>ORD0000822</t>
  </si>
  <si>
    <t>CUST048924</t>
  </si>
  <si>
    <t>ORD0000823</t>
  </si>
  <si>
    <t>CUST024845</t>
  </si>
  <si>
    <t>ORD0000824</t>
  </si>
  <si>
    <t>CUST038060</t>
  </si>
  <si>
    <t>ORD0000825</t>
  </si>
  <si>
    <t>CUST009678</t>
  </si>
  <si>
    <t>ORD0000826</t>
  </si>
  <si>
    <t>CUST023476</t>
  </si>
  <si>
    <t>ORD0000827</t>
  </si>
  <si>
    <t>CUST037155</t>
  </si>
  <si>
    <t>ORD0000828</t>
  </si>
  <si>
    <t>CUST037099</t>
  </si>
  <si>
    <t>ORD0000829</t>
  </si>
  <si>
    <t>CUST013731</t>
  </si>
  <si>
    <t>ORD0000830</t>
  </si>
  <si>
    <t>CUST045362</t>
  </si>
  <si>
    <t>ORD0000831</t>
  </si>
  <si>
    <t>CUST030184</t>
  </si>
  <si>
    <t>ORD0000832</t>
  </si>
  <si>
    <t>CUST004183</t>
  </si>
  <si>
    <t>ORD0000833</t>
  </si>
  <si>
    <t>CUST027432</t>
  </si>
  <si>
    <t>ORD0000834</t>
  </si>
  <si>
    <t>CUST038221</t>
  </si>
  <si>
    <t>ORD0000835</t>
  </si>
  <si>
    <t>CUST033478</t>
  </si>
  <si>
    <t>ORD0000836</t>
  </si>
  <si>
    <t>CUST017117</t>
  </si>
  <si>
    <t>ORD0000837</t>
  </si>
  <si>
    <t>CUST029994</t>
  </si>
  <si>
    <t>ORD0000838</t>
  </si>
  <si>
    <t>CUST044175</t>
  </si>
  <si>
    <t>ORD0000839</t>
  </si>
  <si>
    <t>CUST048188</t>
  </si>
  <si>
    <t>ORD0000840</t>
  </si>
  <si>
    <t>CUST018209</t>
  </si>
  <si>
    <t>ORD0000841</t>
  </si>
  <si>
    <t>CUST042920</t>
  </si>
  <si>
    <t>ORD0000842</t>
  </si>
  <si>
    <t>CUST004513</t>
  </si>
  <si>
    <t>ORD0000843</t>
  </si>
  <si>
    <t>CUST044185</t>
  </si>
  <si>
    <t>ORD0000844</t>
  </si>
  <si>
    <t>CUST013566</t>
  </si>
  <si>
    <t>ORD0000845</t>
  </si>
  <si>
    <t>CUST031643</t>
  </si>
  <si>
    <t>ORD0000846</t>
  </si>
  <si>
    <t>CUST046008</t>
  </si>
  <si>
    <t>ORD0000847</t>
  </si>
  <si>
    <t>CUST022267</t>
  </si>
  <si>
    <t>ORD0000848</t>
  </si>
  <si>
    <t>CUST026992</t>
  </si>
  <si>
    <t>ORD0000849</t>
  </si>
  <si>
    <t>CUST003097</t>
  </si>
  <si>
    <t>ORD0000850</t>
  </si>
  <si>
    <t>CUST030853</t>
  </si>
  <si>
    <t>ORD0000851</t>
  </si>
  <si>
    <t>CUST019699</t>
  </si>
  <si>
    <t>ORD0000852</t>
  </si>
  <si>
    <t>CUST030782</t>
  </si>
  <si>
    <t>ORD0000853</t>
  </si>
  <si>
    <t>CUST046696</t>
  </si>
  <si>
    <t>ORD0000854</t>
  </si>
  <si>
    <t>CUST008644</t>
  </si>
  <si>
    <t>ORD0000855</t>
  </si>
  <si>
    <t>CUST017486</t>
  </si>
  <si>
    <t>ORD0000856</t>
  </si>
  <si>
    <t>CUST034921</t>
  </si>
  <si>
    <t>ORD0000857</t>
  </si>
  <si>
    <t>CUST010916</t>
  </si>
  <si>
    <t>ORD0000858</t>
  </si>
  <si>
    <t>CUST048508</t>
  </si>
  <si>
    <t>ORD0000859</t>
  </si>
  <si>
    <t>CUST028514</t>
  </si>
  <si>
    <t>ORD0000860</t>
  </si>
  <si>
    <t>CUST018826</t>
  </si>
  <si>
    <t>ORD0000861</t>
  </si>
  <si>
    <t>CUST017523</t>
  </si>
  <si>
    <t>ORD0000862</t>
  </si>
  <si>
    <t>CUST047849</t>
  </si>
  <si>
    <t>ORD0000863</t>
  </si>
  <si>
    <t>CUST008790</t>
  </si>
  <si>
    <t>ORD0000864</t>
  </si>
  <si>
    <t>CUST013852</t>
  </si>
  <si>
    <t>ORD0000865</t>
  </si>
  <si>
    <t>ORD0000866</t>
  </si>
  <si>
    <t>CUST028860</t>
  </si>
  <si>
    <t>ORD0000867</t>
  </si>
  <si>
    <t>CUST015345</t>
  </si>
  <si>
    <t>ORD0000868</t>
  </si>
  <si>
    <t>CUST038463</t>
  </si>
  <si>
    <t>ORD0000869</t>
  </si>
  <si>
    <t>CUST027699</t>
  </si>
  <si>
    <t>ORD0000870</t>
  </si>
  <si>
    <t>CUST035042</t>
  </si>
  <si>
    <t>ORD0000871</t>
  </si>
  <si>
    <t>CUST011632</t>
  </si>
  <si>
    <t>ORD0000872</t>
  </si>
  <si>
    <t>CUST025500</t>
  </si>
  <si>
    <t>ORD0000873</t>
  </si>
  <si>
    <t>CUST030454</t>
  </si>
  <si>
    <t>ORD0000874</t>
  </si>
  <si>
    <t>CUST042190</t>
  </si>
  <si>
    <t>ORD0000875</t>
  </si>
  <si>
    <t>CUST004724</t>
  </si>
  <si>
    <t>ORD0000876</t>
  </si>
  <si>
    <t>CUST011009</t>
  </si>
  <si>
    <t>ORD0000877</t>
  </si>
  <si>
    <t>CUST011263</t>
  </si>
  <si>
    <t>ORD0000878</t>
  </si>
  <si>
    <t>CUST025577</t>
  </si>
  <si>
    <t>ORD0000879</t>
  </si>
  <si>
    <t>CUST007567</t>
  </si>
  <si>
    <t>ORD0000880</t>
  </si>
  <si>
    <t>CUST009433</t>
  </si>
  <si>
    <t>ORD0000881</t>
  </si>
  <si>
    <t>CUST015403</t>
  </si>
  <si>
    <t>ORD0000882</t>
  </si>
  <si>
    <t>CUST008648</t>
  </si>
  <si>
    <t>ORD0000883</t>
  </si>
  <si>
    <t>CUST028263</t>
  </si>
  <si>
    <t>ORD0000884</t>
  </si>
  <si>
    <t>CUST015229</t>
  </si>
  <si>
    <t>ORD0000885</t>
  </si>
  <si>
    <t>CUST048422</t>
  </si>
  <si>
    <t>ORD0000886</t>
  </si>
  <si>
    <t>CUST020479</t>
  </si>
  <si>
    <t>ORD0000887</t>
  </si>
  <si>
    <t>CUST034535</t>
  </si>
  <si>
    <t>ORD0000888</t>
  </si>
  <si>
    <t>CUST026099</t>
  </si>
  <si>
    <t>ORD0000889</t>
  </si>
  <si>
    <t>CUST010478</t>
  </si>
  <si>
    <t>ORD0000890</t>
  </si>
  <si>
    <t>CUST008107</t>
  </si>
  <si>
    <t>ORD0000891</t>
  </si>
  <si>
    <t>CUST042291</t>
  </si>
  <si>
    <t>ORD0000892</t>
  </si>
  <si>
    <t>CUST035578</t>
  </si>
  <si>
    <t>ORD0000893</t>
  </si>
  <si>
    <t>CUST013902</t>
  </si>
  <si>
    <t>ORD0000894</t>
  </si>
  <si>
    <t>CUST032339</t>
  </si>
  <si>
    <t>ORD0000895</t>
  </si>
  <si>
    <t>CUST047258</t>
  </si>
  <si>
    <t>ORD0000896</t>
  </si>
  <si>
    <t>ORD0000897</t>
  </si>
  <si>
    <t>CUST025697</t>
  </si>
  <si>
    <t>ORD0000898</t>
  </si>
  <si>
    <t>CUST031918</t>
  </si>
  <si>
    <t>ORD0000899</t>
  </si>
  <si>
    <t>CUST041612</t>
  </si>
  <si>
    <t>ORD0000900</t>
  </si>
  <si>
    <t>CUST037981</t>
  </si>
  <si>
    <t>ORD0000901</t>
  </si>
  <si>
    <t>CUST021132</t>
  </si>
  <si>
    <t>ORD0000902</t>
  </si>
  <si>
    <t>CUST042013</t>
  </si>
  <si>
    <t>ORD0000903</t>
  </si>
  <si>
    <t>CUST009065</t>
  </si>
  <si>
    <t>ORD0000904</t>
  </si>
  <si>
    <t>CUST025661</t>
  </si>
  <si>
    <t>ORD0000905</t>
  </si>
  <si>
    <t>CUST010281</t>
  </si>
  <si>
    <t>ORD0000906</t>
  </si>
  <si>
    <t>CUST028142</t>
  </si>
  <si>
    <t>ORD0000907</t>
  </si>
  <si>
    <t>CUST023188</t>
  </si>
  <si>
    <t>ORD0000908</t>
  </si>
  <si>
    <t>ORD0000909</t>
  </si>
  <si>
    <t>CUST035575</t>
  </si>
  <si>
    <t>ORD0000910</t>
  </si>
  <si>
    <t>CUST042654</t>
  </si>
  <si>
    <t>ORD0000911</t>
  </si>
  <si>
    <t>CUST028637</t>
  </si>
  <si>
    <t>ORD0000912</t>
  </si>
  <si>
    <t>CUST026919</t>
  </si>
  <si>
    <t>ORD0000913</t>
  </si>
  <si>
    <t>CUST012271</t>
  </si>
  <si>
    <t>ORD0000914</t>
  </si>
  <si>
    <t>CUST032502</t>
  </si>
  <si>
    <t>ORD0000915</t>
  </si>
  <si>
    <t>CUST013608</t>
  </si>
  <si>
    <t>ORD0000916</t>
  </si>
  <si>
    <t>CUST005299</t>
  </si>
  <si>
    <t>ORD0000917</t>
  </si>
  <si>
    <t>CUST026882</t>
  </si>
  <si>
    <t>ORD0000918</t>
  </si>
  <si>
    <t>CUST027354</t>
  </si>
  <si>
    <t>ORD0000919</t>
  </si>
  <si>
    <t>CUST003379</t>
  </si>
  <si>
    <t>ORD0000920</t>
  </si>
  <si>
    <t>CUST031864</t>
  </si>
  <si>
    <t>ORD0000921</t>
  </si>
  <si>
    <t>CUST025864</t>
  </si>
  <si>
    <t>ORD0000922</t>
  </si>
  <si>
    <t>CUST043295</t>
  </si>
  <si>
    <t>ORD0000923</t>
  </si>
  <si>
    <t>CUST026151</t>
  </si>
  <si>
    <t>ORD0000924</t>
  </si>
  <si>
    <t>CUST042172</t>
  </si>
  <si>
    <t>ORD0000925</t>
  </si>
  <si>
    <t>CUST043250</t>
  </si>
  <si>
    <t>ORD0000926</t>
  </si>
  <si>
    <t>CUST034387</t>
  </si>
  <si>
    <t>ORD0000927</t>
  </si>
  <si>
    <t>CUST008848</t>
  </si>
  <si>
    <t>ORD0000928</t>
  </si>
  <si>
    <t>CUST043287</t>
  </si>
  <si>
    <t>ORD0000929</t>
  </si>
  <si>
    <t>CUST033163</t>
  </si>
  <si>
    <t>ORD0000930</t>
  </si>
  <si>
    <t>CUST033240</t>
  </si>
  <si>
    <t>ORD0000931</t>
  </si>
  <si>
    <t>CUST030073</t>
  </si>
  <si>
    <t>ORD0000932</t>
  </si>
  <si>
    <t>CUST009910</t>
  </si>
  <si>
    <t>ORD0000933</t>
  </si>
  <si>
    <t>CUST046026</t>
  </si>
  <si>
    <t>ORD0000934</t>
  </si>
  <si>
    <t>CUST013637</t>
  </si>
  <si>
    <t>ORD0000935</t>
  </si>
  <si>
    <t>CUST004153</t>
  </si>
  <si>
    <t>ORD0000936</t>
  </si>
  <si>
    <t>CUST031898</t>
  </si>
  <si>
    <t>ORD0000937</t>
  </si>
  <si>
    <t>CUST015964</t>
  </si>
  <si>
    <t>ORD0000938</t>
  </si>
  <si>
    <t>CUST025040</t>
  </si>
  <si>
    <t>ORD0000939</t>
  </si>
  <si>
    <t>CUST016986</t>
  </si>
  <si>
    <t>ORD0000940</t>
  </si>
  <si>
    <t>CUST037380</t>
  </si>
  <si>
    <t>ORD0000941</t>
  </si>
  <si>
    <t>CUST035549</t>
  </si>
  <si>
    <t>ORD0000942</t>
  </si>
  <si>
    <t>CUST023184</t>
  </si>
  <si>
    <t>ORD0000943</t>
  </si>
  <si>
    <t>CUST049174</t>
  </si>
  <si>
    <t>ORD0000944</t>
  </si>
  <si>
    <t>CUST029376</t>
  </si>
  <si>
    <t>ORD0000945</t>
  </si>
  <si>
    <t>CUST029579</t>
  </si>
  <si>
    <t>ORD0000946</t>
  </si>
  <si>
    <t>CUST018858</t>
  </si>
  <si>
    <t>ORD0000947</t>
  </si>
  <si>
    <t>CUST007407</t>
  </si>
  <si>
    <t>ORD0000948</t>
  </si>
  <si>
    <t>CUST030037</t>
  </si>
  <si>
    <t>ORD0000949</t>
  </si>
  <si>
    <t>CUST040999</t>
  </si>
  <si>
    <t>ORD0000950</t>
  </si>
  <si>
    <t>CUST020213</t>
  </si>
  <si>
    <t>ORD0000951</t>
  </si>
  <si>
    <t>CUST045999</t>
  </si>
  <si>
    <t>ORD0000952</t>
  </si>
  <si>
    <t>CUST024214</t>
  </si>
  <si>
    <t>ORD0000953</t>
  </si>
  <si>
    <t>CUST008222</t>
  </si>
  <si>
    <t>ORD0000954</t>
  </si>
  <si>
    <t>CUST023966</t>
  </si>
  <si>
    <t>ORD0000955</t>
  </si>
  <si>
    <t>CUST002209</t>
  </si>
  <si>
    <t>ORD0000956</t>
  </si>
  <si>
    <t>CUST033384</t>
  </si>
  <si>
    <t>ORD0000957</t>
  </si>
  <si>
    <t>CUST038558</t>
  </si>
  <si>
    <t>ORD0000958</t>
  </si>
  <si>
    <t>CUST026933</t>
  </si>
  <si>
    <t>ORD0000959</t>
  </si>
  <si>
    <t>CUST022426</t>
  </si>
  <si>
    <t>ORD0000960</t>
  </si>
  <si>
    <t>CUST002182</t>
  </si>
  <si>
    <t>ORD0000961</t>
  </si>
  <si>
    <t>CUST020408</t>
  </si>
  <si>
    <t>ORD0000962</t>
  </si>
  <si>
    <t>CUST012324</t>
  </si>
  <si>
    <t>ORD0000963</t>
  </si>
  <si>
    <t>CUST045887</t>
  </si>
  <si>
    <t>Aman Kumar</t>
  </si>
  <si>
    <t>ORD0000964</t>
  </si>
  <si>
    <t>CUST040761</t>
  </si>
  <si>
    <t>ORD0000965</t>
  </si>
  <si>
    <t>CUST032848</t>
  </si>
  <si>
    <t>ORD0000966</t>
  </si>
  <si>
    <t>CUST029456</t>
  </si>
  <si>
    <t>ORD0000967</t>
  </si>
  <si>
    <t>CUST044968</t>
  </si>
  <si>
    <t>ORD0000968</t>
  </si>
  <si>
    <t>CUST029109</t>
  </si>
  <si>
    <t>ORD0000969</t>
  </si>
  <si>
    <t>CUST039899</t>
  </si>
  <si>
    <t>ORD0000970</t>
  </si>
  <si>
    <t>CUST021624</t>
  </si>
  <si>
    <t>ORD0000971</t>
  </si>
  <si>
    <t>CUST045461</t>
  </si>
  <si>
    <t>ORD0000972</t>
  </si>
  <si>
    <t>CUST012521</t>
  </si>
  <si>
    <t>ORD0000973</t>
  </si>
  <si>
    <t>CUST000447</t>
  </si>
  <si>
    <t>ORD0000974</t>
  </si>
  <si>
    <t>CUST031147</t>
  </si>
  <si>
    <t>ORD0000975</t>
  </si>
  <si>
    <t>ORD0000976</t>
  </si>
  <si>
    <t>CUST025628</t>
  </si>
  <si>
    <t>ORD0000977</t>
  </si>
  <si>
    <t>CUST038189</t>
  </si>
  <si>
    <t>ORD0000978</t>
  </si>
  <si>
    <t>CUST009786</t>
  </si>
  <si>
    <t>ORD0000979</t>
  </si>
  <si>
    <t>CUST033747</t>
  </si>
  <si>
    <t>ORD0000980</t>
  </si>
  <si>
    <t>CUST032797</t>
  </si>
  <si>
    <t>ORD0000981</t>
  </si>
  <si>
    <t>CUST018809</t>
  </si>
  <si>
    <t>ORD0000982</t>
  </si>
  <si>
    <t>CUST018358</t>
  </si>
  <si>
    <t>ORD0000983</t>
  </si>
  <si>
    <t>CUST027961</t>
  </si>
  <si>
    <t>ORD0000984</t>
  </si>
  <si>
    <t>CUST016417</t>
  </si>
  <si>
    <t>ORD0000985</t>
  </si>
  <si>
    <t>CUST005056</t>
  </si>
  <si>
    <t>ORD0000986</t>
  </si>
  <si>
    <t>CUST035716</t>
  </si>
  <si>
    <t>ORD0000987</t>
  </si>
  <si>
    <t>CUST040437</t>
  </si>
  <si>
    <t>ORD0000988</t>
  </si>
  <si>
    <t>CUST009488</t>
  </si>
  <si>
    <t>ORD0000989</t>
  </si>
  <si>
    <t>CUST018933</t>
  </si>
  <si>
    <t>ORD0000990</t>
  </si>
  <si>
    <t>CUST041859</t>
  </si>
  <si>
    <t>ORD0000991</t>
  </si>
  <si>
    <t>CUST004799</t>
  </si>
  <si>
    <t>ORD0000992</t>
  </si>
  <si>
    <t>CUST018326</t>
  </si>
  <si>
    <t>ORD0000993</t>
  </si>
  <si>
    <t>CUST011346</t>
  </si>
  <si>
    <t>ORD0000994</t>
  </si>
  <si>
    <t>CUST043616</t>
  </si>
  <si>
    <t>ORD0000995</t>
  </si>
  <si>
    <t>CUST003218</t>
  </si>
  <si>
    <t>ORD0000996</t>
  </si>
  <si>
    <t>CUST023097</t>
  </si>
  <si>
    <t>ORD0000997</t>
  </si>
  <si>
    <t>CUST029402</t>
  </si>
  <si>
    <t>ORD0000998</t>
  </si>
  <si>
    <t>CUST044953</t>
  </si>
  <si>
    <t>ORD0000999</t>
  </si>
  <si>
    <t>CUST039196</t>
  </si>
  <si>
    <t>ORD0001000</t>
  </si>
  <si>
    <t>CUST049148</t>
  </si>
  <si>
    <t>Row Labels</t>
  </si>
  <si>
    <t>Grand Total</t>
  </si>
  <si>
    <t>Sum of TotalAmount</t>
  </si>
  <si>
    <t>Count of OrderID</t>
  </si>
  <si>
    <t>2020</t>
  </si>
  <si>
    <t>2021</t>
  </si>
  <si>
    <t>2022</t>
  </si>
  <si>
    <t>2023</t>
  </si>
  <si>
    <t>2024</t>
  </si>
  <si>
    <t>Details for Sum of TotalAmount</t>
  </si>
  <si>
    <t>Sum of Quantity</t>
  </si>
  <si>
    <t>AMAZON SALES DASHBOARD</t>
  </si>
  <si>
    <t xml:space="preserve">                      TOTAL SALES</t>
  </si>
  <si>
    <r>
      <t xml:space="preserve"> </t>
    </r>
    <r>
      <rPr>
        <b/>
        <sz val="18"/>
        <color rgb="FF002060"/>
        <rFont val="Calibri"/>
        <family val="2"/>
        <scheme val="minor"/>
      </rPr>
      <t>TOTAL ORDERS</t>
    </r>
  </si>
  <si>
    <t>TOTAL QUANTITY</t>
  </si>
  <si>
    <t>AVG ORDER VALUE</t>
  </si>
  <si>
    <t>Jan</t>
  </si>
  <si>
    <t>Feb</t>
  </si>
  <si>
    <t>Mar</t>
  </si>
  <si>
    <t>Apr</t>
  </si>
  <si>
    <t>May</t>
  </si>
  <si>
    <t>Jun</t>
  </si>
  <si>
    <t>Jul</t>
  </si>
  <si>
    <t>Aug</t>
  </si>
  <si>
    <t>Sep</t>
  </si>
  <si>
    <t>Oct</t>
  </si>
  <si>
    <t>Nov</t>
  </si>
  <si>
    <t>Dec</t>
  </si>
  <si>
    <t>AVG ORDER VALUE =</t>
  </si>
  <si>
    <t>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</si>
</sst>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quot;₹&quot;\ #,##0.00"/>
    <numFmt numFmtId="165" formatCode="_ * #,##0_ ;_ * \-#,##0_ ;_ * &quot;-&quot;??_ ;_ @_ "/>
  </numFmts>
  <fonts count="11" x14ac:knownFonts="1">
    <font>
      <sz val="11"/>
      <color theme="1"/>
      <name val="Calibri"/>
      <family val="2"/>
      <scheme val="minor"/>
    </font>
    <font>
      <b/>
      <sz val="11"/>
      <color theme="0"/>
      <name val="Calibri"/>
      <family val="2"/>
      <scheme val="minor"/>
    </font>
    <font>
      <b/>
      <sz val="11"/>
      <color theme="1"/>
      <name val="Calibri"/>
      <family val="2"/>
      <scheme val="minor"/>
    </font>
    <font>
      <sz val="18"/>
      <color theme="1"/>
      <name val="Calibri"/>
      <family val="2"/>
      <scheme val="minor"/>
    </font>
    <font>
      <sz val="11"/>
      <color theme="1"/>
      <name val="Calibri"/>
      <family val="2"/>
      <scheme val="minor"/>
    </font>
    <font>
      <sz val="11"/>
      <color theme="0"/>
      <name val="Calibri"/>
      <family val="2"/>
      <scheme val="minor"/>
    </font>
    <font>
      <b/>
      <sz val="22"/>
      <color theme="0"/>
      <name val="Arial Rounded MT Bold"/>
      <family val="2"/>
    </font>
    <font>
      <b/>
      <sz val="18"/>
      <color rgb="FF002060"/>
      <name val="Calibri"/>
      <family val="2"/>
      <scheme val="minor"/>
    </font>
    <font>
      <sz val="18"/>
      <color rgb="FF002060"/>
      <name val="Calibri"/>
      <family val="2"/>
      <scheme val="minor"/>
    </font>
    <font>
      <b/>
      <sz val="36"/>
      <color theme="5"/>
      <name val="Aharoni"/>
      <charset val="177"/>
    </font>
    <font>
      <b/>
      <sz val="28"/>
      <color rgb="FF002060"/>
      <name val="Calibri"/>
      <family val="2"/>
      <scheme val="minor"/>
    </font>
  </fonts>
  <fills count="6">
    <fill>
      <patternFill patternType="none"/>
    </fill>
    <fill>
      <patternFill patternType="gray125"/>
    </fill>
    <fill>
      <patternFill patternType="solid">
        <fgColor theme="8"/>
        <bgColor theme="8"/>
      </patternFill>
    </fill>
    <fill>
      <patternFill patternType="solid">
        <fgColor theme="8" tint="0.79998168889431442"/>
        <bgColor theme="8" tint="0.79998168889431442"/>
      </patternFill>
    </fill>
    <fill>
      <patternFill patternType="solid">
        <fgColor rgb="FF002060"/>
        <bgColor indexed="64"/>
      </patternFill>
    </fill>
    <fill>
      <patternFill patternType="solid">
        <fgColor theme="0"/>
        <bgColor indexed="64"/>
      </patternFill>
    </fill>
  </fills>
  <borders count="2">
    <border>
      <left/>
      <right/>
      <top/>
      <bottom/>
      <diagonal/>
    </border>
    <border>
      <left/>
      <right/>
      <top style="thin">
        <color theme="8" tint="0.39997558519241921"/>
      </top>
      <bottom/>
      <diagonal/>
    </border>
  </borders>
  <cellStyleXfs count="2">
    <xf numFmtId="0" fontId="0" fillId="0" borderId="0"/>
    <xf numFmtId="43" fontId="4" fillId="0" borderId="0" applyFont="0" applyFill="0" applyBorder="0" applyAlignment="0" applyProtection="0"/>
  </cellStyleXfs>
  <cellXfs count="29">
    <xf numFmtId="0" fontId="0" fillId="0" borderId="0" xfId="0"/>
    <xf numFmtId="14" fontId="0" fillId="3" borderId="1" xfId="0" applyNumberFormat="1" applyFill="1" applyBorder="1"/>
    <xf numFmtId="0" fontId="0" fillId="3" borderId="1" xfId="0" applyFill="1" applyBorder="1"/>
    <xf numFmtId="2" fontId="0" fillId="3" borderId="1" xfId="0" applyNumberFormat="1" applyFill="1" applyBorder="1"/>
    <xf numFmtId="14" fontId="0" fillId="0" borderId="1" xfId="0" applyNumberFormat="1" applyBorder="1"/>
    <xf numFmtId="0" fontId="0" fillId="0" borderId="1" xfId="0" applyBorder="1"/>
    <xf numFmtId="2" fontId="0" fillId="0" borderId="1" xfId="0" applyNumberFormat="1" applyBorder="1"/>
    <xf numFmtId="0" fontId="1" fillId="2" borderId="0" xfId="0" applyFont="1" applyFill="1"/>
    <xf numFmtId="14" fontId="1" fillId="2" borderId="0" xfId="0" applyNumberFormat="1" applyFont="1" applyFill="1"/>
    <xf numFmtId="2" fontId="1" fillId="2" borderId="0" xfId="0" applyNumberFormat="1" applyFont="1" applyFill="1"/>
    <xf numFmtId="0" fontId="0" fillId="0" borderId="0" xfId="0" pivotButton="1"/>
    <xf numFmtId="0" fontId="0" fillId="0" borderId="0" xfId="0" applyAlignment="1">
      <alignment horizontal="left"/>
    </xf>
    <xf numFmtId="2" fontId="0" fillId="0" borderId="0" xfId="0" applyNumberFormat="1"/>
    <xf numFmtId="14" fontId="0" fillId="0" borderId="0" xfId="0" applyNumberFormat="1"/>
    <xf numFmtId="0" fontId="2" fillId="0" borderId="0" xfId="0" applyFont="1"/>
    <xf numFmtId="0" fontId="5" fillId="4" borderId="0" xfId="0" applyFont="1" applyFill="1" applyAlignment="1">
      <alignment horizontal="center"/>
    </xf>
    <xf numFmtId="164" fontId="0" fillId="0" borderId="0" xfId="0" applyNumberFormat="1"/>
    <xf numFmtId="0" fontId="7" fillId="0" borderId="0" xfId="0" applyFont="1" applyAlignment="1">
      <alignment horizontal="center" vertical="center"/>
    </xf>
    <xf numFmtId="0" fontId="10" fillId="0" borderId="0" xfId="0" applyFont="1" applyAlignment="1">
      <alignment horizontal="center"/>
    </xf>
    <xf numFmtId="0" fontId="7" fillId="0" borderId="0" xfId="0" applyFont="1" applyAlignment="1">
      <alignment horizontal="left" vertical="center"/>
    </xf>
    <xf numFmtId="165" fontId="10" fillId="0" borderId="0" xfId="1" applyNumberFormat="1" applyFont="1" applyAlignment="1">
      <alignment horizontal="center"/>
    </xf>
    <xf numFmtId="0" fontId="6" fillId="4" borderId="0" xfId="0" applyFont="1" applyFill="1" applyAlignment="1">
      <alignment horizontal="left" vertical="center" indent="54"/>
    </xf>
    <xf numFmtId="0" fontId="9" fillId="0" borderId="0" xfId="0" applyFont="1" applyAlignment="1">
      <alignment horizontal="center"/>
    </xf>
    <xf numFmtId="0" fontId="7" fillId="5" borderId="0" xfId="0" applyFont="1" applyFill="1" applyAlignment="1">
      <alignment horizontal="left" vertical="center"/>
    </xf>
    <xf numFmtId="0" fontId="8" fillId="5" borderId="0" xfId="0" applyFont="1" applyFill="1" applyAlignment="1">
      <alignment horizontal="left" vertical="center"/>
    </xf>
    <xf numFmtId="1" fontId="10" fillId="5" borderId="0" xfId="0" applyNumberFormat="1" applyFont="1" applyFill="1" applyAlignment="1">
      <alignment horizontal="left" vertical="center" indent="12"/>
    </xf>
    <xf numFmtId="0" fontId="3" fillId="0" borderId="0" xfId="0" applyFont="1" applyAlignment="1">
      <alignment horizontal="left" vertical="center" indent="6"/>
    </xf>
    <xf numFmtId="0" fontId="0" fillId="0" borderId="0" xfId="0" applyAlignment="1">
      <alignment horizontal="left" vertical="center" indent="6"/>
    </xf>
    <xf numFmtId="0" fontId="0" fillId="0" borderId="0" xfId="0" applyNumberFormat="1"/>
  </cellXfs>
  <cellStyles count="2">
    <cellStyle name="Comma" xfId="1" builtinId="3"/>
    <cellStyle name="Normal" xfId="0" builtinId="0"/>
  </cellStyles>
  <dxfs count="21">
    <dxf>
      <border diagonalUp="0" diagonalDown="0">
        <left/>
        <right/>
        <top style="thin">
          <color theme="8" tint="0.39997558519241921"/>
        </top>
        <bottom/>
        <vertical/>
        <horizontal/>
      </border>
    </dxf>
    <dxf>
      <border diagonalUp="0" diagonalDown="0">
        <left/>
        <right/>
        <top style="thin">
          <color theme="8" tint="0.39997558519241921"/>
        </top>
        <bottom/>
        <vertical/>
        <horizontal/>
      </border>
    </dxf>
    <dxf>
      <border diagonalUp="0" diagonalDown="0">
        <left/>
        <right/>
        <top style="thin">
          <color theme="8" tint="0.39997558519241921"/>
        </top>
        <bottom/>
        <vertical/>
        <horizontal/>
      </border>
    </dxf>
    <dxf>
      <border diagonalUp="0" diagonalDown="0">
        <left/>
        <right/>
        <top style="thin">
          <color theme="8" tint="0.39997558519241921"/>
        </top>
        <bottom/>
        <vertical/>
        <horizontal/>
      </border>
    </dxf>
    <dxf>
      <border diagonalUp="0" diagonalDown="0">
        <left/>
        <right/>
        <top style="thin">
          <color theme="8" tint="0.39997558519241921"/>
        </top>
        <bottom/>
        <vertical/>
        <horizontal/>
      </border>
    </dxf>
    <dxf>
      <numFmt numFmtId="2" formatCode="0.00"/>
      <border diagonalUp="0" diagonalDown="0">
        <left/>
        <right/>
        <top style="thin">
          <color theme="8" tint="0.39997558519241921"/>
        </top>
        <bottom/>
        <vertical/>
        <horizontal/>
      </border>
    </dxf>
    <dxf>
      <numFmt numFmtId="2" formatCode="0.00"/>
      <border diagonalUp="0" diagonalDown="0">
        <left/>
        <right/>
        <top style="thin">
          <color theme="8" tint="0.39997558519241921"/>
        </top>
        <bottom/>
        <vertical/>
        <horizontal/>
      </border>
    </dxf>
    <dxf>
      <numFmt numFmtId="2" formatCode="0.00"/>
      <border diagonalUp="0" diagonalDown="0">
        <left/>
        <right/>
        <top style="thin">
          <color theme="8" tint="0.39997558519241921"/>
        </top>
        <bottom/>
        <vertical/>
        <horizontal/>
      </border>
    </dxf>
    <dxf>
      <border diagonalUp="0" diagonalDown="0">
        <left/>
        <right/>
        <top style="thin">
          <color theme="8" tint="0.39997558519241921"/>
        </top>
        <bottom/>
        <vertical/>
        <horizontal/>
      </border>
    </dxf>
    <dxf>
      <numFmt numFmtId="2" formatCode="0.00"/>
      <border diagonalUp="0" diagonalDown="0">
        <left/>
        <right/>
        <top style="thin">
          <color theme="8" tint="0.39997558519241921"/>
        </top>
        <bottom/>
        <vertical/>
        <horizontal/>
      </border>
    </dxf>
    <dxf>
      <numFmt numFmtId="2" formatCode="0.00"/>
      <border diagonalUp="0" diagonalDown="0">
        <left/>
        <right/>
        <top style="thin">
          <color theme="8" tint="0.39997558519241921"/>
        </top>
        <bottom/>
        <vertical/>
        <horizontal/>
      </border>
    </dxf>
    <dxf>
      <border diagonalUp="0" diagonalDown="0">
        <left/>
        <right/>
        <top style="thin">
          <color theme="8" tint="0.39997558519241921"/>
        </top>
        <bottom/>
        <vertical/>
        <horizontal/>
      </border>
    </dxf>
    <dxf>
      <border diagonalUp="0" diagonalDown="0">
        <left/>
        <right/>
        <top style="thin">
          <color theme="8" tint="0.39997558519241921"/>
        </top>
        <bottom/>
        <vertical/>
        <horizontal/>
      </border>
    </dxf>
    <dxf>
      <border diagonalUp="0" diagonalDown="0">
        <left/>
        <right/>
        <top style="thin">
          <color theme="8" tint="0.39997558519241921"/>
        </top>
        <bottom/>
        <vertical/>
        <horizontal/>
      </border>
    </dxf>
    <dxf>
      <border diagonalUp="0" diagonalDown="0">
        <left/>
        <right/>
        <top style="thin">
          <color theme="8" tint="0.39997558519241921"/>
        </top>
        <bottom/>
        <vertical/>
        <horizontal/>
      </border>
    </dxf>
    <dxf>
      <border diagonalUp="0" diagonalDown="0">
        <left/>
        <right/>
        <top style="thin">
          <color theme="8" tint="0.39997558519241921"/>
        </top>
        <bottom/>
        <vertical/>
        <horizontal/>
      </border>
    </dxf>
    <dxf>
      <numFmt numFmtId="19" formatCode="dd/mm/yyyy"/>
      <border diagonalUp="0" diagonalDown="0">
        <left/>
        <right/>
        <top style="thin">
          <color theme="8" tint="0.39997558519241921"/>
        </top>
        <bottom/>
        <vertical/>
        <horizontal/>
      </border>
    </dxf>
    <dxf>
      <border diagonalUp="0" diagonalDown="0">
        <left/>
        <right/>
        <top style="thin">
          <color theme="8" tint="0.39997558519241921"/>
        </top>
        <bottom/>
        <vertical/>
        <horizontal/>
      </border>
    </dxf>
    <dxf>
      <border outline="0">
        <left style="thin">
          <color theme="8" tint="0.39997558519241921"/>
        </left>
        <right style="thin">
          <color theme="8" tint="0.39997558519241921"/>
        </right>
        <top style="thin">
          <color theme="8" tint="0.39997558519241921"/>
        </top>
        <bottom style="thin">
          <color theme="8" tint="0.39997558519241921"/>
        </bottom>
      </border>
    </dxf>
    <dxf>
      <font>
        <b/>
        <i val="0"/>
        <strike val="0"/>
        <condense val="0"/>
        <extend val="0"/>
        <outline val="0"/>
        <shadow val="0"/>
        <u val="none"/>
        <vertAlign val="baseline"/>
        <sz val="11"/>
        <color theme="0"/>
        <name val="Calibri"/>
        <family val="2"/>
        <scheme val="minor"/>
      </font>
      <fill>
        <patternFill patternType="solid">
          <fgColor theme="8"/>
          <bgColor theme="8"/>
        </patternFill>
      </fill>
    </dxf>
    <dxf>
      <numFmt numFmtId="19" formatCode="dd/mm/yyyy"/>
    </dxf>
  </dxfs>
  <tableStyles count="1" defaultTableStyle="TableStyleMedium2" defaultPivotStyle="PivotStyleLight16">
    <tableStyle name="Slicer Style 1" pivot="0" table="0" count="0" xr9:uid="{5753B90E-27E3-43B7-AB73-E77F5D3FC6A1}"/>
  </tableStyles>
  <colors>
    <mruColors>
      <color rgb="FF212D3B"/>
      <color rgb="FF232F3E"/>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Dashboard.xlsx]Sheet2!PivotTable1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Sheet2!$A$4:$A$10</c:f>
              <c:strCache>
                <c:ptCount val="6"/>
                <c:pt idx="0">
                  <c:v>Books</c:v>
                </c:pt>
                <c:pt idx="1">
                  <c:v>Clothing</c:v>
                </c:pt>
                <c:pt idx="2">
                  <c:v>Electronics</c:v>
                </c:pt>
                <c:pt idx="3">
                  <c:v>Home &amp; Kitchen</c:v>
                </c:pt>
                <c:pt idx="4">
                  <c:v>Sports &amp; Outdoors</c:v>
                </c:pt>
                <c:pt idx="5">
                  <c:v>Toys &amp; Games</c:v>
                </c:pt>
              </c:strCache>
            </c:strRef>
          </c:cat>
          <c:val>
            <c:numRef>
              <c:f>Sheet2!$B$4:$B$10</c:f>
              <c:numCache>
                <c:formatCode>"₹"\ #,##0.00</c:formatCode>
                <c:ptCount val="6"/>
                <c:pt idx="0">
                  <c:v>156532.84000000003</c:v>
                </c:pt>
                <c:pt idx="1">
                  <c:v>129244.40999999999</c:v>
                </c:pt>
                <c:pt idx="2">
                  <c:v>173197.66000000018</c:v>
                </c:pt>
                <c:pt idx="3">
                  <c:v>173991.94</c:v>
                </c:pt>
                <c:pt idx="4">
                  <c:v>138051.74999999994</c:v>
                </c:pt>
                <c:pt idx="5">
                  <c:v>146857.29999999987</c:v>
                </c:pt>
              </c:numCache>
            </c:numRef>
          </c:val>
          <c:extLst>
            <c:ext xmlns:c16="http://schemas.microsoft.com/office/drawing/2014/chart" uri="{C3380CC4-5D6E-409C-BE32-E72D297353CC}">
              <c16:uniqueId val="{00000000-6A8F-4880-AF23-541BF9205983}"/>
            </c:ext>
          </c:extLst>
        </c:ser>
        <c:dLbls>
          <c:showLegendKey val="0"/>
          <c:showVal val="0"/>
          <c:showCatName val="0"/>
          <c:showSerName val="0"/>
          <c:showPercent val="0"/>
          <c:showBubbleSize val="0"/>
        </c:dLbls>
        <c:gapWidth val="100"/>
        <c:overlap val="-24"/>
        <c:axId val="344491472"/>
        <c:axId val="2123500528"/>
      </c:barChart>
      <c:catAx>
        <c:axId val="3444914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3500528"/>
        <c:crosses val="autoZero"/>
        <c:auto val="1"/>
        <c:lblAlgn val="ctr"/>
        <c:lblOffset val="100"/>
        <c:noMultiLvlLbl val="0"/>
      </c:catAx>
      <c:valAx>
        <c:axId val="2123500528"/>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449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Dashboard.xlsx]Sheet3!PivotTable2</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Sheet3!$A$4:$A$14</c:f>
              <c:strCache>
                <c:ptCount val="10"/>
                <c:pt idx="0">
                  <c:v>Apex</c:v>
                </c:pt>
                <c:pt idx="1">
                  <c:v>BrightLux</c:v>
                </c:pt>
                <c:pt idx="2">
                  <c:v>CoreTech</c:v>
                </c:pt>
                <c:pt idx="3">
                  <c:v>FitLife</c:v>
                </c:pt>
                <c:pt idx="4">
                  <c:v>HomeEase</c:v>
                </c:pt>
                <c:pt idx="5">
                  <c:v>KiddoFun</c:v>
                </c:pt>
                <c:pt idx="6">
                  <c:v>NexPro</c:v>
                </c:pt>
                <c:pt idx="7">
                  <c:v>ReadMore</c:v>
                </c:pt>
                <c:pt idx="8">
                  <c:v>UrbanStyle</c:v>
                </c:pt>
                <c:pt idx="9">
                  <c:v>Zenith</c:v>
                </c:pt>
              </c:strCache>
            </c:strRef>
          </c:cat>
          <c:val>
            <c:numRef>
              <c:f>Sheet3!$B$4:$B$14</c:f>
              <c:numCache>
                <c:formatCode>General</c:formatCode>
                <c:ptCount val="10"/>
                <c:pt idx="0">
                  <c:v>93706.250000000015</c:v>
                </c:pt>
                <c:pt idx="1">
                  <c:v>96903.549999999988</c:v>
                </c:pt>
                <c:pt idx="2">
                  <c:v>96651.21000000005</c:v>
                </c:pt>
                <c:pt idx="3">
                  <c:v>96018.34</c:v>
                </c:pt>
                <c:pt idx="4">
                  <c:v>97601.549999999974</c:v>
                </c:pt>
                <c:pt idx="5">
                  <c:v>85732.239999999962</c:v>
                </c:pt>
                <c:pt idx="6">
                  <c:v>74388.7</c:v>
                </c:pt>
                <c:pt idx="7">
                  <c:v>99610.93</c:v>
                </c:pt>
                <c:pt idx="8">
                  <c:v>91022.669999999984</c:v>
                </c:pt>
                <c:pt idx="9">
                  <c:v>86240.46</c:v>
                </c:pt>
              </c:numCache>
            </c:numRef>
          </c:val>
          <c:extLst>
            <c:ext xmlns:c16="http://schemas.microsoft.com/office/drawing/2014/chart" uri="{C3380CC4-5D6E-409C-BE32-E72D297353CC}">
              <c16:uniqueId val="{00000000-DE38-4EAB-81B1-2EBBA05BA297}"/>
            </c:ext>
          </c:extLst>
        </c:ser>
        <c:dLbls>
          <c:showLegendKey val="0"/>
          <c:showVal val="0"/>
          <c:showCatName val="0"/>
          <c:showSerName val="0"/>
          <c:showPercent val="0"/>
          <c:showBubbleSize val="0"/>
        </c:dLbls>
        <c:gapWidth val="115"/>
        <c:overlap val="-20"/>
        <c:axId val="1896656656"/>
        <c:axId val="1995257648"/>
      </c:barChart>
      <c:catAx>
        <c:axId val="18966566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257648"/>
        <c:crosses val="autoZero"/>
        <c:auto val="1"/>
        <c:lblAlgn val="ctr"/>
        <c:lblOffset val="100"/>
        <c:noMultiLvlLbl val="0"/>
      </c:catAx>
      <c:valAx>
        <c:axId val="1995257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65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EB-409D-916A-1CC57F112D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EB-409D-916A-1CC57F112D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EB-409D-916A-1CC57F112D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EB-409D-916A-1CC57F112D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3EB-409D-916A-1CC57F112D5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3EB-409D-916A-1CC57F112D5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3EB-409D-916A-1CC57F112D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Sheet4!$A$4:$A$10</c:f>
              <c:strCache>
                <c:ptCount val="6"/>
                <c:pt idx="0">
                  <c:v>Amazon Pay</c:v>
                </c:pt>
                <c:pt idx="1">
                  <c:v>Cash on Delivery</c:v>
                </c:pt>
                <c:pt idx="2">
                  <c:v>Credit Card</c:v>
                </c:pt>
                <c:pt idx="3">
                  <c:v>Debit Card</c:v>
                </c:pt>
                <c:pt idx="4">
                  <c:v>Net Banking</c:v>
                </c:pt>
                <c:pt idx="5">
                  <c:v>UPI</c:v>
                </c:pt>
              </c:strCache>
            </c:strRef>
          </c:cat>
          <c:val>
            <c:numRef>
              <c:f>Sheet4!$B$4:$B$10</c:f>
              <c:numCache>
                <c:formatCode>General</c:formatCode>
                <c:ptCount val="6"/>
                <c:pt idx="0">
                  <c:v>173</c:v>
                </c:pt>
                <c:pt idx="1">
                  <c:v>59</c:v>
                </c:pt>
                <c:pt idx="2">
                  <c:v>305</c:v>
                </c:pt>
                <c:pt idx="3">
                  <c:v>223</c:v>
                </c:pt>
                <c:pt idx="4">
                  <c:v>100</c:v>
                </c:pt>
                <c:pt idx="5">
                  <c:v>140</c:v>
                </c:pt>
              </c:numCache>
            </c:numRef>
          </c:val>
          <c:extLst>
            <c:ext xmlns:c16="http://schemas.microsoft.com/office/drawing/2014/chart" uri="{C3380CC4-5D6E-409C-BE32-E72D297353CC}">
              <c16:uniqueId val="{00000000-6693-43F0-8AB2-693DD403C70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Dashboard.xlsx]Sheet5!PivotTable4</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Order</a:t>
            </a:r>
            <a:r>
              <a:rPr lang="en-IN" baseline="0"/>
              <a:t> Status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Sheet5!$A$4:$A$9</c:f>
              <c:strCache>
                <c:ptCount val="5"/>
                <c:pt idx="0">
                  <c:v>Cancelled</c:v>
                </c:pt>
                <c:pt idx="1">
                  <c:v>Delivered</c:v>
                </c:pt>
                <c:pt idx="2">
                  <c:v>Pending</c:v>
                </c:pt>
                <c:pt idx="3">
                  <c:v>Returned</c:v>
                </c:pt>
                <c:pt idx="4">
                  <c:v>Shipped</c:v>
                </c:pt>
              </c:strCache>
            </c:strRef>
          </c:cat>
          <c:val>
            <c:numRef>
              <c:f>Sheet5!$B$4:$B$9</c:f>
              <c:numCache>
                <c:formatCode>General</c:formatCode>
                <c:ptCount val="5"/>
                <c:pt idx="0">
                  <c:v>28</c:v>
                </c:pt>
                <c:pt idx="1">
                  <c:v>723</c:v>
                </c:pt>
                <c:pt idx="2">
                  <c:v>46</c:v>
                </c:pt>
                <c:pt idx="3">
                  <c:v>37</c:v>
                </c:pt>
                <c:pt idx="4">
                  <c:v>166</c:v>
                </c:pt>
              </c:numCache>
            </c:numRef>
          </c:val>
          <c:extLst>
            <c:ext xmlns:c16="http://schemas.microsoft.com/office/drawing/2014/chart" uri="{C3380CC4-5D6E-409C-BE32-E72D297353CC}">
              <c16:uniqueId val="{00000000-0E8F-432B-87B0-CB1AE8C15039}"/>
            </c:ext>
          </c:extLst>
        </c:ser>
        <c:dLbls>
          <c:showLegendKey val="0"/>
          <c:showVal val="0"/>
          <c:showCatName val="0"/>
          <c:showSerName val="0"/>
          <c:showPercent val="0"/>
          <c:showBubbleSize val="0"/>
        </c:dLbls>
        <c:gapWidth val="100"/>
        <c:axId val="1896684032"/>
        <c:axId val="1995218768"/>
      </c:barChart>
      <c:catAx>
        <c:axId val="18966840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218768"/>
        <c:crosses val="autoZero"/>
        <c:auto val="1"/>
        <c:lblAlgn val="ctr"/>
        <c:lblOffset val="100"/>
        <c:noMultiLvlLbl val="0"/>
      </c:catAx>
      <c:valAx>
        <c:axId val="1995218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68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Dashboard.xlsx]Sheet6!PivotTable5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baseline="0"/>
          </a:p>
          <a:p>
            <a:pPr>
              <a:defRPr/>
            </a:pPr>
            <a:r>
              <a:rPr lang="en-IN" baseline="0"/>
              <a:t> Sales Trend</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trendline>
            <c:spPr>
              <a:ln w="19050" cap="rnd">
                <a:solidFill>
                  <a:schemeClr val="accent1"/>
                </a:solidFill>
                <a:prstDash val="sysDash"/>
              </a:ln>
              <a:effectLst/>
            </c:spPr>
            <c:trendlineType val="linear"/>
            <c:dispRSqr val="0"/>
            <c:dispEq val="0"/>
          </c:trendline>
          <c:cat>
            <c:strRef>
              <c:f>Sheet6!$A$4:$A$9</c:f>
              <c:strCache>
                <c:ptCount val="5"/>
                <c:pt idx="0">
                  <c:v>2020</c:v>
                </c:pt>
                <c:pt idx="1">
                  <c:v>2021</c:v>
                </c:pt>
                <c:pt idx="2">
                  <c:v>2022</c:v>
                </c:pt>
                <c:pt idx="3">
                  <c:v>2023</c:v>
                </c:pt>
                <c:pt idx="4">
                  <c:v>2024</c:v>
                </c:pt>
              </c:strCache>
            </c:strRef>
          </c:cat>
          <c:val>
            <c:numRef>
              <c:f>Sheet6!$B$4:$B$9</c:f>
              <c:numCache>
                <c:formatCode>General</c:formatCode>
                <c:ptCount val="5"/>
                <c:pt idx="0">
                  <c:v>103993.99000000003</c:v>
                </c:pt>
                <c:pt idx="1">
                  <c:v>117312.86</c:v>
                </c:pt>
                <c:pt idx="2">
                  <c:v>139704.18999999997</c:v>
                </c:pt>
                <c:pt idx="3">
                  <c:v>134127.82999999999</c:v>
                </c:pt>
                <c:pt idx="4">
                  <c:v>128101.85999999999</c:v>
                </c:pt>
              </c:numCache>
            </c:numRef>
          </c:val>
          <c:smooth val="0"/>
          <c:extLst>
            <c:ext xmlns:c16="http://schemas.microsoft.com/office/drawing/2014/chart" uri="{C3380CC4-5D6E-409C-BE32-E72D297353CC}">
              <c16:uniqueId val="{00000000-2EE9-4E19-AD43-88078AB868BC}"/>
            </c:ext>
          </c:extLst>
        </c:ser>
        <c:dLbls>
          <c:showLegendKey val="0"/>
          <c:showVal val="0"/>
          <c:showCatName val="0"/>
          <c:showSerName val="0"/>
          <c:showPercent val="0"/>
          <c:showBubbleSize val="0"/>
        </c:dLbls>
        <c:marker val="1"/>
        <c:smooth val="0"/>
        <c:axId val="1896675216"/>
        <c:axId val="1995205808"/>
      </c:lineChart>
      <c:catAx>
        <c:axId val="189667521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95205808"/>
        <c:crosses val="autoZero"/>
        <c:auto val="1"/>
        <c:lblAlgn val="ctr"/>
        <c:lblOffset val="100"/>
        <c:noMultiLvlLbl val="0"/>
      </c:catAx>
      <c:valAx>
        <c:axId val="199520580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9667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Dashboard.xlsx]Sheet8!PivotTable1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 BY SALES</a:t>
            </a:r>
            <a:endParaRPr lang="en-US"/>
          </a:p>
        </c:rich>
      </c:tx>
      <c:layout>
        <c:manualLayout>
          <c:xMode val="edge"/>
          <c:yMode val="edge"/>
          <c:x val="0.27752077865266839"/>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2"/>
            </a:solidFill>
            <a:ln>
              <a:noFill/>
            </a:ln>
            <a:effectLst/>
          </c:spPr>
          <c:invertIfNegative val="0"/>
          <c:cat>
            <c:strRef>
              <c:f>Sheet8!$A$4:$A$14</c:f>
              <c:strCache>
                <c:ptCount val="10"/>
                <c:pt idx="0">
                  <c:v>4K Monitor</c:v>
                </c:pt>
                <c:pt idx="1">
                  <c:v>Air Fryer</c:v>
                </c:pt>
                <c:pt idx="2">
                  <c:v>Dress Shirt</c:v>
                </c:pt>
                <c:pt idx="3">
                  <c:v>Instant Pot</c:v>
                </c:pt>
                <c:pt idx="4">
                  <c:v>Jeans</c:v>
                </c:pt>
                <c:pt idx="5">
                  <c:v>Kids Toy Car</c:v>
                </c:pt>
                <c:pt idx="6">
                  <c:v>Microphone</c:v>
                </c:pt>
                <c:pt idx="7">
                  <c:v>Novel Bestseller</c:v>
                </c:pt>
                <c:pt idx="8">
                  <c:v>Running Shoes</c:v>
                </c:pt>
                <c:pt idx="9">
                  <c:v>Vacuum Cleaner</c:v>
                </c:pt>
              </c:strCache>
            </c:strRef>
          </c:cat>
          <c:val>
            <c:numRef>
              <c:f>Sheet8!$B$4:$B$14</c:f>
              <c:numCache>
                <c:formatCode>0.00</c:formatCode>
                <c:ptCount val="10"/>
                <c:pt idx="0">
                  <c:v>75</c:v>
                </c:pt>
                <c:pt idx="1">
                  <c:v>85</c:v>
                </c:pt>
                <c:pt idx="2">
                  <c:v>78</c:v>
                </c:pt>
                <c:pt idx="3">
                  <c:v>73</c:v>
                </c:pt>
                <c:pt idx="4">
                  <c:v>73</c:v>
                </c:pt>
                <c:pt idx="5">
                  <c:v>78</c:v>
                </c:pt>
                <c:pt idx="6">
                  <c:v>85</c:v>
                </c:pt>
                <c:pt idx="7">
                  <c:v>82</c:v>
                </c:pt>
                <c:pt idx="8">
                  <c:v>82</c:v>
                </c:pt>
                <c:pt idx="9">
                  <c:v>76</c:v>
                </c:pt>
              </c:numCache>
            </c:numRef>
          </c:val>
          <c:extLst>
            <c:ext xmlns:c16="http://schemas.microsoft.com/office/drawing/2014/chart" uri="{C3380CC4-5D6E-409C-BE32-E72D297353CC}">
              <c16:uniqueId val="{00000000-4154-49B2-9772-12718C71D4FE}"/>
            </c:ext>
          </c:extLst>
        </c:ser>
        <c:dLbls>
          <c:showLegendKey val="0"/>
          <c:showVal val="0"/>
          <c:showCatName val="0"/>
          <c:showSerName val="0"/>
          <c:showPercent val="0"/>
          <c:showBubbleSize val="0"/>
        </c:dLbls>
        <c:gapWidth val="182"/>
        <c:axId val="399587344"/>
        <c:axId val="399573424"/>
      </c:barChart>
      <c:catAx>
        <c:axId val="39958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573424"/>
        <c:crosses val="autoZero"/>
        <c:auto val="1"/>
        <c:lblAlgn val="ctr"/>
        <c:lblOffset val="100"/>
        <c:noMultiLvlLbl val="0"/>
      </c:catAx>
      <c:valAx>
        <c:axId val="3995734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58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Dashboard.xlsx]Sheet11!PivotTable7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solidFill>
              <a:schemeClr val="accent1"/>
            </a:solidFill>
            <a:ln>
              <a:noFill/>
            </a:ln>
            <a:effectLst/>
          </c:spPr>
          <c:invertIfNegative val="0"/>
          <c:cat>
            <c:strRef>
              <c:f>Sheet11!$A$4:$A$16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Sheet11!$B$4:$B$16</c:f>
              <c:numCache>
                <c:formatCode>0.00</c:formatCode>
                <c:ptCount val="12"/>
                <c:pt idx="0">
                  <c:v>264</c:v>
                </c:pt>
                <c:pt idx="1">
                  <c:v>278</c:v>
                </c:pt>
                <c:pt idx="2">
                  <c:v>258</c:v>
                </c:pt>
                <c:pt idx="3">
                  <c:v>246</c:v>
                </c:pt>
                <c:pt idx="4">
                  <c:v>286</c:v>
                </c:pt>
                <c:pt idx="5">
                  <c:v>255</c:v>
                </c:pt>
                <c:pt idx="6">
                  <c:v>237</c:v>
                </c:pt>
                <c:pt idx="7">
                  <c:v>257</c:v>
                </c:pt>
                <c:pt idx="8">
                  <c:v>218</c:v>
                </c:pt>
                <c:pt idx="9">
                  <c:v>280</c:v>
                </c:pt>
                <c:pt idx="10">
                  <c:v>228</c:v>
                </c:pt>
                <c:pt idx="11">
                  <c:v>268</c:v>
                </c:pt>
              </c:numCache>
            </c:numRef>
          </c:val>
          <c:extLst>
            <c:ext xmlns:c16="http://schemas.microsoft.com/office/drawing/2014/chart" uri="{C3380CC4-5D6E-409C-BE32-E72D297353CC}">
              <c16:uniqueId val="{00000000-2DC2-46F4-90F4-22D9F1E859D1}"/>
            </c:ext>
          </c:extLst>
        </c:ser>
        <c:dLbls>
          <c:showLegendKey val="0"/>
          <c:showVal val="0"/>
          <c:showCatName val="0"/>
          <c:showSerName val="0"/>
          <c:showPercent val="0"/>
          <c:showBubbleSize val="0"/>
        </c:dLbls>
        <c:gapWidth val="219"/>
        <c:overlap val="-27"/>
        <c:axId val="2000011888"/>
        <c:axId val="2000013328"/>
      </c:barChart>
      <c:catAx>
        <c:axId val="200001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013328"/>
        <c:crosses val="autoZero"/>
        <c:auto val="1"/>
        <c:lblAlgn val="ctr"/>
        <c:lblOffset val="100"/>
        <c:noMultiLvlLbl val="0"/>
      </c:catAx>
      <c:valAx>
        <c:axId val="2000013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01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Dashboard.xlsx]Sheet6!PivotTable5</c:name>
    <c:fmtId val="3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a:t>
            </a:r>
            <a:r>
              <a:rPr lang="en-IN" baseline="0"/>
              <a:t> TREND</a:t>
            </a:r>
            <a:endParaRPr lang="en-IN"/>
          </a:p>
        </c:rich>
      </c:tx>
      <c:layout>
        <c:manualLayout>
          <c:xMode val="edge"/>
          <c:yMode val="edge"/>
          <c:x val="0.31523386260871739"/>
          <c:y val="0.1522413988724650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trendline>
            <c:spPr>
              <a:ln w="19050" cap="rnd">
                <a:solidFill>
                  <a:schemeClr val="accent2"/>
                </a:solidFill>
                <a:prstDash val="sysDash"/>
              </a:ln>
              <a:effectLst/>
            </c:spPr>
            <c:trendlineType val="linear"/>
            <c:dispRSqr val="0"/>
            <c:dispEq val="0"/>
          </c:trendline>
          <c:cat>
            <c:strRef>
              <c:f>Sheet6!$A$4:$A$9</c:f>
              <c:strCache>
                <c:ptCount val="5"/>
                <c:pt idx="0">
                  <c:v>2020</c:v>
                </c:pt>
                <c:pt idx="1">
                  <c:v>2021</c:v>
                </c:pt>
                <c:pt idx="2">
                  <c:v>2022</c:v>
                </c:pt>
                <c:pt idx="3">
                  <c:v>2023</c:v>
                </c:pt>
                <c:pt idx="4">
                  <c:v>2024</c:v>
                </c:pt>
              </c:strCache>
            </c:strRef>
          </c:cat>
          <c:val>
            <c:numRef>
              <c:f>Sheet6!$B$4:$B$9</c:f>
              <c:numCache>
                <c:formatCode>General</c:formatCode>
                <c:ptCount val="5"/>
                <c:pt idx="0">
                  <c:v>103993.99000000003</c:v>
                </c:pt>
                <c:pt idx="1">
                  <c:v>117312.86</c:v>
                </c:pt>
                <c:pt idx="2">
                  <c:v>139704.18999999997</c:v>
                </c:pt>
                <c:pt idx="3">
                  <c:v>134127.82999999999</c:v>
                </c:pt>
                <c:pt idx="4">
                  <c:v>128101.85999999999</c:v>
                </c:pt>
              </c:numCache>
            </c:numRef>
          </c:val>
          <c:smooth val="0"/>
          <c:extLst>
            <c:ext xmlns:c16="http://schemas.microsoft.com/office/drawing/2014/chart" uri="{C3380CC4-5D6E-409C-BE32-E72D297353CC}">
              <c16:uniqueId val="{00000001-AE63-4534-94E0-7A68C1E5734C}"/>
            </c:ext>
          </c:extLst>
        </c:ser>
        <c:dLbls>
          <c:showLegendKey val="0"/>
          <c:showVal val="0"/>
          <c:showCatName val="0"/>
          <c:showSerName val="0"/>
          <c:showPercent val="0"/>
          <c:showBubbleSize val="0"/>
        </c:dLbls>
        <c:marker val="1"/>
        <c:smooth val="0"/>
        <c:axId val="1896675216"/>
        <c:axId val="1995205808"/>
      </c:lineChart>
      <c:catAx>
        <c:axId val="189667521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95205808"/>
        <c:crosses val="autoZero"/>
        <c:auto val="1"/>
        <c:lblAlgn val="ctr"/>
        <c:lblOffset val="100"/>
        <c:noMultiLvlLbl val="0"/>
      </c:catAx>
      <c:valAx>
        <c:axId val="199520580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9667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Dashboard.xlsx]Sheet2!PivotTable1</c:name>
    <c:fmtId val="2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a:t>
            </a:r>
            <a:r>
              <a:rPr lang="en-IN" baseline="0"/>
              <a:t> BY CATEGORY</a:t>
            </a:r>
            <a:endParaRPr lang="en-IN"/>
          </a:p>
        </c:rich>
      </c:tx>
      <c:layout>
        <c:manualLayout>
          <c:xMode val="edge"/>
          <c:yMode val="edge"/>
          <c:x val="0.24123294128282199"/>
          <c:y val="0.1301799889217691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Sheet2!$A$4:$A$10</c:f>
              <c:strCache>
                <c:ptCount val="6"/>
                <c:pt idx="0">
                  <c:v>Books</c:v>
                </c:pt>
                <c:pt idx="1">
                  <c:v>Clothing</c:v>
                </c:pt>
                <c:pt idx="2">
                  <c:v>Electronics</c:v>
                </c:pt>
                <c:pt idx="3">
                  <c:v>Home &amp; Kitchen</c:v>
                </c:pt>
                <c:pt idx="4">
                  <c:v>Sports &amp; Outdoors</c:v>
                </c:pt>
                <c:pt idx="5">
                  <c:v>Toys &amp; Games</c:v>
                </c:pt>
              </c:strCache>
            </c:strRef>
          </c:cat>
          <c:val>
            <c:numRef>
              <c:f>Sheet2!$B$4:$B$10</c:f>
              <c:numCache>
                <c:formatCode>"₹"\ #,##0.00</c:formatCode>
                <c:ptCount val="6"/>
                <c:pt idx="0">
                  <c:v>156532.84000000003</c:v>
                </c:pt>
                <c:pt idx="1">
                  <c:v>129244.40999999999</c:v>
                </c:pt>
                <c:pt idx="2">
                  <c:v>173197.66000000018</c:v>
                </c:pt>
                <c:pt idx="3">
                  <c:v>173991.94</c:v>
                </c:pt>
                <c:pt idx="4">
                  <c:v>138051.74999999994</c:v>
                </c:pt>
                <c:pt idx="5">
                  <c:v>146857.29999999987</c:v>
                </c:pt>
              </c:numCache>
            </c:numRef>
          </c:val>
          <c:extLst>
            <c:ext xmlns:c16="http://schemas.microsoft.com/office/drawing/2014/chart" uri="{C3380CC4-5D6E-409C-BE32-E72D297353CC}">
              <c16:uniqueId val="{00000000-853B-4611-BBA0-82D46A475667}"/>
            </c:ext>
          </c:extLst>
        </c:ser>
        <c:dLbls>
          <c:showLegendKey val="0"/>
          <c:showVal val="0"/>
          <c:showCatName val="0"/>
          <c:showSerName val="0"/>
          <c:showPercent val="0"/>
          <c:showBubbleSize val="0"/>
        </c:dLbls>
        <c:gapWidth val="100"/>
        <c:overlap val="-24"/>
        <c:axId val="344491472"/>
        <c:axId val="2123500528"/>
      </c:barChart>
      <c:catAx>
        <c:axId val="3444914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3500528"/>
        <c:crosses val="autoZero"/>
        <c:auto val="1"/>
        <c:lblAlgn val="ctr"/>
        <c:lblOffset val="100"/>
        <c:noMultiLvlLbl val="0"/>
      </c:catAx>
      <c:valAx>
        <c:axId val="2123500528"/>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449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Dashboard.xlsx]Sheet4!PivotTable3</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a:t>
            </a:r>
            <a:r>
              <a:rPr lang="en-US" b="1" baseline="0"/>
              <a:t> Method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81-46EA-AA54-6F29F60A98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81-46EA-AA54-6F29F60A98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81-46EA-AA54-6F29F60A98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D81-46EA-AA54-6F29F60A982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D81-46EA-AA54-6F29F60A982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D81-46EA-AA54-6F29F60A982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D81-46EA-AA54-6F29F60A98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Sheet4!$A$4:$A$10</c:f>
              <c:strCache>
                <c:ptCount val="6"/>
                <c:pt idx="0">
                  <c:v>Amazon Pay</c:v>
                </c:pt>
                <c:pt idx="1">
                  <c:v>Cash on Delivery</c:v>
                </c:pt>
                <c:pt idx="2">
                  <c:v>Credit Card</c:v>
                </c:pt>
                <c:pt idx="3">
                  <c:v>Debit Card</c:v>
                </c:pt>
                <c:pt idx="4">
                  <c:v>Net Banking</c:v>
                </c:pt>
                <c:pt idx="5">
                  <c:v>UPI</c:v>
                </c:pt>
              </c:strCache>
            </c:strRef>
          </c:cat>
          <c:val>
            <c:numRef>
              <c:f>Sheet4!$B$4:$B$10</c:f>
              <c:numCache>
                <c:formatCode>General</c:formatCode>
                <c:ptCount val="6"/>
                <c:pt idx="0">
                  <c:v>173</c:v>
                </c:pt>
                <c:pt idx="1">
                  <c:v>59</c:v>
                </c:pt>
                <c:pt idx="2">
                  <c:v>305</c:v>
                </c:pt>
                <c:pt idx="3">
                  <c:v>223</c:v>
                </c:pt>
                <c:pt idx="4">
                  <c:v>100</c:v>
                </c:pt>
                <c:pt idx="5">
                  <c:v>140</c:v>
                </c:pt>
              </c:numCache>
            </c:numRef>
          </c:val>
          <c:extLst>
            <c:ext xmlns:c16="http://schemas.microsoft.com/office/drawing/2014/chart" uri="{C3380CC4-5D6E-409C-BE32-E72D297353CC}">
              <c16:uniqueId val="{0000000E-8D81-46EA-AA54-6F29F60A982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Dashboard.xlsx]Sheet8!PivotTable1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 BY SALES</a:t>
            </a:r>
            <a:endParaRPr lang="en-US" b="1"/>
          </a:p>
        </c:rich>
      </c:tx>
      <c:layout>
        <c:manualLayout>
          <c:xMode val="edge"/>
          <c:yMode val="edge"/>
          <c:x val="0.27082437510331347"/>
          <c:y val="0.1317009751005720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Sheet8!$A$4:$A$14</c:f>
              <c:strCache>
                <c:ptCount val="10"/>
                <c:pt idx="0">
                  <c:v>4K Monitor</c:v>
                </c:pt>
                <c:pt idx="1">
                  <c:v>Air Fryer</c:v>
                </c:pt>
                <c:pt idx="2">
                  <c:v>Dress Shirt</c:v>
                </c:pt>
                <c:pt idx="3">
                  <c:v>Instant Pot</c:v>
                </c:pt>
                <c:pt idx="4">
                  <c:v>Jeans</c:v>
                </c:pt>
                <c:pt idx="5">
                  <c:v>Kids Toy Car</c:v>
                </c:pt>
                <c:pt idx="6">
                  <c:v>Microphone</c:v>
                </c:pt>
                <c:pt idx="7">
                  <c:v>Novel Bestseller</c:v>
                </c:pt>
                <c:pt idx="8">
                  <c:v>Running Shoes</c:v>
                </c:pt>
                <c:pt idx="9">
                  <c:v>Vacuum Cleaner</c:v>
                </c:pt>
              </c:strCache>
            </c:strRef>
          </c:cat>
          <c:val>
            <c:numRef>
              <c:f>Sheet8!$B$4:$B$14</c:f>
              <c:numCache>
                <c:formatCode>0.00</c:formatCode>
                <c:ptCount val="10"/>
                <c:pt idx="0">
                  <c:v>75</c:v>
                </c:pt>
                <c:pt idx="1">
                  <c:v>85</c:v>
                </c:pt>
                <c:pt idx="2">
                  <c:v>78</c:v>
                </c:pt>
                <c:pt idx="3">
                  <c:v>73</c:v>
                </c:pt>
                <c:pt idx="4">
                  <c:v>73</c:v>
                </c:pt>
                <c:pt idx="5">
                  <c:v>78</c:v>
                </c:pt>
                <c:pt idx="6">
                  <c:v>85</c:v>
                </c:pt>
                <c:pt idx="7">
                  <c:v>82</c:v>
                </c:pt>
                <c:pt idx="8">
                  <c:v>82</c:v>
                </c:pt>
                <c:pt idx="9">
                  <c:v>76</c:v>
                </c:pt>
              </c:numCache>
            </c:numRef>
          </c:val>
          <c:extLst>
            <c:ext xmlns:c16="http://schemas.microsoft.com/office/drawing/2014/chart" uri="{C3380CC4-5D6E-409C-BE32-E72D297353CC}">
              <c16:uniqueId val="{00000000-C2E4-4715-898E-C7DDBA044B7F}"/>
            </c:ext>
          </c:extLst>
        </c:ser>
        <c:dLbls>
          <c:dLblPos val="outEnd"/>
          <c:showLegendKey val="0"/>
          <c:showVal val="1"/>
          <c:showCatName val="0"/>
          <c:showSerName val="0"/>
          <c:showPercent val="0"/>
          <c:showBubbleSize val="0"/>
        </c:dLbls>
        <c:gapWidth val="182"/>
        <c:axId val="399587344"/>
        <c:axId val="399573424"/>
      </c:barChart>
      <c:catAx>
        <c:axId val="39958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573424"/>
        <c:crosses val="autoZero"/>
        <c:auto val="1"/>
        <c:lblAlgn val="ctr"/>
        <c:lblOffset val="100"/>
        <c:noMultiLvlLbl val="0"/>
      </c:catAx>
      <c:valAx>
        <c:axId val="399573424"/>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9958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Dashboard.xlsx]Sheet5!PivotTable4</c:name>
    <c:fmtId val="3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Order</a:t>
            </a:r>
            <a:r>
              <a:rPr lang="en-IN" baseline="0"/>
              <a:t> Status</a:t>
            </a:r>
            <a:endParaRPr lang="en-IN"/>
          </a:p>
        </c:rich>
      </c:tx>
      <c:layout>
        <c:manualLayout>
          <c:xMode val="edge"/>
          <c:yMode val="edge"/>
          <c:x val="0.43796234549607771"/>
          <c:y val="0.1033693462735762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00144455791054"/>
          <c:y val="0.29831120673869255"/>
          <c:w val="0.38194898556008372"/>
          <c:h val="0.59122367698223766"/>
        </c:manualLayout>
      </c:layout>
      <c:barChart>
        <c:barDir val="bar"/>
        <c:grouping val="clustered"/>
        <c:varyColors val="0"/>
        <c:ser>
          <c:idx val="0"/>
          <c:order val="0"/>
          <c:tx>
            <c:strRef>
              <c:f>Sheet5!$B$3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Cancelled</c:v>
                </c:pt>
                <c:pt idx="1">
                  <c:v>Delivered</c:v>
                </c:pt>
                <c:pt idx="2">
                  <c:v>Pending</c:v>
                </c:pt>
                <c:pt idx="3">
                  <c:v>Returned</c:v>
                </c:pt>
                <c:pt idx="4">
                  <c:v>Shipped</c:v>
                </c:pt>
              </c:strCache>
            </c:strRef>
          </c:cat>
          <c:val>
            <c:numRef>
              <c:f>Sheet5!$B$4:$B$9</c:f>
              <c:numCache>
                <c:formatCode>General</c:formatCode>
                <c:ptCount val="5"/>
                <c:pt idx="0">
                  <c:v>28</c:v>
                </c:pt>
                <c:pt idx="1">
                  <c:v>723</c:v>
                </c:pt>
                <c:pt idx="2">
                  <c:v>46</c:v>
                </c:pt>
                <c:pt idx="3">
                  <c:v>37</c:v>
                </c:pt>
                <c:pt idx="4">
                  <c:v>166</c:v>
                </c:pt>
              </c:numCache>
            </c:numRef>
          </c:val>
          <c:extLst>
            <c:ext xmlns:c16="http://schemas.microsoft.com/office/drawing/2014/chart" uri="{C3380CC4-5D6E-409C-BE32-E72D297353CC}">
              <c16:uniqueId val="{00000000-5011-4D4E-848A-7B8E010DE1D5}"/>
            </c:ext>
          </c:extLst>
        </c:ser>
        <c:dLbls>
          <c:dLblPos val="outEnd"/>
          <c:showLegendKey val="0"/>
          <c:showVal val="1"/>
          <c:showCatName val="0"/>
          <c:showSerName val="0"/>
          <c:showPercent val="0"/>
          <c:showBubbleSize val="0"/>
        </c:dLbls>
        <c:gapWidth val="100"/>
        <c:axId val="1896684032"/>
        <c:axId val="1995218768"/>
      </c:barChart>
      <c:catAx>
        <c:axId val="18966840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218768"/>
        <c:crosses val="autoZero"/>
        <c:auto val="1"/>
        <c:lblAlgn val="ctr"/>
        <c:lblOffset val="100"/>
        <c:noMultiLvlLbl val="0"/>
      </c:catAx>
      <c:valAx>
        <c:axId val="199521876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9668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Dashboard.xlsx]Sheet11!PivotTable7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a:t>
            </a:r>
            <a:r>
              <a:rPr lang="en-IN" b="1" baseline="0"/>
              <a:t> QUANTITY SOLD</a:t>
            </a:r>
            <a:endParaRPr lang="en-IN" b="1"/>
          </a:p>
        </c:rich>
      </c:tx>
      <c:layout>
        <c:manualLayout>
          <c:xMode val="edge"/>
          <c:yMode val="edge"/>
          <c:x val="0.27620822397200356"/>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Sheet11!$A$4:$A$16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Sheet11!$B$4:$B$16</c:f>
              <c:numCache>
                <c:formatCode>0.00</c:formatCode>
                <c:ptCount val="12"/>
                <c:pt idx="0">
                  <c:v>264</c:v>
                </c:pt>
                <c:pt idx="1">
                  <c:v>278</c:v>
                </c:pt>
                <c:pt idx="2">
                  <c:v>258</c:v>
                </c:pt>
                <c:pt idx="3">
                  <c:v>246</c:v>
                </c:pt>
                <c:pt idx="4">
                  <c:v>286</c:v>
                </c:pt>
                <c:pt idx="5">
                  <c:v>255</c:v>
                </c:pt>
                <c:pt idx="6">
                  <c:v>237</c:v>
                </c:pt>
                <c:pt idx="7">
                  <c:v>257</c:v>
                </c:pt>
                <c:pt idx="8">
                  <c:v>218</c:v>
                </c:pt>
                <c:pt idx="9">
                  <c:v>280</c:v>
                </c:pt>
                <c:pt idx="10">
                  <c:v>228</c:v>
                </c:pt>
                <c:pt idx="11">
                  <c:v>268</c:v>
                </c:pt>
              </c:numCache>
            </c:numRef>
          </c:val>
          <c:extLst>
            <c:ext xmlns:c16="http://schemas.microsoft.com/office/drawing/2014/chart" uri="{C3380CC4-5D6E-409C-BE32-E72D297353CC}">
              <c16:uniqueId val="{00000000-6D1F-4075-A081-0F7F23AB61BE}"/>
            </c:ext>
          </c:extLst>
        </c:ser>
        <c:dLbls>
          <c:showLegendKey val="0"/>
          <c:showVal val="0"/>
          <c:showCatName val="0"/>
          <c:showSerName val="0"/>
          <c:showPercent val="0"/>
          <c:showBubbleSize val="0"/>
        </c:dLbls>
        <c:gapWidth val="219"/>
        <c:overlap val="-27"/>
        <c:axId val="2000011888"/>
        <c:axId val="2000013328"/>
      </c:barChart>
      <c:catAx>
        <c:axId val="200001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013328"/>
        <c:crosses val="autoZero"/>
        <c:auto val="1"/>
        <c:lblAlgn val="ctr"/>
        <c:lblOffset val="100"/>
        <c:noMultiLvlLbl val="0"/>
      </c:catAx>
      <c:valAx>
        <c:axId val="20000133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01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hyperlink" Target="https://pixabay.com/vectors/box-cardboard-packaging-container-30004/" TargetMode="External"/><Relationship Id="rId13" Type="http://schemas.openxmlformats.org/officeDocument/2006/relationships/image" Target="../media/image9.png"/><Relationship Id="rId18" Type="http://schemas.openxmlformats.org/officeDocument/2006/relationships/chart" Target="../charts/chart9.xml"/><Relationship Id="rId3" Type="http://schemas.openxmlformats.org/officeDocument/2006/relationships/image" Target="../media/image2.png"/><Relationship Id="rId21" Type="http://schemas.openxmlformats.org/officeDocument/2006/relationships/chart" Target="../charts/chart12.xml"/><Relationship Id="rId7" Type="http://schemas.openxmlformats.org/officeDocument/2006/relationships/image" Target="../media/image5.png"/><Relationship Id="rId12" Type="http://schemas.openxmlformats.org/officeDocument/2006/relationships/image" Target="../media/image8.svg"/><Relationship Id="rId17" Type="http://schemas.openxmlformats.org/officeDocument/2006/relationships/chart" Target="../charts/chart8.xml"/><Relationship Id="rId2" Type="http://schemas.openxmlformats.org/officeDocument/2006/relationships/hyperlink" Target="https://mossegalapoma.cat/passejant-pel-mwc17-programa-313/" TargetMode="External"/><Relationship Id="rId16" Type="http://schemas.openxmlformats.org/officeDocument/2006/relationships/hyperlink" Target="https://longlivelocke.blogspot.com/2010/10/every-day-every-day-every-day-every-day.html" TargetMode="External"/><Relationship Id="rId20"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4.svg"/><Relationship Id="rId11" Type="http://schemas.openxmlformats.org/officeDocument/2006/relationships/image" Target="../media/image7.png"/><Relationship Id="rId24" Type="http://schemas.openxmlformats.org/officeDocument/2006/relationships/hyperlink" Target="https://www.pngall.com/5-star-rating-png/download/39091" TargetMode="External"/><Relationship Id="rId5" Type="http://schemas.openxmlformats.org/officeDocument/2006/relationships/image" Target="../media/image3.png"/><Relationship Id="rId15" Type="http://schemas.openxmlformats.org/officeDocument/2006/relationships/image" Target="../media/image11.jpeg"/><Relationship Id="rId23" Type="http://schemas.openxmlformats.org/officeDocument/2006/relationships/image" Target="../media/image12.png"/><Relationship Id="rId10" Type="http://schemas.openxmlformats.org/officeDocument/2006/relationships/hyperlink" Target="https://openclipart.org/detail/31207/saco-by-rg1024" TargetMode="External"/><Relationship Id="rId19" Type="http://schemas.openxmlformats.org/officeDocument/2006/relationships/chart" Target="../charts/chart10.xml"/><Relationship Id="rId4" Type="http://schemas.openxmlformats.org/officeDocument/2006/relationships/hyperlink" Target="https://freepngimg.com/png/70851-currency-money-payment-bag-free-transparent-image-hq" TargetMode="External"/><Relationship Id="rId9" Type="http://schemas.openxmlformats.org/officeDocument/2006/relationships/image" Target="../media/image6.png"/><Relationship Id="rId14" Type="http://schemas.openxmlformats.org/officeDocument/2006/relationships/image" Target="../media/image10.svg"/><Relationship Id="rId22"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5</xdr:col>
      <xdr:colOff>137160</xdr:colOff>
      <xdr:row>0</xdr:row>
      <xdr:rowOff>118110</xdr:rowOff>
    </xdr:from>
    <xdr:to>
      <xdr:col>12</xdr:col>
      <xdr:colOff>312420</xdr:colOff>
      <xdr:row>15</xdr:row>
      <xdr:rowOff>106680</xdr:rowOff>
    </xdr:to>
    <xdr:graphicFrame macro="">
      <xdr:nvGraphicFramePr>
        <xdr:cNvPr id="2" name="Chart 1">
          <a:extLst>
            <a:ext uri="{FF2B5EF4-FFF2-40B4-BE49-F238E27FC236}">
              <a16:creationId xmlns:a16="http://schemas.microsoft.com/office/drawing/2014/main" id="{DB3C21B1-785C-E3AB-CD2D-2FCAB7B3C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60960</xdr:colOff>
      <xdr:row>1</xdr:row>
      <xdr:rowOff>91441</xdr:rowOff>
    </xdr:from>
    <xdr:to>
      <xdr:col>16</xdr:col>
      <xdr:colOff>60960</xdr:colOff>
      <xdr:row>12</xdr:row>
      <xdr:rowOff>152400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713C9165-C9C7-FAFD-A67A-C94CC87C33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159240" y="274321"/>
              <a:ext cx="1828800" cy="2072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220980</xdr:colOff>
      <xdr:row>0</xdr:row>
      <xdr:rowOff>171450</xdr:rowOff>
    </xdr:from>
    <xdr:to>
      <xdr:col>10</xdr:col>
      <xdr:colOff>525780</xdr:colOff>
      <xdr:row>15</xdr:row>
      <xdr:rowOff>171450</xdr:rowOff>
    </xdr:to>
    <xdr:graphicFrame macro="">
      <xdr:nvGraphicFramePr>
        <xdr:cNvPr id="3" name="Chart 2">
          <a:extLst>
            <a:ext uri="{FF2B5EF4-FFF2-40B4-BE49-F238E27FC236}">
              <a16:creationId xmlns:a16="http://schemas.microsoft.com/office/drawing/2014/main" id="{75202122-2906-D2BE-A7CD-FF6F94008B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487680</xdr:colOff>
      <xdr:row>1</xdr:row>
      <xdr:rowOff>15240</xdr:rowOff>
    </xdr:from>
    <xdr:to>
      <xdr:col>10</xdr:col>
      <xdr:colOff>586740</xdr:colOff>
      <xdr:row>16</xdr:row>
      <xdr:rowOff>133350</xdr:rowOff>
    </xdr:to>
    <xdr:graphicFrame macro="">
      <xdr:nvGraphicFramePr>
        <xdr:cNvPr id="2" name="Chart 1">
          <a:extLst>
            <a:ext uri="{FF2B5EF4-FFF2-40B4-BE49-F238E27FC236}">
              <a16:creationId xmlns:a16="http://schemas.microsoft.com/office/drawing/2014/main" id="{9B886926-475B-A9E6-B3F0-35FE898B8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83820</xdr:colOff>
      <xdr:row>1</xdr:row>
      <xdr:rowOff>175260</xdr:rowOff>
    </xdr:from>
    <xdr:to>
      <xdr:col>15</xdr:col>
      <xdr:colOff>83820</xdr:colOff>
      <xdr:row>12</xdr:row>
      <xdr:rowOff>160021</xdr:rowOff>
    </xdr:to>
    <mc:AlternateContent xmlns:mc="http://schemas.openxmlformats.org/markup-compatibility/2006" xmlns:a14="http://schemas.microsoft.com/office/drawing/2010/main">
      <mc:Choice Requires="a14">
        <xdr:graphicFrame macro="">
          <xdr:nvGraphicFramePr>
            <xdr:cNvPr id="3" name="PaymentMethod">
              <a:extLst>
                <a:ext uri="{FF2B5EF4-FFF2-40B4-BE49-F238E27FC236}">
                  <a16:creationId xmlns:a16="http://schemas.microsoft.com/office/drawing/2014/main" id="{4D56C0F2-CD4F-25E8-F836-CE6F786702EF}"/>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8237220" y="358140"/>
              <a:ext cx="1828800" cy="1996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403860</xdr:colOff>
      <xdr:row>0</xdr:row>
      <xdr:rowOff>68580</xdr:rowOff>
    </xdr:from>
    <xdr:to>
      <xdr:col>10</xdr:col>
      <xdr:colOff>99060</xdr:colOff>
      <xdr:row>15</xdr:row>
      <xdr:rowOff>68580</xdr:rowOff>
    </xdr:to>
    <xdr:graphicFrame macro="">
      <xdr:nvGraphicFramePr>
        <xdr:cNvPr id="3" name="Chart 2">
          <a:extLst>
            <a:ext uri="{FF2B5EF4-FFF2-40B4-BE49-F238E27FC236}">
              <a16:creationId xmlns:a16="http://schemas.microsoft.com/office/drawing/2014/main" id="{2301BA0A-6D68-7684-28AE-DBBC24DD3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0</xdr:row>
      <xdr:rowOff>91441</xdr:rowOff>
    </xdr:from>
    <xdr:to>
      <xdr:col>14</xdr:col>
      <xdr:colOff>487680</xdr:colOff>
      <xdr:row>9</xdr:row>
      <xdr:rowOff>91441</xdr:rowOff>
    </xdr:to>
    <mc:AlternateContent xmlns:mc="http://schemas.openxmlformats.org/markup-compatibility/2006" xmlns:a14="http://schemas.microsoft.com/office/drawing/2010/main">
      <mc:Choice Requires="a14">
        <xdr:graphicFrame macro="">
          <xdr:nvGraphicFramePr>
            <xdr:cNvPr id="2" name="OrderStatus">
              <a:extLst>
                <a:ext uri="{FF2B5EF4-FFF2-40B4-BE49-F238E27FC236}">
                  <a16:creationId xmlns:a16="http://schemas.microsoft.com/office/drawing/2014/main" id="{DFA89F02-9AD8-45A7-2DA6-852AB3BCC27D}"/>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8016240" y="91441"/>
              <a:ext cx="170688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571500</xdr:colOff>
      <xdr:row>0</xdr:row>
      <xdr:rowOff>179070</xdr:rowOff>
    </xdr:from>
    <xdr:to>
      <xdr:col>11</xdr:col>
      <xdr:colOff>266700</xdr:colOff>
      <xdr:row>15</xdr:row>
      <xdr:rowOff>179070</xdr:rowOff>
    </xdr:to>
    <xdr:graphicFrame macro="">
      <xdr:nvGraphicFramePr>
        <xdr:cNvPr id="2" name="Chart 1">
          <a:extLst>
            <a:ext uri="{FF2B5EF4-FFF2-40B4-BE49-F238E27FC236}">
              <a16:creationId xmlns:a16="http://schemas.microsoft.com/office/drawing/2014/main" id="{5264A328-4B6A-2EAA-EC8F-FB10837AC6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591458</xdr:colOff>
      <xdr:row>0</xdr:row>
      <xdr:rowOff>145142</xdr:rowOff>
    </xdr:from>
    <xdr:to>
      <xdr:col>12</xdr:col>
      <xdr:colOff>286658</xdr:colOff>
      <xdr:row>15</xdr:row>
      <xdr:rowOff>166913</xdr:rowOff>
    </xdr:to>
    <xdr:graphicFrame macro="">
      <xdr:nvGraphicFramePr>
        <xdr:cNvPr id="3" name="Chart 2">
          <a:extLst>
            <a:ext uri="{FF2B5EF4-FFF2-40B4-BE49-F238E27FC236}">
              <a16:creationId xmlns:a16="http://schemas.microsoft.com/office/drawing/2014/main" id="{3F1A6713-6131-6460-DFC5-CF2C97A0E3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175260</xdr:colOff>
      <xdr:row>1</xdr:row>
      <xdr:rowOff>11430</xdr:rowOff>
    </xdr:from>
    <xdr:to>
      <xdr:col>11</xdr:col>
      <xdr:colOff>480060</xdr:colOff>
      <xdr:row>16</xdr:row>
      <xdr:rowOff>11430</xdr:rowOff>
    </xdr:to>
    <xdr:graphicFrame macro="">
      <xdr:nvGraphicFramePr>
        <xdr:cNvPr id="2" name="Chart 1">
          <a:extLst>
            <a:ext uri="{FF2B5EF4-FFF2-40B4-BE49-F238E27FC236}">
              <a16:creationId xmlns:a16="http://schemas.microsoft.com/office/drawing/2014/main" id="{7E028506-A35E-9DAE-A059-08ECB1375E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25399</xdr:rowOff>
    </xdr:from>
    <xdr:to>
      <xdr:col>5</xdr:col>
      <xdr:colOff>80826</xdr:colOff>
      <xdr:row>2</xdr:row>
      <xdr:rowOff>186266</xdr:rowOff>
    </xdr:to>
    <xdr:pic>
      <xdr:nvPicPr>
        <xdr:cNvPr id="3" name="Picture 2">
          <a:extLst>
            <a:ext uri="{FF2B5EF4-FFF2-40B4-BE49-F238E27FC236}">
              <a16:creationId xmlns:a16="http://schemas.microsoft.com/office/drawing/2014/main" id="{3CB662D8-2D0B-B5EC-F8D5-72811B3F06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25399"/>
          <a:ext cx="3128826" cy="694267"/>
        </a:xfrm>
        <a:prstGeom prst="rect">
          <a:avLst/>
        </a:prstGeom>
      </xdr:spPr>
    </xdr:pic>
    <xdr:clientData/>
  </xdr:twoCellAnchor>
  <xdr:oneCellAnchor>
    <xdr:from>
      <xdr:col>8</xdr:col>
      <xdr:colOff>0</xdr:colOff>
      <xdr:row>13</xdr:row>
      <xdr:rowOff>25400</xdr:rowOff>
    </xdr:from>
    <xdr:ext cx="4857750" cy="233205"/>
    <xdr:sp macro="" textlink="">
      <xdr:nvSpPr>
        <xdr:cNvPr id="4" name="TextBox 3">
          <a:extLst>
            <a:ext uri="{FF2B5EF4-FFF2-40B4-BE49-F238E27FC236}">
              <a16:creationId xmlns:a16="http://schemas.microsoft.com/office/drawing/2014/main" id="{BB8F58F1-F644-DAFD-DA0E-C83DC4C02F78}"/>
            </a:ext>
          </a:extLst>
        </xdr:cNvPr>
        <xdr:cNvSpPr txBox="1"/>
      </xdr:nvSpPr>
      <xdr:spPr>
        <a:xfrm>
          <a:off x="4876800" y="2607733"/>
          <a:ext cx="485775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oneCellAnchor>
    <xdr:from>
      <xdr:col>4</xdr:col>
      <xdr:colOff>0</xdr:colOff>
      <xdr:row>18</xdr:row>
      <xdr:rowOff>105669</xdr:rowOff>
    </xdr:from>
    <xdr:ext cx="2340869" cy="233205"/>
    <xdr:sp macro="" textlink="">
      <xdr:nvSpPr>
        <xdr:cNvPr id="7" name="TextBox 6">
          <a:extLst>
            <a:ext uri="{FF2B5EF4-FFF2-40B4-BE49-F238E27FC236}">
              <a16:creationId xmlns:a16="http://schemas.microsoft.com/office/drawing/2014/main" id="{586725FB-CDE6-89F7-7C82-D89A702158FA}"/>
            </a:ext>
          </a:extLst>
        </xdr:cNvPr>
        <xdr:cNvSpPr txBox="1"/>
      </xdr:nvSpPr>
      <xdr:spPr>
        <a:xfrm>
          <a:off x="2438400" y="3619336"/>
          <a:ext cx="2340869"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4</xdr:col>
      <xdr:colOff>423332</xdr:colOff>
      <xdr:row>4</xdr:row>
      <xdr:rowOff>76199</xdr:rowOff>
    </xdr:from>
    <xdr:to>
      <xdr:col>5</xdr:col>
      <xdr:colOff>330197</xdr:colOff>
      <xdr:row>7</xdr:row>
      <xdr:rowOff>33864</xdr:rowOff>
    </xdr:to>
    <xdr:pic>
      <xdr:nvPicPr>
        <xdr:cNvPr id="10" name="Picture 9">
          <a:extLst>
            <a:ext uri="{FF2B5EF4-FFF2-40B4-BE49-F238E27FC236}">
              <a16:creationId xmlns:a16="http://schemas.microsoft.com/office/drawing/2014/main" id="{A8E977AD-6371-4797-8083-D23670869F07}"/>
            </a:ext>
          </a:extLst>
        </xdr:cNvPr>
        <xdr:cNvPicPr>
          <a:picLocks noChangeAspect="1"/>
        </xdr:cNvPicPr>
      </xdr:nvPicPr>
      <xdr:blipFill>
        <a:blip xmlns:r="http://schemas.openxmlformats.org/officeDocument/2006/relationships" r:embed="rId3" cstate="print">
          <a:biLevel thresh="25000"/>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2861732" y="982132"/>
          <a:ext cx="516465" cy="516465"/>
        </a:xfrm>
        <a:prstGeom prst="rect">
          <a:avLst/>
        </a:prstGeom>
      </xdr:spPr>
    </xdr:pic>
    <xdr:clientData/>
  </xdr:twoCellAnchor>
  <xdr:twoCellAnchor>
    <xdr:from>
      <xdr:col>13</xdr:col>
      <xdr:colOff>270933</xdr:colOff>
      <xdr:row>3</xdr:row>
      <xdr:rowOff>143933</xdr:rowOff>
    </xdr:from>
    <xdr:to>
      <xdr:col>14</xdr:col>
      <xdr:colOff>313267</xdr:colOff>
      <xdr:row>8</xdr:row>
      <xdr:rowOff>25400</xdr:rowOff>
    </xdr:to>
    <xdr:sp macro="" textlink="">
      <xdr:nvSpPr>
        <xdr:cNvPr id="17" name="Rectangle: Rounded Corners 16">
          <a:extLst>
            <a:ext uri="{FF2B5EF4-FFF2-40B4-BE49-F238E27FC236}">
              <a16:creationId xmlns:a16="http://schemas.microsoft.com/office/drawing/2014/main" id="{675F5BA5-0F01-40D7-A4F4-49D91660213C}"/>
            </a:ext>
          </a:extLst>
        </xdr:cNvPr>
        <xdr:cNvSpPr/>
      </xdr:nvSpPr>
      <xdr:spPr>
        <a:xfrm>
          <a:off x="8195733" y="863600"/>
          <a:ext cx="651934" cy="812800"/>
        </a:xfrm>
        <a:prstGeom prst="roundRect">
          <a:avLst/>
        </a:prstGeom>
        <a:solidFill>
          <a:schemeClr val="accent2"/>
        </a:solidFill>
        <a:ln>
          <a:solidFill>
            <a:schemeClr val="tx1"/>
          </a:solidFill>
        </a:ln>
        <a:scene3d>
          <a:camera prst="perspectiveRigh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431800</xdr:colOff>
      <xdr:row>3</xdr:row>
      <xdr:rowOff>177799</xdr:rowOff>
    </xdr:from>
    <xdr:to>
      <xdr:col>5</xdr:col>
      <xdr:colOff>474133</xdr:colOff>
      <xdr:row>8</xdr:row>
      <xdr:rowOff>110066</xdr:rowOff>
    </xdr:to>
    <xdr:sp macro="" textlink="">
      <xdr:nvSpPr>
        <xdr:cNvPr id="19" name="Rectangle: Rounded Corners 18">
          <a:extLst>
            <a:ext uri="{FF2B5EF4-FFF2-40B4-BE49-F238E27FC236}">
              <a16:creationId xmlns:a16="http://schemas.microsoft.com/office/drawing/2014/main" id="{C29CD777-0EE3-45A6-9307-362D41298B88}"/>
            </a:ext>
          </a:extLst>
        </xdr:cNvPr>
        <xdr:cNvSpPr/>
      </xdr:nvSpPr>
      <xdr:spPr>
        <a:xfrm>
          <a:off x="2870200" y="897466"/>
          <a:ext cx="651933" cy="863600"/>
        </a:xfrm>
        <a:prstGeom prst="roundRect">
          <a:avLst/>
        </a:prstGeom>
        <a:solidFill>
          <a:schemeClr val="accent2"/>
        </a:solidFill>
        <a:ln>
          <a:solidFill>
            <a:schemeClr val="tx1"/>
          </a:solidFill>
        </a:ln>
        <a:scene3d>
          <a:camera prst="perspectiveRigh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550333</xdr:colOff>
      <xdr:row>3</xdr:row>
      <xdr:rowOff>152399</xdr:rowOff>
    </xdr:from>
    <xdr:to>
      <xdr:col>9</xdr:col>
      <xdr:colOff>592667</xdr:colOff>
      <xdr:row>8</xdr:row>
      <xdr:rowOff>33866</xdr:rowOff>
    </xdr:to>
    <xdr:sp macro="" textlink="">
      <xdr:nvSpPr>
        <xdr:cNvPr id="21" name="Rectangle: Rounded Corners 20">
          <a:extLst>
            <a:ext uri="{FF2B5EF4-FFF2-40B4-BE49-F238E27FC236}">
              <a16:creationId xmlns:a16="http://schemas.microsoft.com/office/drawing/2014/main" id="{6082F21D-9CCB-4549-BF04-25A4A7F428F5}"/>
            </a:ext>
          </a:extLst>
        </xdr:cNvPr>
        <xdr:cNvSpPr/>
      </xdr:nvSpPr>
      <xdr:spPr>
        <a:xfrm>
          <a:off x="5427133" y="872066"/>
          <a:ext cx="651934" cy="812800"/>
        </a:xfrm>
        <a:prstGeom prst="roundRect">
          <a:avLst/>
        </a:prstGeom>
        <a:solidFill>
          <a:schemeClr val="accent2"/>
        </a:solidFill>
        <a:ln>
          <a:solidFill>
            <a:schemeClr val="tx1"/>
          </a:solidFill>
        </a:ln>
        <a:scene3d>
          <a:camera prst="perspectiveRigh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148548</xdr:colOff>
      <xdr:row>14</xdr:row>
      <xdr:rowOff>77893</xdr:rowOff>
    </xdr:from>
    <xdr:ext cx="1000000" cy="233205"/>
    <xdr:sp macro="" textlink="">
      <xdr:nvSpPr>
        <xdr:cNvPr id="27" name="TextBox 26">
          <a:extLst>
            <a:ext uri="{FF2B5EF4-FFF2-40B4-BE49-F238E27FC236}">
              <a16:creationId xmlns:a16="http://schemas.microsoft.com/office/drawing/2014/main" id="{75967840-A657-1BD0-F975-80D70B79EFE8}"/>
            </a:ext>
          </a:extLst>
        </xdr:cNvPr>
        <xdr:cNvSpPr txBox="1"/>
      </xdr:nvSpPr>
      <xdr:spPr>
        <a:xfrm>
          <a:off x="3196548" y="2846493"/>
          <a:ext cx="10000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8</xdr:col>
      <xdr:colOff>592665</xdr:colOff>
      <xdr:row>4</xdr:row>
      <xdr:rowOff>93134</xdr:rowOff>
    </xdr:from>
    <xdr:to>
      <xdr:col>9</xdr:col>
      <xdr:colOff>533398</xdr:colOff>
      <xdr:row>7</xdr:row>
      <xdr:rowOff>84667</xdr:rowOff>
    </xdr:to>
    <xdr:pic>
      <xdr:nvPicPr>
        <xdr:cNvPr id="29" name="Graphic 28" descr="Shopping cart with solid fill">
          <a:extLst>
            <a:ext uri="{FF2B5EF4-FFF2-40B4-BE49-F238E27FC236}">
              <a16:creationId xmlns:a16="http://schemas.microsoft.com/office/drawing/2014/main" id="{87F79B4B-77CD-6101-C77D-F6D67C8C22B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69465" y="999067"/>
          <a:ext cx="550333" cy="550333"/>
        </a:xfrm>
        <a:prstGeom prst="rect">
          <a:avLst/>
        </a:prstGeom>
      </xdr:spPr>
    </xdr:pic>
    <xdr:clientData/>
  </xdr:twoCellAnchor>
  <xdr:twoCellAnchor editAs="oneCell">
    <xdr:from>
      <xdr:col>13</xdr:col>
      <xdr:colOff>364067</xdr:colOff>
      <xdr:row>4</xdr:row>
      <xdr:rowOff>118534</xdr:rowOff>
    </xdr:from>
    <xdr:to>
      <xdr:col>14</xdr:col>
      <xdr:colOff>211667</xdr:colOff>
      <xdr:row>7</xdr:row>
      <xdr:rowOff>16934</xdr:rowOff>
    </xdr:to>
    <xdr:pic>
      <xdr:nvPicPr>
        <xdr:cNvPr id="33" name="Picture 32">
          <a:extLst>
            <a:ext uri="{FF2B5EF4-FFF2-40B4-BE49-F238E27FC236}">
              <a16:creationId xmlns:a16="http://schemas.microsoft.com/office/drawing/2014/main" id="{B122CC23-5D48-158D-FC1D-B002856F211D}"/>
            </a:ext>
          </a:extLst>
        </xdr:cNvPr>
        <xdr:cNvPicPr>
          <a:picLocks noChangeAspect="1"/>
        </xdr:cNvPicPr>
      </xdr:nvPicPr>
      <xdr:blipFill>
        <a:blip xmlns:r="http://schemas.openxmlformats.org/officeDocument/2006/relationships" r:embed="rId7" cstate="print">
          <a:duotone>
            <a:schemeClr val="bg2">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8288867" y="1024467"/>
          <a:ext cx="457200" cy="457200"/>
        </a:xfrm>
        <a:prstGeom prst="rect">
          <a:avLst/>
        </a:prstGeom>
      </xdr:spPr>
    </xdr:pic>
    <xdr:clientData/>
  </xdr:twoCellAnchor>
  <xdr:twoCellAnchor editAs="oneCell">
    <xdr:from>
      <xdr:col>4</xdr:col>
      <xdr:colOff>480308</xdr:colOff>
      <xdr:row>4</xdr:row>
      <xdr:rowOff>45096</xdr:rowOff>
    </xdr:from>
    <xdr:to>
      <xdr:col>5</xdr:col>
      <xdr:colOff>397932</xdr:colOff>
      <xdr:row>8</xdr:row>
      <xdr:rowOff>16934</xdr:rowOff>
    </xdr:to>
    <xdr:pic>
      <xdr:nvPicPr>
        <xdr:cNvPr id="35" name="Picture 34">
          <a:extLst>
            <a:ext uri="{FF2B5EF4-FFF2-40B4-BE49-F238E27FC236}">
              <a16:creationId xmlns:a16="http://schemas.microsoft.com/office/drawing/2014/main" id="{42CC6FDF-5944-CBC6-242E-F7CCD1B8A3B7}"/>
            </a:ext>
          </a:extLst>
        </xdr:cNvPr>
        <xdr:cNvPicPr>
          <a:picLocks noChangeAspect="1"/>
        </xdr:cNvPicPr>
      </xdr:nvPicPr>
      <xdr:blipFill>
        <a:blip xmlns:r="http://schemas.openxmlformats.org/officeDocument/2006/relationships" r:embed="rId9" cstate="print">
          <a:biLevel thresh="25000"/>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2918708" y="951029"/>
          <a:ext cx="527224" cy="716905"/>
        </a:xfrm>
        <a:prstGeom prst="rect">
          <a:avLst/>
        </a:prstGeom>
      </xdr:spPr>
    </xdr:pic>
    <xdr:clientData/>
  </xdr:twoCellAnchor>
  <xdr:twoCellAnchor editAs="oneCell">
    <xdr:from>
      <xdr:col>4</xdr:col>
      <xdr:colOff>522642</xdr:colOff>
      <xdr:row>5</xdr:row>
      <xdr:rowOff>118533</xdr:rowOff>
    </xdr:from>
    <xdr:to>
      <xdr:col>5</xdr:col>
      <xdr:colOff>348122</xdr:colOff>
      <xdr:row>7</xdr:row>
      <xdr:rowOff>112831</xdr:rowOff>
    </xdr:to>
    <xdr:pic>
      <xdr:nvPicPr>
        <xdr:cNvPr id="37" name="Graphic 36" descr="Dollar with solid fill">
          <a:extLst>
            <a:ext uri="{FF2B5EF4-FFF2-40B4-BE49-F238E27FC236}">
              <a16:creationId xmlns:a16="http://schemas.microsoft.com/office/drawing/2014/main" id="{0EA177A7-19A9-4ECE-8D65-69E2DB87ECC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961042" y="1210733"/>
          <a:ext cx="435080" cy="366831"/>
        </a:xfrm>
        <a:prstGeom prst="rect">
          <a:avLst/>
        </a:prstGeom>
      </xdr:spPr>
    </xdr:pic>
    <xdr:clientData/>
  </xdr:twoCellAnchor>
  <xdr:twoCellAnchor>
    <xdr:from>
      <xdr:col>18</xdr:col>
      <xdr:colOff>8468</xdr:colOff>
      <xdr:row>4</xdr:row>
      <xdr:rowOff>8467</xdr:rowOff>
    </xdr:from>
    <xdr:to>
      <xdr:col>18</xdr:col>
      <xdr:colOff>558801</xdr:colOff>
      <xdr:row>8</xdr:row>
      <xdr:rowOff>25401</xdr:rowOff>
    </xdr:to>
    <xdr:sp macro="" textlink="">
      <xdr:nvSpPr>
        <xdr:cNvPr id="38" name="Rectangle: Rounded Corners 37">
          <a:extLst>
            <a:ext uri="{FF2B5EF4-FFF2-40B4-BE49-F238E27FC236}">
              <a16:creationId xmlns:a16="http://schemas.microsoft.com/office/drawing/2014/main" id="{D4EBE178-1857-3F45-C68C-49C62280129B}"/>
            </a:ext>
          </a:extLst>
        </xdr:cNvPr>
        <xdr:cNvSpPr/>
      </xdr:nvSpPr>
      <xdr:spPr>
        <a:xfrm>
          <a:off x="10981268" y="914400"/>
          <a:ext cx="550333" cy="762001"/>
        </a:xfrm>
        <a:prstGeom prst="roundRect">
          <a:avLst/>
        </a:prstGeom>
        <a:solidFill>
          <a:schemeClr val="accent2"/>
        </a:solidFill>
        <a:ln>
          <a:solidFill>
            <a:sysClr val="windowText" lastClr="000000"/>
          </a:solidFill>
        </a:ln>
        <a:scene3d>
          <a:camera prst="perspectiveFron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18</xdr:col>
      <xdr:colOff>33865</xdr:colOff>
      <xdr:row>4</xdr:row>
      <xdr:rowOff>84668</xdr:rowOff>
    </xdr:from>
    <xdr:to>
      <xdr:col>18</xdr:col>
      <xdr:colOff>550331</xdr:colOff>
      <xdr:row>7</xdr:row>
      <xdr:rowOff>42334</xdr:rowOff>
    </xdr:to>
    <xdr:pic>
      <xdr:nvPicPr>
        <xdr:cNvPr id="40" name="Graphic 39" descr="Star with solid fill">
          <a:extLst>
            <a:ext uri="{FF2B5EF4-FFF2-40B4-BE49-F238E27FC236}">
              <a16:creationId xmlns:a16="http://schemas.microsoft.com/office/drawing/2014/main" id="{64BDC7E4-E658-187C-4893-25650DC4B7C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006665" y="990601"/>
          <a:ext cx="516466" cy="516466"/>
        </a:xfrm>
        <a:prstGeom prst="rect">
          <a:avLst/>
        </a:prstGeom>
      </xdr:spPr>
    </xdr:pic>
    <xdr:clientData/>
  </xdr:twoCellAnchor>
  <xdr:twoCellAnchor editAs="oneCell">
    <xdr:from>
      <xdr:col>2</xdr:col>
      <xdr:colOff>493607</xdr:colOff>
      <xdr:row>9</xdr:row>
      <xdr:rowOff>121074</xdr:rowOff>
    </xdr:from>
    <xdr:to>
      <xdr:col>5</xdr:col>
      <xdr:colOff>186266</xdr:colOff>
      <xdr:row>19</xdr:row>
      <xdr:rowOff>127000</xdr:rowOff>
    </xdr:to>
    <mc:AlternateContent xmlns:mc="http://schemas.openxmlformats.org/markup-compatibility/2006" xmlns:a14="http://schemas.microsoft.com/office/drawing/2010/main">
      <mc:Choice Requires="a14">
        <xdr:graphicFrame macro="">
          <xdr:nvGraphicFramePr>
            <xdr:cNvPr id="51" name="Category 2">
              <a:extLst>
                <a:ext uri="{FF2B5EF4-FFF2-40B4-BE49-F238E27FC236}">
                  <a16:creationId xmlns:a16="http://schemas.microsoft.com/office/drawing/2014/main" id="{7FA17F17-C91A-4788-92C6-80975C0DDF6B}"/>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712807" y="1958341"/>
              <a:ext cx="1521459" cy="1868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67734</xdr:colOff>
      <xdr:row>22</xdr:row>
      <xdr:rowOff>152401</xdr:rowOff>
    </xdr:from>
    <xdr:to>
      <xdr:col>2</xdr:col>
      <xdr:colOff>414867</xdr:colOff>
      <xdr:row>32</xdr:row>
      <xdr:rowOff>177801</xdr:rowOff>
    </xdr:to>
    <mc:AlternateContent xmlns:mc="http://schemas.openxmlformats.org/markup-compatibility/2006" xmlns:a14="http://schemas.microsoft.com/office/drawing/2010/main">
      <mc:Choice Requires="a14">
        <xdr:graphicFrame macro="">
          <xdr:nvGraphicFramePr>
            <xdr:cNvPr id="52" name="PaymentMethod 2">
              <a:extLst>
                <a:ext uri="{FF2B5EF4-FFF2-40B4-BE49-F238E27FC236}">
                  <a16:creationId xmlns:a16="http://schemas.microsoft.com/office/drawing/2014/main" id="{71C00356-6B15-0441-A8E9-D6B84052D4B8}"/>
                </a:ext>
              </a:extLst>
            </xdr:cNvPr>
            <xdr:cNvGraphicFramePr/>
          </xdr:nvGraphicFramePr>
          <xdr:xfrm>
            <a:off x="0" y="0"/>
            <a:ext cx="0" cy="0"/>
          </xdr:xfrm>
          <a:graphic>
            <a:graphicData uri="http://schemas.microsoft.com/office/drawing/2010/slicer">
              <sle:slicer xmlns:sle="http://schemas.microsoft.com/office/drawing/2010/slicer" name="PaymentMethod 2"/>
            </a:graphicData>
          </a:graphic>
        </xdr:graphicFrame>
      </mc:Choice>
      <mc:Fallback xmlns="">
        <xdr:sp macro="" textlink="">
          <xdr:nvSpPr>
            <xdr:cNvPr id="0" name=""/>
            <xdr:cNvSpPr>
              <a:spLocks noTextEdit="1"/>
            </xdr:cNvSpPr>
          </xdr:nvSpPr>
          <xdr:spPr>
            <a:xfrm>
              <a:off x="67734" y="4411134"/>
              <a:ext cx="1566333" cy="1888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491067</xdr:colOff>
      <xdr:row>22</xdr:row>
      <xdr:rowOff>22862</xdr:rowOff>
    </xdr:from>
    <xdr:to>
      <xdr:col>5</xdr:col>
      <xdr:colOff>270933</xdr:colOff>
      <xdr:row>30</xdr:row>
      <xdr:rowOff>152401</xdr:rowOff>
    </xdr:to>
    <mc:AlternateContent xmlns:mc="http://schemas.openxmlformats.org/markup-compatibility/2006" xmlns:a14="http://schemas.microsoft.com/office/drawing/2010/main">
      <mc:Choice Requires="a14">
        <xdr:graphicFrame macro="">
          <xdr:nvGraphicFramePr>
            <xdr:cNvPr id="53" name="OrderStatus 2">
              <a:extLst>
                <a:ext uri="{FF2B5EF4-FFF2-40B4-BE49-F238E27FC236}">
                  <a16:creationId xmlns:a16="http://schemas.microsoft.com/office/drawing/2014/main" id="{3A871724-1BDA-678A-B9DC-C91B2BAC947E}"/>
                </a:ext>
              </a:extLst>
            </xdr:cNvPr>
            <xdr:cNvGraphicFramePr/>
          </xdr:nvGraphicFramePr>
          <xdr:xfrm>
            <a:off x="0" y="0"/>
            <a:ext cx="0" cy="0"/>
          </xdr:xfrm>
          <a:graphic>
            <a:graphicData uri="http://schemas.microsoft.com/office/drawing/2010/slicer">
              <sle:slicer xmlns:sle="http://schemas.microsoft.com/office/drawing/2010/slicer" name="OrderStatus 2"/>
            </a:graphicData>
          </a:graphic>
        </xdr:graphicFrame>
      </mc:Choice>
      <mc:Fallback xmlns="">
        <xdr:sp macro="" textlink="">
          <xdr:nvSpPr>
            <xdr:cNvPr id="0" name=""/>
            <xdr:cNvSpPr>
              <a:spLocks noTextEdit="1"/>
            </xdr:cNvSpPr>
          </xdr:nvSpPr>
          <xdr:spPr>
            <a:xfrm>
              <a:off x="1710267" y="4281595"/>
              <a:ext cx="1608666" cy="16196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93133</xdr:colOff>
      <xdr:row>8</xdr:row>
      <xdr:rowOff>104985</xdr:rowOff>
    </xdr:from>
    <xdr:to>
      <xdr:col>2</xdr:col>
      <xdr:colOff>381000</xdr:colOff>
      <xdr:row>21</xdr:row>
      <xdr:rowOff>150493</xdr:rowOff>
    </xdr:to>
    <mc:AlternateContent xmlns:mc="http://schemas.openxmlformats.org/markup-compatibility/2006" xmlns:a14="http://schemas.microsoft.com/office/drawing/2010/main">
      <mc:Choice Requires="a14">
        <xdr:graphicFrame macro="">
          <xdr:nvGraphicFramePr>
            <xdr:cNvPr id="54" name="Months (OrderDate)">
              <a:extLst>
                <a:ext uri="{FF2B5EF4-FFF2-40B4-BE49-F238E27FC236}">
                  <a16:creationId xmlns:a16="http://schemas.microsoft.com/office/drawing/2014/main" id="{86EEC59B-0D66-06F5-A536-734779AF4001}"/>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93133" y="1755985"/>
              <a:ext cx="1507067"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126999</xdr:colOff>
      <xdr:row>3</xdr:row>
      <xdr:rowOff>135466</xdr:rowOff>
    </xdr:from>
    <xdr:to>
      <xdr:col>25</xdr:col>
      <xdr:colOff>448733</xdr:colOff>
      <xdr:row>12</xdr:row>
      <xdr:rowOff>0</xdr:rowOff>
    </xdr:to>
    <xdr:pic>
      <xdr:nvPicPr>
        <xdr:cNvPr id="56" name="Picture 55">
          <a:extLst>
            <a:ext uri="{FF2B5EF4-FFF2-40B4-BE49-F238E27FC236}">
              <a16:creationId xmlns:a16="http://schemas.microsoft.com/office/drawing/2014/main" id="{2F820D7E-50DD-00E0-92F0-03B9D999AB4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837473B0-CC2E-450A-ABE3-18F120FF3D39}">
              <a1611:picAttrSrcUrl xmlns:a1611="http://schemas.microsoft.com/office/drawing/2016/11/main" r:id="rId16"/>
            </a:ext>
          </a:extLst>
        </a:blip>
        <a:stretch>
          <a:fillRect/>
        </a:stretch>
      </xdr:blipFill>
      <xdr:spPr>
        <a:xfrm>
          <a:off x="14147799" y="855133"/>
          <a:ext cx="1540934" cy="1540934"/>
        </a:xfrm>
        <a:prstGeom prst="rect">
          <a:avLst/>
        </a:prstGeom>
      </xdr:spPr>
    </xdr:pic>
    <xdr:clientData/>
  </xdr:twoCellAnchor>
  <xdr:oneCellAnchor>
    <xdr:from>
      <xdr:col>15</xdr:col>
      <xdr:colOff>177800</xdr:colOff>
      <xdr:row>31</xdr:row>
      <xdr:rowOff>15407</xdr:rowOff>
    </xdr:from>
    <xdr:ext cx="1871133" cy="233205"/>
    <xdr:sp macro="" textlink="">
      <xdr:nvSpPr>
        <xdr:cNvPr id="57" name="TextBox 56">
          <a:extLst>
            <a:ext uri="{FF2B5EF4-FFF2-40B4-BE49-F238E27FC236}">
              <a16:creationId xmlns:a16="http://schemas.microsoft.com/office/drawing/2014/main" id="{F857B717-BFA8-91B5-0B7C-3289B0CDC9B8}"/>
            </a:ext>
          </a:extLst>
        </xdr:cNvPr>
        <xdr:cNvSpPr txBox="1"/>
      </xdr:nvSpPr>
      <xdr:spPr>
        <a:xfrm>
          <a:off x="9321800" y="5950540"/>
          <a:ext cx="1871133"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5</xdr:col>
      <xdr:colOff>347133</xdr:colOff>
      <xdr:row>8</xdr:row>
      <xdr:rowOff>169333</xdr:rowOff>
    </xdr:from>
    <xdr:to>
      <xdr:col>11</xdr:col>
      <xdr:colOff>304800</xdr:colOff>
      <xdr:row>21</xdr:row>
      <xdr:rowOff>76199</xdr:rowOff>
    </xdr:to>
    <xdr:sp macro="" textlink="">
      <xdr:nvSpPr>
        <xdr:cNvPr id="6" name="Rectangle 5">
          <a:extLst>
            <a:ext uri="{FF2B5EF4-FFF2-40B4-BE49-F238E27FC236}">
              <a16:creationId xmlns:a16="http://schemas.microsoft.com/office/drawing/2014/main" id="{ACB0A864-77F1-479F-A407-822005099D0E}"/>
            </a:ext>
          </a:extLst>
        </xdr:cNvPr>
        <xdr:cNvSpPr/>
      </xdr:nvSpPr>
      <xdr:spPr>
        <a:xfrm>
          <a:off x="3395133" y="1820333"/>
          <a:ext cx="3615267" cy="2328333"/>
        </a:xfrm>
        <a:prstGeom prst="rect">
          <a:avLst/>
        </a:prstGeom>
        <a:ln>
          <a:noFill/>
        </a:ln>
        <a:effectLst>
          <a:glow rad="139700">
            <a:schemeClr val="accent2">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5</xdr:col>
      <xdr:colOff>389467</xdr:colOff>
      <xdr:row>9</xdr:row>
      <xdr:rowOff>8467</xdr:rowOff>
    </xdr:from>
    <xdr:to>
      <xdr:col>11</xdr:col>
      <xdr:colOff>262466</xdr:colOff>
      <xdr:row>21</xdr:row>
      <xdr:rowOff>76200</xdr:rowOff>
    </xdr:to>
    <xdr:graphicFrame macro="">
      <xdr:nvGraphicFramePr>
        <xdr:cNvPr id="8" name="Chart 7">
          <a:extLst>
            <a:ext uri="{FF2B5EF4-FFF2-40B4-BE49-F238E27FC236}">
              <a16:creationId xmlns:a16="http://schemas.microsoft.com/office/drawing/2014/main" id="{361C71DC-9BEA-48CC-BDC5-8DED86287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499533</xdr:colOff>
      <xdr:row>8</xdr:row>
      <xdr:rowOff>152400</xdr:rowOff>
    </xdr:from>
    <xdr:to>
      <xdr:col>17</xdr:col>
      <xdr:colOff>575733</xdr:colOff>
      <xdr:row>21</xdr:row>
      <xdr:rowOff>61806</xdr:rowOff>
    </xdr:to>
    <xdr:sp macro="" textlink="">
      <xdr:nvSpPr>
        <xdr:cNvPr id="11" name="Rectangle 10">
          <a:extLst>
            <a:ext uri="{FF2B5EF4-FFF2-40B4-BE49-F238E27FC236}">
              <a16:creationId xmlns:a16="http://schemas.microsoft.com/office/drawing/2014/main" id="{D40AABE9-A58C-48EE-8B5A-26A8363B4590}"/>
            </a:ext>
          </a:extLst>
        </xdr:cNvPr>
        <xdr:cNvSpPr/>
      </xdr:nvSpPr>
      <xdr:spPr>
        <a:xfrm>
          <a:off x="7205133" y="1803400"/>
          <a:ext cx="3733800" cy="2330873"/>
        </a:xfrm>
        <a:prstGeom prst="rect">
          <a:avLst/>
        </a:prstGeom>
        <a:ln>
          <a:solidFill>
            <a:schemeClr val="tx1"/>
          </a:solidFill>
        </a:ln>
        <a:effectLst>
          <a:glow rad="139700">
            <a:schemeClr val="accent2">
              <a:satMod val="175000"/>
              <a:alpha val="40000"/>
            </a:schemeClr>
          </a:glow>
          <a:outerShdw blurRad="50800" dist="38100" algn="l" rotWithShape="0">
            <a:prstClr val="black">
              <a:alpha val="40000"/>
            </a:prstClr>
          </a:outerShdw>
        </a:effectLst>
        <a:scene3d>
          <a:camera prst="perspectiveFront"/>
          <a:lightRig rig="threePt" dir="t"/>
        </a:scene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11</xdr:col>
      <xdr:colOff>533400</xdr:colOff>
      <xdr:row>9</xdr:row>
      <xdr:rowOff>16933</xdr:rowOff>
    </xdr:from>
    <xdr:to>
      <xdr:col>17</xdr:col>
      <xdr:colOff>550333</xdr:colOff>
      <xdr:row>21</xdr:row>
      <xdr:rowOff>0</xdr:rowOff>
    </xdr:to>
    <xdr:graphicFrame macro="">
      <xdr:nvGraphicFramePr>
        <xdr:cNvPr id="13" name="Chart 12">
          <a:extLst>
            <a:ext uri="{FF2B5EF4-FFF2-40B4-BE49-F238E27FC236}">
              <a16:creationId xmlns:a16="http://schemas.microsoft.com/office/drawing/2014/main" id="{A8E7D10D-51EB-4A24-A676-EF1FC18E5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211667</xdr:colOff>
      <xdr:row>9</xdr:row>
      <xdr:rowOff>8466</xdr:rowOff>
    </xdr:from>
    <xdr:to>
      <xdr:col>23</xdr:col>
      <xdr:colOff>0</xdr:colOff>
      <xdr:row>20</xdr:row>
      <xdr:rowOff>135466</xdr:rowOff>
    </xdr:to>
    <xdr:sp macro="" textlink="">
      <xdr:nvSpPr>
        <xdr:cNvPr id="14" name="Rectangle 13">
          <a:extLst>
            <a:ext uri="{FF2B5EF4-FFF2-40B4-BE49-F238E27FC236}">
              <a16:creationId xmlns:a16="http://schemas.microsoft.com/office/drawing/2014/main" id="{1323FCBD-2D31-42FD-AB4B-CB8A8864C551}"/>
            </a:ext>
          </a:extLst>
        </xdr:cNvPr>
        <xdr:cNvSpPr/>
      </xdr:nvSpPr>
      <xdr:spPr>
        <a:xfrm>
          <a:off x="11184467" y="1845733"/>
          <a:ext cx="2836333" cy="2175933"/>
        </a:xfrm>
        <a:prstGeom prst="rect">
          <a:avLst/>
        </a:prstGeom>
        <a:ln>
          <a:solidFill>
            <a:schemeClr val="tx1"/>
          </a:solidFill>
        </a:ln>
        <a:effectLst>
          <a:glow rad="139700">
            <a:schemeClr val="accent2">
              <a:satMod val="175000"/>
              <a:alpha val="40000"/>
            </a:schemeClr>
          </a:glow>
          <a:outerShdw blurRad="50800" dist="38100" algn="l" rotWithShape="0">
            <a:prstClr val="black">
              <a:alpha val="40000"/>
            </a:prstClr>
          </a:outerShdw>
        </a:effectLst>
        <a:scene3d>
          <a:camera prst="perspectiveFront"/>
          <a:lightRig rig="threePt" dir="t"/>
        </a:scene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18</xdr:col>
      <xdr:colOff>228601</xdr:colOff>
      <xdr:row>9</xdr:row>
      <xdr:rowOff>33866</xdr:rowOff>
    </xdr:from>
    <xdr:to>
      <xdr:col>22</xdr:col>
      <xdr:colOff>601134</xdr:colOff>
      <xdr:row>20</xdr:row>
      <xdr:rowOff>126999</xdr:rowOff>
    </xdr:to>
    <xdr:graphicFrame macro="">
      <xdr:nvGraphicFramePr>
        <xdr:cNvPr id="15" name="Chart 14">
          <a:extLst>
            <a:ext uri="{FF2B5EF4-FFF2-40B4-BE49-F238E27FC236}">
              <a16:creationId xmlns:a16="http://schemas.microsoft.com/office/drawing/2014/main" id="{751F6094-664D-470E-933A-5A9584F5B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5</xdr:col>
      <xdr:colOff>313266</xdr:colOff>
      <xdr:row>22</xdr:row>
      <xdr:rowOff>25400</xdr:rowOff>
    </xdr:from>
    <xdr:to>
      <xdr:col>11</xdr:col>
      <xdr:colOff>397934</xdr:colOff>
      <xdr:row>34</xdr:row>
      <xdr:rowOff>59267</xdr:rowOff>
    </xdr:to>
    <xdr:sp macro="" textlink="">
      <xdr:nvSpPr>
        <xdr:cNvPr id="18" name="Rectangle 17">
          <a:extLst>
            <a:ext uri="{FF2B5EF4-FFF2-40B4-BE49-F238E27FC236}">
              <a16:creationId xmlns:a16="http://schemas.microsoft.com/office/drawing/2014/main" id="{223B1457-7FDF-41D5-9068-F3B0EDC33AE1}"/>
            </a:ext>
          </a:extLst>
        </xdr:cNvPr>
        <xdr:cNvSpPr/>
      </xdr:nvSpPr>
      <xdr:spPr>
        <a:xfrm>
          <a:off x="3361266" y="4284133"/>
          <a:ext cx="3742268" cy="2269067"/>
        </a:xfrm>
        <a:prstGeom prst="rect">
          <a:avLst/>
        </a:prstGeom>
        <a:ln>
          <a:solidFill>
            <a:schemeClr val="tx1"/>
          </a:solidFill>
        </a:ln>
        <a:effectLst>
          <a:glow rad="139700">
            <a:schemeClr val="accent2">
              <a:satMod val="175000"/>
              <a:alpha val="40000"/>
            </a:schemeClr>
          </a:glow>
          <a:outerShdw blurRad="50800" dist="38100" algn="l" rotWithShape="0">
            <a:prstClr val="black">
              <a:alpha val="40000"/>
            </a:prstClr>
          </a:outerShdw>
        </a:effectLst>
        <a:scene3d>
          <a:camera prst="perspectiveFront"/>
          <a:lightRig rig="threePt" dir="t"/>
        </a:scene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5</xdr:col>
      <xdr:colOff>355599</xdr:colOff>
      <xdr:row>22</xdr:row>
      <xdr:rowOff>42335</xdr:rowOff>
    </xdr:from>
    <xdr:to>
      <xdr:col>11</xdr:col>
      <xdr:colOff>347132</xdr:colOff>
      <xdr:row>34</xdr:row>
      <xdr:rowOff>16935</xdr:rowOff>
    </xdr:to>
    <xdr:graphicFrame macro="">
      <xdr:nvGraphicFramePr>
        <xdr:cNvPr id="20" name="Chart 19">
          <a:extLst>
            <a:ext uri="{FF2B5EF4-FFF2-40B4-BE49-F238E27FC236}">
              <a16:creationId xmlns:a16="http://schemas.microsoft.com/office/drawing/2014/main" id="{10BEE5B9-5F5F-41D0-BD45-9279BC87E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11</xdr:col>
      <xdr:colOff>558799</xdr:colOff>
      <xdr:row>22</xdr:row>
      <xdr:rowOff>50800</xdr:rowOff>
    </xdr:from>
    <xdr:to>
      <xdr:col>18</xdr:col>
      <xdr:colOff>33866</xdr:colOff>
      <xdr:row>34</xdr:row>
      <xdr:rowOff>67733</xdr:rowOff>
    </xdr:to>
    <xdr:sp macro="" textlink="">
      <xdr:nvSpPr>
        <xdr:cNvPr id="23" name="Rectangle 22">
          <a:extLst>
            <a:ext uri="{FF2B5EF4-FFF2-40B4-BE49-F238E27FC236}">
              <a16:creationId xmlns:a16="http://schemas.microsoft.com/office/drawing/2014/main" id="{F293ECF1-8E33-47C7-B043-F07415B69EE5}"/>
            </a:ext>
          </a:extLst>
        </xdr:cNvPr>
        <xdr:cNvSpPr/>
      </xdr:nvSpPr>
      <xdr:spPr>
        <a:xfrm>
          <a:off x="7264399" y="4309533"/>
          <a:ext cx="3742267" cy="2252133"/>
        </a:xfrm>
        <a:prstGeom prst="rect">
          <a:avLst/>
        </a:prstGeom>
        <a:ln>
          <a:solidFill>
            <a:schemeClr val="tx1"/>
          </a:solidFill>
        </a:ln>
        <a:effectLst>
          <a:glow rad="139700">
            <a:schemeClr val="accent2">
              <a:satMod val="175000"/>
              <a:alpha val="40000"/>
            </a:schemeClr>
          </a:glow>
          <a:outerShdw blurRad="50800" dist="38100" algn="l" rotWithShape="0">
            <a:prstClr val="black">
              <a:alpha val="40000"/>
            </a:prstClr>
          </a:outerShdw>
        </a:effectLst>
        <a:scene3d>
          <a:camera prst="perspectiveFront"/>
          <a:lightRig rig="threePt" dir="t"/>
        </a:scene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11</xdr:col>
      <xdr:colOff>584201</xdr:colOff>
      <xdr:row>22</xdr:row>
      <xdr:rowOff>59267</xdr:rowOff>
    </xdr:from>
    <xdr:to>
      <xdr:col>18</xdr:col>
      <xdr:colOff>8466</xdr:colOff>
      <xdr:row>34</xdr:row>
      <xdr:rowOff>42333</xdr:rowOff>
    </xdr:to>
    <xdr:graphicFrame macro="">
      <xdr:nvGraphicFramePr>
        <xdr:cNvPr id="24" name="Chart 23">
          <a:extLst>
            <a:ext uri="{FF2B5EF4-FFF2-40B4-BE49-F238E27FC236}">
              <a16:creationId xmlns:a16="http://schemas.microsoft.com/office/drawing/2014/main" id="{F4EEB763-2144-417E-9377-8046C5AAA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18</xdr:col>
      <xdr:colOff>237065</xdr:colOff>
      <xdr:row>21</xdr:row>
      <xdr:rowOff>127000</xdr:rowOff>
    </xdr:from>
    <xdr:to>
      <xdr:col>25</xdr:col>
      <xdr:colOff>287867</xdr:colOff>
      <xdr:row>34</xdr:row>
      <xdr:rowOff>152400</xdr:rowOff>
    </xdr:to>
    <xdr:sp macro="" textlink="">
      <xdr:nvSpPr>
        <xdr:cNvPr id="25" name="Rectangle 24">
          <a:extLst>
            <a:ext uri="{FF2B5EF4-FFF2-40B4-BE49-F238E27FC236}">
              <a16:creationId xmlns:a16="http://schemas.microsoft.com/office/drawing/2014/main" id="{8A329718-60A0-4328-AB7D-4D558AF2994B}"/>
            </a:ext>
          </a:extLst>
        </xdr:cNvPr>
        <xdr:cNvSpPr/>
      </xdr:nvSpPr>
      <xdr:spPr>
        <a:xfrm>
          <a:off x="11209865" y="4199467"/>
          <a:ext cx="4318002" cy="2446866"/>
        </a:xfrm>
        <a:prstGeom prst="rect">
          <a:avLst/>
        </a:prstGeom>
        <a:ln>
          <a:solidFill>
            <a:schemeClr val="tx1"/>
          </a:solidFill>
        </a:ln>
        <a:effectLst>
          <a:glow rad="139700">
            <a:schemeClr val="accent2">
              <a:satMod val="175000"/>
              <a:alpha val="40000"/>
            </a:schemeClr>
          </a:glow>
          <a:outerShdw blurRad="50800" dist="38100" algn="l" rotWithShape="0">
            <a:prstClr val="black">
              <a:alpha val="40000"/>
            </a:prstClr>
          </a:outerShdw>
        </a:effectLst>
        <a:scene3d>
          <a:camera prst="perspectiveFront"/>
          <a:lightRig rig="threePt" dir="t"/>
        </a:scene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18</xdr:col>
      <xdr:colOff>279400</xdr:colOff>
      <xdr:row>21</xdr:row>
      <xdr:rowOff>186265</xdr:rowOff>
    </xdr:from>
    <xdr:to>
      <xdr:col>25</xdr:col>
      <xdr:colOff>237065</xdr:colOff>
      <xdr:row>34</xdr:row>
      <xdr:rowOff>93132</xdr:rowOff>
    </xdr:to>
    <xdr:graphicFrame macro="">
      <xdr:nvGraphicFramePr>
        <xdr:cNvPr id="26" name="Chart 25">
          <a:extLst>
            <a:ext uri="{FF2B5EF4-FFF2-40B4-BE49-F238E27FC236}">
              <a16:creationId xmlns:a16="http://schemas.microsoft.com/office/drawing/2014/main" id="{8E4B9334-81C7-4785-9696-EC4B295D7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23</xdr:col>
      <xdr:colOff>194734</xdr:colOff>
      <xdr:row>12</xdr:row>
      <xdr:rowOff>88685</xdr:rowOff>
    </xdr:from>
    <xdr:to>
      <xdr:col>25</xdr:col>
      <xdr:colOff>389467</xdr:colOff>
      <xdr:row>20</xdr:row>
      <xdr:rowOff>12485</xdr:rowOff>
    </xdr:to>
    <xdr:pic>
      <xdr:nvPicPr>
        <xdr:cNvPr id="5" name="Picture 4">
          <a:extLst>
            <a:ext uri="{FF2B5EF4-FFF2-40B4-BE49-F238E27FC236}">
              <a16:creationId xmlns:a16="http://schemas.microsoft.com/office/drawing/2014/main" id="{55091CE5-44CF-E5DF-7192-1948F7267D5A}"/>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837473B0-CC2E-450A-ABE3-18F120FF3D39}">
              <a1611:picAttrSrcUrl xmlns:a1611="http://schemas.microsoft.com/office/drawing/2016/11/main" r:id="rId24"/>
            </a:ext>
          </a:extLst>
        </a:blip>
        <a:stretch>
          <a:fillRect/>
        </a:stretch>
      </xdr:blipFill>
      <xdr:spPr>
        <a:xfrm>
          <a:off x="14215534" y="2484752"/>
          <a:ext cx="1413933" cy="1413933"/>
        </a:xfrm>
        <a:prstGeom prst="rect">
          <a:avLst/>
        </a:prstGeom>
      </xdr:spPr>
    </xdr:pic>
    <xdr:clientData/>
  </xdr:twoCellAnchor>
  <xdr:oneCellAnchor>
    <xdr:from>
      <xdr:col>26</xdr:col>
      <xdr:colOff>8660</xdr:colOff>
      <xdr:row>18</xdr:row>
      <xdr:rowOff>141794</xdr:rowOff>
    </xdr:from>
    <xdr:ext cx="1714286" cy="233205"/>
    <xdr:sp macro="" textlink="">
      <xdr:nvSpPr>
        <xdr:cNvPr id="9" name="TextBox 8">
          <a:extLst>
            <a:ext uri="{FF2B5EF4-FFF2-40B4-BE49-F238E27FC236}">
              <a16:creationId xmlns:a16="http://schemas.microsoft.com/office/drawing/2014/main" id="{56D5AB5D-AB75-153D-833E-3A2F50694BF5}"/>
            </a:ext>
          </a:extLst>
        </xdr:cNvPr>
        <xdr:cNvSpPr txBox="1"/>
      </xdr:nvSpPr>
      <xdr:spPr>
        <a:xfrm>
          <a:off x="15768205" y="3579453"/>
          <a:ext cx="1714286"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0.30040821759" createdVersion="8" refreshedVersion="8" minRefreshableVersion="3" recordCount="1000" xr:uid="{4089048E-5155-4EDB-A68C-87F248B4ABB1}">
  <cacheSource type="worksheet">
    <worksheetSource name="Table1"/>
  </cacheSource>
  <cacheFields count="21">
    <cacheField name="OrderID" numFmtId="0">
      <sharedItems/>
    </cacheField>
    <cacheField name="OrderDate" numFmtId="14">
      <sharedItems containsSemiMixedTypes="0" containsNonDate="0" containsDate="1" containsString="0" minDate="2020-01-01T00:00:00" maxDate="2024-12-30T00:00:00" count="759">
        <d v="2023-01-31T00:00:00"/>
        <d v="2023-12-30T00:00:00"/>
        <d v="2022-05-10T00:00:00"/>
        <d v="2023-07-18T00:00:00"/>
        <d v="2023-02-04T00:00:00"/>
        <d v="2022-12-31T00:00:00"/>
        <d v="2024-09-20T00:00:00"/>
        <d v="2022-11-10T00:00:00"/>
        <d v="2024-06-26T00:00:00"/>
        <d v="2020-05-01T00:00:00"/>
        <d v="2021-04-11T00:00:00"/>
        <d v="2023-05-23T00:00:00"/>
        <d v="2020-11-26T00:00:00"/>
        <d v="2024-01-22T00:00:00"/>
        <d v="2020-03-28T00:00:00"/>
        <d v="2023-10-28T00:00:00"/>
        <d v="2023-01-28T00:00:00"/>
        <d v="2022-05-21T00:00:00"/>
        <d v="2024-08-14T00:00:00"/>
        <d v="2020-05-10T00:00:00"/>
        <d v="2024-08-12T00:00:00"/>
        <d v="2023-08-25T00:00:00"/>
        <d v="2022-02-08T00:00:00"/>
        <d v="2020-12-09T00:00:00"/>
        <d v="2024-02-24T00:00:00"/>
        <d v="2023-12-08T00:00:00"/>
        <d v="2022-03-16T00:00:00"/>
        <d v="2021-01-20T00:00:00"/>
        <d v="2023-04-30T00:00:00"/>
        <d v="2022-08-13T00:00:00"/>
        <d v="2020-10-03T00:00:00"/>
        <d v="2023-03-30T00:00:00"/>
        <d v="2021-04-04T00:00:00"/>
        <d v="2023-08-30T00:00:00"/>
        <d v="2020-01-22T00:00:00"/>
        <d v="2020-09-09T00:00:00"/>
        <d v="2022-01-17T00:00:00"/>
        <d v="2022-05-06T00:00:00"/>
        <d v="2024-05-03T00:00:00"/>
        <d v="2021-04-19T00:00:00"/>
        <d v="2022-12-18T00:00:00"/>
        <d v="2021-05-25T00:00:00"/>
        <d v="2024-09-01T00:00:00"/>
        <d v="2024-02-08T00:00:00"/>
        <d v="2021-11-30T00:00:00"/>
        <d v="2022-09-02T00:00:00"/>
        <d v="2024-12-11T00:00:00"/>
        <d v="2020-07-08T00:00:00"/>
        <d v="2022-08-15T00:00:00"/>
        <d v="2021-11-17T00:00:00"/>
        <d v="2021-07-16T00:00:00"/>
        <d v="2024-05-09T00:00:00"/>
        <d v="2023-06-21T00:00:00"/>
        <d v="2022-04-11T00:00:00"/>
        <d v="2024-03-08T00:00:00"/>
        <d v="2023-02-28T00:00:00"/>
        <d v="2024-02-17T00:00:00"/>
        <d v="2021-10-08T00:00:00"/>
        <d v="2020-01-21T00:00:00"/>
        <d v="2022-04-20T00:00:00"/>
        <d v="2020-06-15T00:00:00"/>
        <d v="2023-07-21T00:00:00"/>
        <d v="2021-01-22T00:00:00"/>
        <d v="2021-08-23T00:00:00"/>
        <d v="2020-11-11T00:00:00"/>
        <d v="2020-01-14T00:00:00"/>
        <d v="2020-08-29T00:00:00"/>
        <d v="2022-02-15T00:00:00"/>
        <d v="2023-10-01T00:00:00"/>
        <d v="2021-07-18T00:00:00"/>
        <d v="2022-06-16T00:00:00"/>
        <d v="2023-09-25T00:00:00"/>
        <d v="2020-04-01T00:00:00"/>
        <d v="2023-10-22T00:00:00"/>
        <d v="2024-01-18T00:00:00"/>
        <d v="2023-12-22T00:00:00"/>
        <d v="2021-05-23T00:00:00"/>
        <d v="2022-02-14T00:00:00"/>
        <d v="2020-02-04T00:00:00"/>
        <d v="2020-07-24T00:00:00"/>
        <d v="2023-01-09T00:00:00"/>
        <d v="2024-05-04T00:00:00"/>
        <d v="2023-11-12T00:00:00"/>
        <d v="2022-10-22T00:00:00"/>
        <d v="2022-10-18T00:00:00"/>
        <d v="2023-11-14T00:00:00"/>
        <d v="2021-07-19T00:00:00"/>
        <d v="2023-02-03T00:00:00"/>
        <d v="2024-11-30T00:00:00"/>
        <d v="2024-02-09T00:00:00"/>
        <d v="2021-12-03T00:00:00"/>
        <d v="2021-02-05T00:00:00"/>
        <d v="2021-12-30T00:00:00"/>
        <d v="2024-04-28T00:00:00"/>
        <d v="2020-06-10T00:00:00"/>
        <d v="2020-07-20T00:00:00"/>
        <d v="2022-09-22T00:00:00"/>
        <d v="2020-09-26T00:00:00"/>
        <d v="2022-03-26T00:00:00"/>
        <d v="2021-03-31T00:00:00"/>
        <d v="2024-01-25T00:00:00"/>
        <d v="2024-10-16T00:00:00"/>
        <d v="2023-06-29T00:00:00"/>
        <d v="2022-10-13T00:00:00"/>
        <d v="2024-09-21T00:00:00"/>
        <d v="2020-10-22T00:00:00"/>
        <d v="2024-10-14T00:00:00"/>
        <d v="2021-12-20T00:00:00"/>
        <d v="2024-11-07T00:00:00"/>
        <d v="2020-12-03T00:00:00"/>
        <d v="2022-05-28T00:00:00"/>
        <d v="2022-12-12T00:00:00"/>
        <d v="2022-03-02T00:00:00"/>
        <d v="2020-08-04T00:00:00"/>
        <d v="2022-02-02T00:00:00"/>
        <d v="2020-07-06T00:00:00"/>
        <d v="2021-01-14T00:00:00"/>
        <d v="2021-05-07T00:00:00"/>
        <d v="2022-11-30T00:00:00"/>
        <d v="2023-03-26T00:00:00"/>
        <d v="2020-01-15T00:00:00"/>
        <d v="2020-03-05T00:00:00"/>
        <d v="2021-06-04T00:00:00"/>
        <d v="2023-09-29T00:00:00"/>
        <d v="2023-02-26T00:00:00"/>
        <d v="2021-10-09T00:00:00"/>
        <d v="2024-02-04T00:00:00"/>
        <d v="2022-12-22T00:00:00"/>
        <d v="2023-03-08T00:00:00"/>
        <d v="2024-03-02T00:00:00"/>
        <d v="2021-08-15T00:00:00"/>
        <d v="2021-01-26T00:00:00"/>
        <d v="2024-08-25T00:00:00"/>
        <d v="2021-02-22T00:00:00"/>
        <d v="2020-10-15T00:00:00"/>
        <d v="2021-01-13T00:00:00"/>
        <d v="2024-12-01T00:00:00"/>
        <d v="2024-02-22T00:00:00"/>
        <d v="2020-08-18T00:00:00"/>
        <d v="2022-10-14T00:00:00"/>
        <d v="2020-02-10T00:00:00"/>
        <d v="2022-11-17T00:00:00"/>
        <d v="2020-05-14T00:00:00"/>
        <d v="2020-07-19T00:00:00"/>
        <d v="2022-02-18T00:00:00"/>
        <d v="2022-07-18T00:00:00"/>
        <d v="2022-11-22T00:00:00"/>
        <d v="2022-12-07T00:00:00"/>
        <d v="2021-05-17T00:00:00"/>
        <d v="2021-02-10T00:00:00"/>
        <d v="2024-05-16T00:00:00"/>
        <d v="2024-10-17T00:00:00"/>
        <d v="2022-03-15T00:00:00"/>
        <d v="2020-04-08T00:00:00"/>
        <d v="2021-11-14T00:00:00"/>
        <d v="2021-12-26T00:00:00"/>
        <d v="2024-04-19T00:00:00"/>
        <d v="2022-08-18T00:00:00"/>
        <d v="2024-10-28T00:00:00"/>
        <d v="2021-09-04T00:00:00"/>
        <d v="2021-10-04T00:00:00"/>
        <d v="2024-11-27T00:00:00"/>
        <d v="2022-10-25T00:00:00"/>
        <d v="2023-05-26T00:00:00"/>
        <d v="2022-02-05T00:00:00"/>
        <d v="2021-02-01T00:00:00"/>
        <d v="2022-05-20T00:00:00"/>
        <d v="2022-03-05T00:00:00"/>
        <d v="2021-01-27T00:00:00"/>
        <d v="2020-07-25T00:00:00"/>
        <d v="2022-11-04T00:00:00"/>
        <d v="2024-04-26T00:00:00"/>
        <d v="2022-06-10T00:00:00"/>
        <d v="2024-01-24T00:00:00"/>
        <d v="2024-09-10T00:00:00"/>
        <d v="2024-05-17T00:00:00"/>
        <d v="2022-05-13T00:00:00"/>
        <d v="2022-01-12T00:00:00"/>
        <d v="2023-06-18T00:00:00"/>
        <d v="2021-07-17T00:00:00"/>
        <d v="2022-10-17T00:00:00"/>
        <d v="2020-04-05T00:00:00"/>
        <d v="2024-10-23T00:00:00"/>
        <d v="2021-04-29T00:00:00"/>
        <d v="2023-12-01T00:00:00"/>
        <d v="2022-01-18T00:00:00"/>
        <d v="2024-08-05T00:00:00"/>
        <d v="2023-04-09T00:00:00"/>
        <d v="2021-06-24T00:00:00"/>
        <d v="2022-11-25T00:00:00"/>
        <d v="2021-06-08T00:00:00"/>
        <d v="2023-03-29T00:00:00"/>
        <d v="2024-09-18T00:00:00"/>
        <d v="2023-06-20T00:00:00"/>
        <d v="2023-01-14T00:00:00"/>
        <d v="2024-12-24T00:00:00"/>
        <d v="2021-07-31T00:00:00"/>
        <d v="2021-11-12T00:00:00"/>
        <d v="2021-07-10T00:00:00"/>
        <d v="2022-10-09T00:00:00"/>
        <d v="2021-10-07T00:00:00"/>
        <d v="2022-03-06T00:00:00"/>
        <d v="2024-07-01T00:00:00"/>
        <d v="2024-12-26T00:00:00"/>
        <d v="2023-09-16T00:00:00"/>
        <d v="2024-07-21T00:00:00"/>
        <d v="2024-03-09T00:00:00"/>
        <d v="2023-10-03T00:00:00"/>
        <d v="2024-02-05T00:00:00"/>
        <d v="2023-06-08T00:00:00"/>
        <d v="2023-06-02T00:00:00"/>
        <d v="2023-11-09T00:00:00"/>
        <d v="2023-11-01T00:00:00"/>
        <d v="2023-07-30T00:00:00"/>
        <d v="2021-09-24T00:00:00"/>
        <d v="2021-09-19T00:00:00"/>
        <d v="2022-08-30T00:00:00"/>
        <d v="2024-11-03T00:00:00"/>
        <d v="2023-07-06T00:00:00"/>
        <d v="2023-10-14T00:00:00"/>
        <d v="2021-12-10T00:00:00"/>
        <d v="2024-01-19T00:00:00"/>
        <d v="2023-12-05T00:00:00"/>
        <d v="2021-10-10T00:00:00"/>
        <d v="2020-11-13T00:00:00"/>
        <d v="2024-08-27T00:00:00"/>
        <d v="2023-06-11T00:00:00"/>
        <d v="2021-10-25T00:00:00"/>
        <d v="2023-10-29T00:00:00"/>
        <d v="2024-08-22T00:00:00"/>
        <d v="2024-06-19T00:00:00"/>
        <d v="2023-06-10T00:00:00"/>
        <d v="2024-09-11T00:00:00"/>
        <d v="2023-02-10T00:00:00"/>
        <d v="2024-02-29T00:00:00"/>
        <d v="2021-03-17T00:00:00"/>
        <d v="2023-07-15T00:00:00"/>
        <d v="2024-03-13T00:00:00"/>
        <d v="2023-11-10T00:00:00"/>
        <d v="2023-11-11T00:00:00"/>
        <d v="2024-06-24T00:00:00"/>
        <d v="2024-07-06T00:00:00"/>
        <d v="2022-08-09T00:00:00"/>
        <d v="2021-11-29T00:00:00"/>
        <d v="2020-04-22T00:00:00"/>
        <d v="2020-01-02T00:00:00"/>
        <d v="2021-10-03T00:00:00"/>
        <d v="2020-08-07T00:00:00"/>
        <d v="2024-05-08T00:00:00"/>
        <d v="2022-05-04T00:00:00"/>
        <d v="2024-10-25T00:00:00"/>
        <d v="2021-01-19T00:00:00"/>
        <d v="2023-11-27T00:00:00"/>
        <d v="2024-07-19T00:00:00"/>
        <d v="2023-02-27T00:00:00"/>
        <d v="2024-09-03T00:00:00"/>
        <d v="2024-09-29T00:00:00"/>
        <d v="2023-12-10T00:00:00"/>
        <d v="2020-09-03T00:00:00"/>
        <d v="2022-04-15T00:00:00"/>
        <d v="2024-01-02T00:00:00"/>
        <d v="2020-07-21T00:00:00"/>
        <d v="2023-04-22T00:00:00"/>
        <d v="2020-05-02T00:00:00"/>
        <d v="2021-02-04T00:00:00"/>
        <d v="2020-10-20T00:00:00"/>
        <d v="2020-10-06T00:00:00"/>
        <d v="2022-06-02T00:00:00"/>
        <d v="2024-06-21T00:00:00"/>
        <d v="2020-07-16T00:00:00"/>
        <d v="2022-09-08T00:00:00"/>
        <d v="2024-03-14T00:00:00"/>
        <d v="2022-01-21T00:00:00"/>
        <d v="2020-05-23T00:00:00"/>
        <d v="2021-08-31T00:00:00"/>
        <d v="2023-05-09T00:00:00"/>
        <d v="2023-02-21T00:00:00"/>
        <d v="2020-07-05T00:00:00"/>
        <d v="2023-09-11T00:00:00"/>
        <d v="2021-04-08T00:00:00"/>
        <d v="2023-10-04T00:00:00"/>
        <d v="2024-11-29T00:00:00"/>
        <d v="2021-10-21T00:00:00"/>
        <d v="2022-08-12T00:00:00"/>
        <d v="2021-02-06T00:00:00"/>
        <d v="2020-05-26T00:00:00"/>
        <d v="2023-03-17T00:00:00"/>
        <d v="2024-09-30T00:00:00"/>
        <d v="2021-05-03T00:00:00"/>
        <d v="2022-07-17T00:00:00"/>
        <d v="2021-07-04T00:00:00"/>
        <d v="2021-10-02T00:00:00"/>
        <d v="2024-12-07T00:00:00"/>
        <d v="2021-04-17T00:00:00"/>
        <d v="2020-05-30T00:00:00"/>
        <d v="2023-12-09T00:00:00"/>
        <d v="2023-08-14T00:00:00"/>
        <d v="2024-06-22T00:00:00"/>
        <d v="2020-09-19T00:00:00"/>
        <d v="2024-11-22T00:00:00"/>
        <d v="2020-12-11T00:00:00"/>
        <d v="2021-09-15T00:00:00"/>
        <d v="2024-05-14T00:00:00"/>
        <d v="2022-05-30T00:00:00"/>
        <d v="2022-06-15T00:00:00"/>
        <d v="2023-08-20T00:00:00"/>
        <d v="2020-09-10T00:00:00"/>
        <d v="2024-08-02T00:00:00"/>
        <d v="2021-03-28T00:00:00"/>
        <d v="2022-11-26T00:00:00"/>
        <d v="2022-10-11T00:00:00"/>
        <d v="2020-01-09T00:00:00"/>
        <d v="2023-01-27T00:00:00"/>
        <d v="2024-08-09T00:00:00"/>
        <d v="2020-07-26T00:00:00"/>
        <d v="2021-02-07T00:00:00"/>
        <d v="2020-05-31T00:00:00"/>
        <d v="2020-02-23T00:00:00"/>
        <d v="2023-02-17T00:00:00"/>
        <d v="2024-08-23T00:00:00"/>
        <d v="2021-08-09T00:00:00"/>
        <d v="2023-12-14T00:00:00"/>
        <d v="2023-12-16T00:00:00"/>
        <d v="2020-04-13T00:00:00"/>
        <d v="2023-06-04T00:00:00"/>
        <d v="2023-02-09T00:00:00"/>
        <d v="2021-05-24T00:00:00"/>
        <d v="2020-06-01T00:00:00"/>
        <d v="2022-07-02T00:00:00"/>
        <d v="2022-05-27T00:00:00"/>
        <d v="2024-09-25T00:00:00"/>
        <d v="2022-04-01T00:00:00"/>
        <d v="2023-04-01T00:00:00"/>
        <d v="2024-10-09T00:00:00"/>
        <d v="2022-08-14T00:00:00"/>
        <d v="2024-08-31T00:00:00"/>
        <d v="2020-06-09T00:00:00"/>
        <d v="2024-05-22T00:00:00"/>
        <d v="2022-03-11T00:00:00"/>
        <d v="2023-07-24T00:00:00"/>
        <d v="2024-03-07T00:00:00"/>
        <d v="2023-11-16T00:00:00"/>
        <d v="2023-03-04T00:00:00"/>
        <d v="2023-05-03T00:00:00"/>
        <d v="2021-10-01T00:00:00"/>
        <d v="2021-11-18T00:00:00"/>
        <d v="2021-04-14T00:00:00"/>
        <d v="2023-10-30T00:00:00"/>
        <d v="2022-11-11T00:00:00"/>
        <d v="2022-01-19T00:00:00"/>
        <d v="2024-08-20T00:00:00"/>
        <d v="2020-02-07T00:00:00"/>
        <d v="2020-08-17T00:00:00"/>
        <d v="2023-10-20T00:00:00"/>
        <d v="2021-03-13T00:00:00"/>
        <d v="2024-12-04T00:00:00"/>
        <d v="2020-01-27T00:00:00"/>
        <d v="2020-08-13T00:00:00"/>
        <d v="2022-03-08T00:00:00"/>
        <d v="2024-06-20T00:00:00"/>
        <d v="2020-10-10T00:00:00"/>
        <d v="2022-08-17T00:00:00"/>
        <d v="2024-02-13T00:00:00"/>
        <d v="2022-10-16T00:00:00"/>
        <d v="2021-10-20T00:00:00"/>
        <d v="2024-03-19T00:00:00"/>
        <d v="2021-06-30T00:00:00"/>
        <d v="2022-12-08T00:00:00"/>
        <d v="2024-03-15T00:00:00"/>
        <d v="2020-01-17T00:00:00"/>
        <d v="2023-04-10T00:00:00"/>
        <d v="2023-05-28T00:00:00"/>
        <d v="2020-06-06T00:00:00"/>
        <d v="2021-04-21T00:00:00"/>
        <d v="2022-12-05T00:00:00"/>
        <d v="2021-06-01T00:00:00"/>
        <d v="2021-05-11T00:00:00"/>
        <d v="2020-10-28T00:00:00"/>
        <d v="2020-06-29T00:00:00"/>
        <d v="2021-08-29T00:00:00"/>
        <d v="2022-09-19T00:00:00"/>
        <d v="2023-02-13T00:00:00"/>
        <d v="2020-07-09T00:00:00"/>
        <d v="2022-09-07T00:00:00"/>
        <d v="2022-07-16T00:00:00"/>
        <d v="2023-07-03T00:00:00"/>
        <d v="2023-09-08T00:00:00"/>
        <d v="2020-05-07T00:00:00"/>
        <d v="2020-01-18T00:00:00"/>
        <d v="2024-12-21T00:00:00"/>
        <d v="2024-10-24T00:00:00"/>
        <d v="2021-07-23T00:00:00"/>
        <d v="2021-11-16T00:00:00"/>
        <d v="2024-12-20T00:00:00"/>
        <d v="2021-09-17T00:00:00"/>
        <d v="2023-08-04T00:00:00"/>
        <d v="2022-05-03T00:00:00"/>
        <d v="2024-08-13T00:00:00"/>
        <d v="2022-08-19T00:00:00"/>
        <d v="2024-07-20T00:00:00"/>
        <d v="2020-06-03T00:00:00"/>
        <d v="2021-05-04T00:00:00"/>
        <d v="2022-02-23T00:00:00"/>
        <d v="2023-02-01T00:00:00"/>
        <d v="2023-11-17T00:00:00"/>
        <d v="2020-09-02T00:00:00"/>
        <d v="2023-04-14T00:00:00"/>
        <d v="2022-11-28T00:00:00"/>
        <d v="2022-01-28T00:00:00"/>
        <d v="2021-06-21T00:00:00"/>
        <d v="2022-07-09T00:00:00"/>
        <d v="2021-02-11T00:00:00"/>
        <d v="2022-04-07T00:00:00"/>
        <d v="2022-06-21T00:00:00"/>
        <d v="2020-02-05T00:00:00"/>
        <d v="2021-11-15T00:00:00"/>
        <d v="2020-01-20T00:00:00"/>
        <d v="2020-11-16T00:00:00"/>
        <d v="2021-05-26T00:00:00"/>
        <d v="2021-02-03T00:00:00"/>
        <d v="2021-10-15T00:00:00"/>
        <d v="2022-08-29T00:00:00"/>
        <d v="2021-04-15T00:00:00"/>
        <d v="2023-03-12T00:00:00"/>
        <d v="2023-01-20T00:00:00"/>
        <d v="2023-10-09T00:00:00"/>
        <d v="2022-04-13T00:00:00"/>
        <d v="2024-12-28T00:00:00"/>
        <d v="2021-12-27T00:00:00"/>
        <d v="2020-02-20T00:00:00"/>
        <d v="2024-08-15T00:00:00"/>
        <d v="2024-09-17T00:00:00"/>
        <d v="2021-07-28T00:00:00"/>
        <d v="2023-04-28T00:00:00"/>
        <d v="2023-02-22T00:00:00"/>
        <d v="2020-05-29T00:00:00"/>
        <d v="2020-11-09T00:00:00"/>
        <d v="2023-09-27T00:00:00"/>
        <d v="2020-10-31T00:00:00"/>
        <d v="2022-04-17T00:00:00"/>
        <d v="2022-12-13T00:00:00"/>
        <d v="2022-09-29T00:00:00"/>
        <d v="2021-03-19T00:00:00"/>
        <d v="2020-09-20T00:00:00"/>
        <d v="2022-09-30T00:00:00"/>
        <d v="2020-01-05T00:00:00"/>
        <d v="2023-05-04T00:00:00"/>
        <d v="2022-02-12T00:00:00"/>
        <d v="2022-05-26T00:00:00"/>
        <d v="2022-09-18T00:00:00"/>
        <d v="2023-10-05T00:00:00"/>
        <d v="2020-02-16T00:00:00"/>
        <d v="2022-05-16T00:00:00"/>
        <d v="2022-04-02T00:00:00"/>
        <d v="2022-07-24T00:00:00"/>
        <d v="2021-10-17T00:00:00"/>
        <d v="2020-09-25T00:00:00"/>
        <d v="2021-01-04T00:00:00"/>
        <d v="2021-09-27T00:00:00"/>
        <d v="2021-10-18T00:00:00"/>
        <d v="2020-04-29T00:00:00"/>
        <d v="2022-04-10T00:00:00"/>
        <d v="2024-12-15T00:00:00"/>
        <d v="2024-06-15T00:00:00"/>
        <d v="2022-12-17T00:00:00"/>
        <d v="2022-01-10T00:00:00"/>
        <d v="2024-02-06T00:00:00"/>
        <d v="2020-04-26T00:00:00"/>
        <d v="2022-03-01T00:00:00"/>
        <d v="2023-02-24T00:00:00"/>
        <d v="2024-07-22T00:00:00"/>
        <d v="2021-09-25T00:00:00"/>
        <d v="2021-05-27T00:00:00"/>
        <d v="2024-11-09T00:00:00"/>
        <d v="2022-03-12T00:00:00"/>
        <d v="2023-01-24T00:00:00"/>
        <d v="2023-02-15T00:00:00"/>
        <d v="2021-07-13T00:00:00"/>
        <d v="2024-06-12T00:00:00"/>
        <d v="2021-05-02T00:00:00"/>
        <d v="2023-06-14T00:00:00"/>
        <d v="2023-07-19T00:00:00"/>
        <d v="2023-04-27T00:00:00"/>
        <d v="2021-12-04T00:00:00"/>
        <d v="2024-01-10T00:00:00"/>
        <d v="2021-08-03T00:00:00"/>
        <d v="2022-02-28T00:00:00"/>
        <d v="2023-01-04T00:00:00"/>
        <d v="2020-06-02T00:00:00"/>
        <d v="2024-08-06T00:00:00"/>
        <d v="2023-12-29T00:00:00"/>
        <d v="2022-09-23T00:00:00"/>
        <d v="2021-11-27T00:00:00"/>
        <d v="2023-08-01T00:00:00"/>
        <d v="2022-12-28T00:00:00"/>
        <d v="2022-12-06T00:00:00"/>
        <d v="2022-10-05T00:00:00"/>
        <d v="2020-04-03T00:00:00"/>
        <d v="2024-11-08T00:00:00"/>
        <d v="2022-10-08T00:00:00"/>
        <d v="2023-05-12T00:00:00"/>
        <d v="2022-06-30T00:00:00"/>
        <d v="2020-08-05T00:00:00"/>
        <d v="2021-04-18T00:00:00"/>
        <d v="2021-03-07T00:00:00"/>
        <d v="2020-12-06T00:00:00"/>
        <d v="2024-06-23T00:00:00"/>
        <d v="2023-08-05T00:00:00"/>
        <d v="2023-07-01T00:00:00"/>
        <d v="2020-12-22T00:00:00"/>
        <d v="2020-01-23T00:00:00"/>
        <d v="2024-11-20T00:00:00"/>
        <d v="2021-06-05T00:00:00"/>
        <d v="2024-11-16T00:00:00"/>
        <d v="2023-04-18T00:00:00"/>
        <d v="2023-05-31T00:00:00"/>
        <d v="2022-01-31T00:00:00"/>
        <d v="2022-02-07T00:00:00"/>
        <d v="2022-10-12T00:00:00"/>
        <d v="2023-09-10T00:00:00"/>
        <d v="2021-05-30T00:00:00"/>
        <d v="2022-11-05T00:00:00"/>
        <d v="2020-12-01T00:00:00"/>
        <d v="2024-11-17T00:00:00"/>
        <d v="2020-09-14T00:00:00"/>
        <d v="2022-06-14T00:00:00"/>
        <d v="2020-06-08T00:00:00"/>
        <d v="2024-02-07T00:00:00"/>
        <d v="2022-05-01T00:00:00"/>
        <d v="2021-11-20T00:00:00"/>
        <d v="2024-04-17T00:00:00"/>
        <d v="2021-11-21T00:00:00"/>
        <d v="2023-12-21T00:00:00"/>
        <d v="2024-05-19T00:00:00"/>
        <d v="2023-12-11T00:00:00"/>
        <d v="2023-04-06T00:00:00"/>
        <d v="2022-12-02T00:00:00"/>
        <d v="2020-10-11T00:00:00"/>
        <d v="2021-01-31T00:00:00"/>
        <d v="2020-01-12T00:00:00"/>
        <d v="2024-06-18T00:00:00"/>
        <d v="2023-08-18T00:00:00"/>
        <d v="2023-06-30T00:00:00"/>
        <d v="2021-05-13T00:00:00"/>
        <d v="2022-01-23T00:00:00"/>
        <d v="2022-04-28T00:00:00"/>
        <d v="2020-03-30T00:00:00"/>
        <d v="2021-08-27T00:00:00"/>
        <d v="2022-08-27T00:00:00"/>
        <d v="2024-06-13T00:00:00"/>
        <d v="2021-02-21T00:00:00"/>
        <d v="2020-04-24T00:00:00"/>
        <d v="2021-09-08T00:00:00"/>
        <d v="2022-04-05T00:00:00"/>
        <d v="2024-03-04T00:00:00"/>
        <d v="2024-07-07T00:00:00"/>
        <d v="2024-02-25T00:00:00"/>
        <d v="2023-01-03T00:00:00"/>
        <d v="2021-02-16T00:00:00"/>
        <d v="2023-10-31T00:00:00"/>
        <d v="2021-12-29T00:00:00"/>
        <d v="2022-01-30T00:00:00"/>
        <d v="2021-11-06T00:00:00"/>
        <d v="2023-11-18T00:00:00"/>
        <d v="2021-04-01T00:00:00"/>
        <d v="2022-07-08T00:00:00"/>
        <d v="2020-07-10T00:00:00"/>
        <d v="2022-01-08T00:00:00"/>
        <d v="2024-09-08T00:00:00"/>
        <d v="2024-04-20T00:00:00"/>
        <d v="2022-09-04T00:00:00"/>
        <d v="2021-10-24T00:00:00"/>
        <d v="2020-02-06T00:00:00"/>
        <d v="2024-12-08T00:00:00"/>
        <d v="2023-10-24T00:00:00"/>
        <d v="2024-09-14T00:00:00"/>
        <d v="2024-03-28T00:00:00"/>
        <d v="2020-10-05T00:00:00"/>
        <d v="2022-05-22T00:00:00"/>
        <d v="2023-07-20T00:00:00"/>
        <d v="2020-03-02T00:00:00"/>
        <d v="2021-08-18T00:00:00"/>
        <d v="2022-11-08T00:00:00"/>
        <d v="2020-06-25T00:00:00"/>
        <d v="2021-01-30T00:00:00"/>
        <d v="2021-03-20T00:00:00"/>
        <d v="2020-03-16T00:00:00"/>
        <d v="2020-09-21T00:00:00"/>
        <d v="2021-03-30T00:00:00"/>
        <d v="2021-12-18T00:00:00"/>
        <d v="2022-01-04T00:00:00"/>
        <d v="2023-11-08T00:00:00"/>
        <d v="2024-05-06T00:00:00"/>
        <d v="2022-04-30T00:00:00"/>
        <d v="2022-06-03T00:00:00"/>
        <d v="2022-11-14T00:00:00"/>
        <d v="2022-08-05T00:00:00"/>
        <d v="2022-06-09T00:00:00"/>
        <d v="2024-02-01T00:00:00"/>
        <d v="2024-02-16T00:00:00"/>
        <d v="2024-05-07T00:00:00"/>
        <d v="2023-03-20T00:00:00"/>
        <d v="2023-03-13T00:00:00"/>
        <d v="2021-07-22T00:00:00"/>
        <d v="2020-04-18T00:00:00"/>
        <d v="2024-09-12T00:00:00"/>
        <d v="2022-12-01T00:00:00"/>
        <d v="2023-04-24T00:00:00"/>
        <d v="2022-07-23T00:00:00"/>
        <d v="2023-03-02T00:00:00"/>
        <d v="2022-01-02T00:00:00"/>
        <d v="2020-08-22T00:00:00"/>
        <d v="2021-10-19T00:00:00"/>
        <d v="2022-01-20T00:00:00"/>
        <d v="2021-08-10T00:00:00"/>
        <d v="2022-10-29T00:00:00"/>
        <d v="2023-01-02T00:00:00"/>
        <d v="2022-08-11T00:00:00"/>
        <d v="2021-05-06T00:00:00"/>
        <d v="2022-07-01T00:00:00"/>
        <d v="2023-06-07T00:00:00"/>
        <d v="2024-03-22T00:00:00"/>
        <d v="2023-04-12T00:00:00"/>
        <d v="2024-08-03T00:00:00"/>
        <d v="2020-06-18T00:00:00"/>
        <d v="2022-08-03T00:00:00"/>
        <d v="2023-05-02T00:00:00"/>
        <d v="2024-03-20T00:00:00"/>
        <d v="2020-01-29T00:00:00"/>
        <d v="2023-04-03T00:00:00"/>
        <d v="2020-12-04T00:00:00"/>
        <d v="2024-07-29T00:00:00"/>
        <d v="2024-02-28T00:00:00"/>
        <d v="2021-05-14T00:00:00"/>
        <d v="2024-08-07T00:00:00"/>
        <d v="2023-09-12T00:00:00"/>
        <d v="2023-08-17T00:00:00"/>
        <d v="2023-03-01T00:00:00"/>
        <d v="2022-12-29T00:00:00"/>
        <d v="2022-05-25T00:00:00"/>
        <d v="2023-04-20T00:00:00"/>
        <d v="2020-03-31T00:00:00"/>
        <d v="2021-12-14T00:00:00"/>
        <d v="2024-04-03T00:00:00"/>
        <d v="2020-02-08T00:00:00"/>
        <d v="2023-02-23T00:00:00"/>
        <d v="2024-01-14T00:00:00"/>
        <d v="2020-06-21T00:00:00"/>
        <d v="2021-10-14T00:00:00"/>
        <d v="2024-08-10T00:00:00"/>
        <d v="2021-04-20T00:00:00"/>
        <d v="2022-04-08T00:00:00"/>
        <d v="2022-06-13T00:00:00"/>
        <d v="2023-10-16T00:00:00"/>
        <d v="2022-10-21T00:00:00"/>
        <d v="2021-01-21T00:00:00"/>
        <d v="2020-12-13T00:00:00"/>
        <d v="2021-05-19T00:00:00"/>
        <d v="2023-04-29T00:00:00"/>
        <d v="2024-03-11T00:00:00"/>
        <d v="2023-12-03T00:00:00"/>
        <d v="2022-04-03T00:00:00"/>
        <d v="2022-07-22T00:00:00"/>
        <d v="2023-02-14T00:00:00"/>
        <d v="2020-05-13T00:00:00"/>
        <d v="2020-02-27T00:00:00"/>
        <d v="2021-11-02T00:00:00"/>
        <d v="2022-03-25T00:00:00"/>
        <d v="2023-03-18T00:00:00"/>
        <d v="2020-03-20T00:00:00"/>
        <d v="2022-06-04T00:00:00"/>
        <d v="2023-05-21T00:00:00"/>
        <d v="2023-06-06T00:00:00"/>
        <d v="2024-08-26T00:00:00"/>
        <d v="2024-04-04T00:00:00"/>
        <d v="2024-01-04T00:00:00"/>
        <d v="2023-11-26T00:00:00"/>
        <d v="2023-08-21T00:00:00"/>
        <d v="2024-03-29T00:00:00"/>
        <d v="2024-03-16T00:00:00"/>
        <d v="2022-08-28T00:00:00"/>
        <d v="2022-11-01T00:00:00"/>
        <d v="2023-09-15T00:00:00"/>
        <d v="2022-01-05T00:00:00"/>
        <d v="2022-02-22T00:00:00"/>
        <d v="2022-08-25T00:00:00"/>
        <d v="2020-12-23T00:00:00"/>
        <d v="2023-12-02T00:00:00"/>
        <d v="2021-10-29T00:00:00"/>
        <d v="2021-01-07T00:00:00"/>
        <d v="2022-10-28T00:00:00"/>
        <d v="2023-02-19T00:00:00"/>
        <d v="2021-11-28T00:00:00"/>
        <d v="2023-09-01T00:00:00"/>
        <d v="2023-04-16T00:00:00"/>
        <d v="2021-06-23T00:00:00"/>
        <d v="2022-01-01T00:00:00"/>
        <d v="2022-05-18T00:00:00"/>
        <d v="2022-01-09T00:00:00"/>
        <d v="2024-09-23T00:00:00"/>
        <d v="2021-05-16T00:00:00"/>
        <d v="2022-08-16T00:00:00"/>
        <d v="2023-03-14T00:00:00"/>
        <d v="2024-10-13T00:00:00"/>
        <d v="2021-04-05T00:00:00"/>
        <d v="2022-07-13T00:00:00"/>
        <d v="2022-06-27T00:00:00"/>
        <d v="2024-04-30T00:00:00"/>
        <d v="2021-01-24T00:00:00"/>
        <d v="2024-06-05T00:00:00"/>
        <d v="2022-06-01T00:00:00"/>
        <d v="2020-09-12T00:00:00"/>
        <d v="2021-12-09T00:00:00"/>
        <d v="2021-03-25T00:00:00"/>
        <d v="2020-01-10T00:00:00"/>
        <d v="2023-06-19T00:00:00"/>
        <d v="2023-06-28T00:00:00"/>
        <d v="2023-02-16T00:00:00"/>
        <d v="2024-12-29T00:00:00"/>
        <d v="2021-01-08T00:00:00"/>
        <d v="2022-12-24T00:00:00"/>
        <d v="2020-05-25T00:00:00"/>
        <d v="2020-08-11T00:00:00"/>
        <d v="2023-06-16T00:00:00"/>
        <d v="2022-05-02T00:00:00"/>
        <d v="2023-07-29T00:00:00"/>
        <d v="2020-03-03T00:00:00"/>
        <d v="2023-05-25T00:00:00"/>
        <d v="2022-04-06T00:00:00"/>
        <d v="2021-11-19T00:00:00"/>
        <d v="2020-04-14T00:00:00"/>
        <d v="2021-02-08T00:00:00"/>
        <d v="2024-07-26T00:00:00"/>
        <d v="2022-02-09T00:00:00"/>
        <d v="2023-12-31T00:00:00"/>
        <d v="2022-11-12T00:00:00"/>
        <d v="2021-11-07T00:00:00"/>
        <d v="2024-01-21T00:00:00"/>
        <d v="2020-03-23T00:00:00"/>
        <d v="2023-01-13T00:00:00"/>
        <d v="2023-01-06T00:00:00"/>
        <d v="2020-01-01T00:00:00"/>
        <d v="2021-12-17T00:00:00"/>
        <d v="2024-01-09T00:00:00"/>
        <d v="2021-03-24T00:00:00"/>
        <d v="2020-02-03T00:00:00"/>
        <d v="2020-04-04T00:00:00"/>
        <d v="2024-04-23T00:00:00"/>
        <d v="2020-09-06T00:00:00"/>
        <d v="2021-11-04T00:00:00"/>
        <d v="2020-04-27T00:00:00"/>
        <d v="2023-08-22T00:00:00"/>
        <d v="2020-09-24T00:00:00"/>
        <d v="2020-08-23T00:00:00"/>
        <d v="2021-01-23T00:00:00"/>
        <d v="2022-09-16T00:00:00"/>
        <d v="2022-02-01T00:00:00"/>
        <d v="2023-08-19T00:00:00"/>
        <d v="2022-07-07T00:00:00"/>
      </sharedItems>
      <fieldGroup par="20"/>
    </cacheField>
    <cacheField name="CustomerID" numFmtId="0">
      <sharedItems/>
    </cacheField>
    <cacheField name="CustomerName" numFmtId="0">
      <sharedItems/>
    </cacheField>
    <cacheField name="ProductName" numFmtId="0">
      <sharedItems count="50">
        <s v="Drone Mini"/>
        <s v="Microphone"/>
        <s v="Power Bank 20000mAh"/>
        <s v="Webcam Full HD"/>
        <s v="T-Shirt"/>
        <s v="Cookware Set"/>
        <s v="Dress Shirt"/>
        <s v="Jeans"/>
        <s v="Kids Toy Car"/>
        <s v="Wireless Earbuds"/>
        <s v="Car Charger"/>
        <s v="Projector Mini"/>
        <s v="Vacuum Cleaner"/>
        <s v="Desk Plant"/>
        <s v="Running Shoes"/>
        <s v="Graphic Tablet"/>
        <s v="Puzzle 1000pc"/>
        <s v="Smartwatch"/>
        <s v="Smartphone Case"/>
        <s v="Backpack"/>
        <s v="4K Monitor"/>
        <s v="Smart Light Bulb"/>
        <s v="LED Desk Lamp"/>
        <s v="Phone Tripod"/>
        <s v="Gaming Mouse"/>
        <s v="Memory Card 128GB"/>
        <s v="Board Game"/>
        <s v="Instant Pot"/>
        <s v="Water Bottle"/>
        <s v="Portable SSD 1TB"/>
        <s v="Noise Cancelling Headphones"/>
        <s v="Novel Bestseller"/>
        <s v="Children's Book"/>
        <s v="Laptop Sleeve"/>
        <s v="Air Fryer"/>
        <s v="Winter Jacket"/>
        <s v="Router"/>
        <s v="USB-C Charger"/>
        <s v="Fitness Band"/>
        <s v="Sunglasses"/>
        <s v="Mechanical Keyboard"/>
        <s v="Electric Kettle"/>
        <s v="Wireless Charger"/>
        <s v="HDMI Cable 2m"/>
        <s v="Desk Organizer"/>
        <s v="Yoga Mat"/>
        <s v="Action Camera"/>
        <s v="External HDD 2TB"/>
        <s v="Office Chair"/>
        <s v="Bluetooth Speaker"/>
      </sharedItems>
    </cacheField>
    <cacheField name="Category" numFmtId="0">
      <sharedItems count="6">
        <s v="Books"/>
        <s v="Home &amp; Kitchen"/>
        <s v="Clothing"/>
        <s v="Toys &amp; Games"/>
        <s v="Sports &amp; Outdoors"/>
        <s v="Electronics"/>
      </sharedItems>
    </cacheField>
    <cacheField name="Brand" numFmtId="0">
      <sharedItems/>
    </cacheField>
    <cacheField name="Quantity" numFmtId="2">
      <sharedItems containsSemiMixedTypes="0" containsString="0" containsNumber="1" containsInteger="1" minValue="1" maxValue="5"/>
    </cacheField>
    <cacheField name="UnitPrice" numFmtId="2">
      <sharedItems containsSemiMixedTypes="0" containsString="0" containsNumber="1" minValue="5.3" maxValue="598.75"/>
    </cacheField>
    <cacheField name="Discount" numFmtId="0">
      <sharedItems containsSemiMixedTypes="0" containsString="0" containsNumber="1" minValue="0" maxValue="0.3"/>
    </cacheField>
    <cacheField name="Tax" numFmtId="2">
      <sharedItems containsSemiMixedTypes="0" containsString="0" containsNumber="1" minValue="0" maxValue="487.27"/>
    </cacheField>
    <cacheField name="ShippingCost" numFmtId="2">
      <sharedItems containsSemiMixedTypes="0" containsString="0" containsNumber="1" minValue="0.02" maxValue="14.97"/>
    </cacheField>
    <cacheField name="TotalAmount" numFmtId="2">
      <sharedItems containsSemiMixedTypes="0" containsString="0" containsNumber="1" minValue="10.99" maxValue="3214.61"/>
    </cacheField>
    <cacheField name="PaymentMethod" numFmtId="0">
      <sharedItems/>
    </cacheField>
    <cacheField name="OrderStatus" numFmtId="0">
      <sharedItems/>
    </cacheField>
    <cacheField name="City" numFmtId="0">
      <sharedItems/>
    </cacheField>
    <cacheField name="State" numFmtId="0">
      <sharedItems/>
    </cacheField>
    <cacheField name="Country" numFmtId="0">
      <sharedItems/>
    </cacheField>
    <cacheField name="Months (OrderDate)" numFmtId="0" databaseField="0">
      <fieldGroup base="1">
        <rangePr groupBy="months" startDate="2020-01-01T00:00:00" endDate="2024-12-30T00:00:00"/>
        <groupItems count="14">
          <s v="&lt;01-01-2020"/>
          <s v="Jan"/>
          <s v="Feb"/>
          <s v="Mar"/>
          <s v="Apr"/>
          <s v="May"/>
          <s v="Jun"/>
          <s v="Jul"/>
          <s v="Aug"/>
          <s v="Sep"/>
          <s v="Oct"/>
          <s v="Nov"/>
          <s v="Dec"/>
          <s v="&gt;30-12-2024"/>
        </groupItems>
      </fieldGroup>
    </cacheField>
    <cacheField name="Quarters (OrderDate)" numFmtId="0" databaseField="0">
      <fieldGroup base="1">
        <rangePr groupBy="quarters" startDate="2020-01-01T00:00:00" endDate="2024-12-30T00:00:00"/>
        <groupItems count="6">
          <s v="&lt;01-01-2020"/>
          <s v="Qtr1"/>
          <s v="Qtr2"/>
          <s v="Qtr3"/>
          <s v="Qtr4"/>
          <s v="&gt;30-12-2024"/>
        </groupItems>
      </fieldGroup>
    </cacheField>
    <cacheField name="Years (OrderDate)" numFmtId="0" databaseField="0">
      <fieldGroup base="1">
        <rangePr groupBy="years" startDate="2020-01-01T00:00:00" endDate="2024-12-30T00:00:00"/>
        <groupItems count="7">
          <s v="&lt;01-01-2020"/>
          <s v="2020"/>
          <s v="2021"/>
          <s v="2022"/>
          <s v="2023"/>
          <s v="2024"/>
          <s v="&gt;30-12-2024"/>
        </groupItems>
      </fieldGroup>
    </cacheField>
  </cacheFields>
  <extLst>
    <ext xmlns:x14="http://schemas.microsoft.com/office/spreadsheetml/2009/9/main" uri="{725AE2AE-9491-48be-B2B4-4EB974FC3084}">
      <x14:pivotCacheDefinition pivotCacheId="18475782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0.301243402777" createdVersion="8" refreshedVersion="8" minRefreshableVersion="3" recordCount="1001" xr:uid="{4CBA5402-AF70-4435-BBF7-DA71323A0B8D}">
  <cacheSource type="worksheet">
    <worksheetSource ref="A1:R1048576" sheet="Sheet1"/>
  </cacheSource>
  <cacheFields count="21">
    <cacheField name="OrderID" numFmtId="0">
      <sharedItems containsBlank="1" count="1001">
        <s v="ORD0000001"/>
        <s v="ORD0000002"/>
        <s v="ORD0000003"/>
        <s v="ORD0000004"/>
        <s v="ORD0000005"/>
        <s v="ORD0000006"/>
        <s v="ORD0000007"/>
        <s v="ORD0000008"/>
        <s v="ORD0000009"/>
        <s v="ORD0000010"/>
        <s v="ORD0000011"/>
        <s v="ORD0000012"/>
        <s v="ORD0000013"/>
        <s v="ORD0000014"/>
        <s v="ORD0000015"/>
        <s v="ORD0000016"/>
        <s v="ORD0000017"/>
        <s v="ORD0000018"/>
        <s v="ORD0000019"/>
        <s v="ORD0000020"/>
        <s v="ORD0000021"/>
        <s v="ORD0000022"/>
        <s v="ORD0000023"/>
        <s v="ORD0000024"/>
        <s v="ORD0000025"/>
        <s v="ORD0000026"/>
        <s v="ORD0000027"/>
        <s v="ORD0000028"/>
        <s v="ORD0000029"/>
        <s v="ORD0000030"/>
        <s v="ORD0000031"/>
        <s v="ORD0000032"/>
        <s v="ORD0000033"/>
        <s v="ORD0000034"/>
        <s v="ORD0000035"/>
        <s v="ORD0000036"/>
        <s v="ORD0000037"/>
        <s v="ORD0000038"/>
        <s v="ORD0000039"/>
        <s v="ORD0000040"/>
        <s v="ORD0000041"/>
        <s v="ORD0000042"/>
        <s v="ORD0000043"/>
        <s v="ORD0000044"/>
        <s v="ORD0000045"/>
        <s v="ORD0000046"/>
        <s v="ORD0000047"/>
        <s v="ORD0000048"/>
        <s v="ORD0000049"/>
        <s v="ORD0000050"/>
        <s v="ORD0000051"/>
        <s v="ORD0000052"/>
        <s v="ORD0000053"/>
        <s v="ORD0000054"/>
        <s v="ORD0000055"/>
        <s v="ORD0000056"/>
        <s v="ORD0000057"/>
        <s v="ORD0000058"/>
        <s v="ORD0000059"/>
        <s v="ORD0000060"/>
        <s v="ORD0000061"/>
        <s v="ORD0000062"/>
        <s v="ORD0000063"/>
        <s v="ORD0000064"/>
        <s v="ORD0000065"/>
        <s v="ORD0000066"/>
        <s v="ORD0000067"/>
        <s v="ORD0000068"/>
        <s v="ORD0000069"/>
        <s v="ORD0000070"/>
        <s v="ORD0000071"/>
        <s v="ORD0000072"/>
        <s v="ORD0000073"/>
        <s v="ORD0000074"/>
        <s v="ORD0000075"/>
        <s v="ORD0000076"/>
        <s v="ORD0000077"/>
        <s v="ORD0000078"/>
        <s v="ORD0000079"/>
        <s v="ORD0000080"/>
        <s v="ORD0000081"/>
        <s v="ORD0000082"/>
        <s v="ORD0000083"/>
        <s v="ORD0000084"/>
        <s v="ORD0000085"/>
        <s v="ORD0000086"/>
        <s v="ORD0000087"/>
        <s v="ORD0000088"/>
        <s v="ORD0000089"/>
        <s v="ORD0000090"/>
        <s v="ORD0000091"/>
        <s v="ORD0000092"/>
        <s v="ORD0000093"/>
        <s v="ORD0000094"/>
        <s v="ORD0000095"/>
        <s v="ORD0000096"/>
        <s v="ORD0000097"/>
        <s v="ORD0000098"/>
        <s v="ORD0000099"/>
        <s v="ORD0000100"/>
        <s v="ORD0000101"/>
        <s v="ORD0000102"/>
        <s v="ORD0000103"/>
        <s v="ORD0000104"/>
        <s v="ORD0000105"/>
        <s v="ORD0000106"/>
        <s v="ORD0000107"/>
        <s v="ORD0000108"/>
        <s v="ORD0000109"/>
        <s v="ORD0000110"/>
        <s v="ORD0000111"/>
        <s v="ORD0000112"/>
        <s v="ORD0000113"/>
        <s v="ORD0000114"/>
        <s v="ORD0000115"/>
        <s v="ORD0000116"/>
        <s v="ORD0000117"/>
        <s v="ORD0000118"/>
        <s v="ORD0000119"/>
        <s v="ORD0000120"/>
        <s v="ORD0000121"/>
        <s v="ORD0000122"/>
        <s v="ORD0000123"/>
        <s v="ORD0000124"/>
        <s v="ORD0000125"/>
        <s v="ORD0000126"/>
        <s v="ORD0000127"/>
        <s v="ORD0000128"/>
        <s v="ORD0000129"/>
        <s v="ORD0000130"/>
        <s v="ORD0000131"/>
        <s v="ORD0000132"/>
        <s v="ORD0000133"/>
        <s v="ORD0000134"/>
        <s v="ORD0000135"/>
        <s v="ORD0000136"/>
        <s v="ORD0000137"/>
        <s v="ORD0000138"/>
        <s v="ORD0000139"/>
        <s v="ORD0000140"/>
        <s v="ORD0000141"/>
        <s v="ORD0000142"/>
        <s v="ORD0000143"/>
        <s v="ORD0000144"/>
        <s v="ORD0000145"/>
        <s v="ORD0000146"/>
        <s v="ORD0000147"/>
        <s v="ORD0000148"/>
        <s v="ORD0000149"/>
        <s v="ORD0000150"/>
        <s v="ORD0000151"/>
        <s v="ORD0000152"/>
        <s v="ORD0000153"/>
        <s v="ORD0000154"/>
        <s v="ORD0000155"/>
        <s v="ORD0000156"/>
        <s v="ORD0000157"/>
        <s v="ORD0000158"/>
        <s v="ORD0000159"/>
        <s v="ORD0000160"/>
        <s v="ORD0000161"/>
        <s v="ORD0000162"/>
        <s v="ORD0000163"/>
        <s v="ORD0000164"/>
        <s v="ORD0000165"/>
        <s v="ORD0000166"/>
        <s v="ORD0000167"/>
        <s v="ORD0000168"/>
        <s v="ORD0000169"/>
        <s v="ORD0000170"/>
        <s v="ORD0000171"/>
        <s v="ORD0000172"/>
        <s v="ORD0000173"/>
        <s v="ORD0000174"/>
        <s v="ORD0000175"/>
        <s v="ORD0000176"/>
        <s v="ORD0000177"/>
        <s v="ORD0000178"/>
        <s v="ORD0000179"/>
        <s v="ORD0000180"/>
        <s v="ORD0000181"/>
        <s v="ORD0000182"/>
        <s v="ORD0000183"/>
        <s v="ORD0000184"/>
        <s v="ORD0000185"/>
        <s v="ORD0000186"/>
        <s v="ORD0000187"/>
        <s v="ORD0000188"/>
        <s v="ORD0000189"/>
        <s v="ORD0000190"/>
        <s v="ORD0000191"/>
        <s v="ORD0000192"/>
        <s v="ORD0000193"/>
        <s v="ORD0000194"/>
        <s v="ORD0000195"/>
        <s v="ORD0000196"/>
        <s v="ORD0000197"/>
        <s v="ORD0000198"/>
        <s v="ORD0000199"/>
        <s v="ORD0000200"/>
        <s v="ORD0000201"/>
        <s v="ORD0000202"/>
        <s v="ORD0000203"/>
        <s v="ORD0000204"/>
        <s v="ORD0000205"/>
        <s v="ORD0000206"/>
        <s v="ORD0000207"/>
        <s v="ORD0000208"/>
        <s v="ORD0000209"/>
        <s v="ORD0000210"/>
        <s v="ORD0000211"/>
        <s v="ORD0000212"/>
        <s v="ORD0000213"/>
        <s v="ORD0000214"/>
        <s v="ORD0000215"/>
        <s v="ORD0000216"/>
        <s v="ORD0000217"/>
        <s v="ORD0000218"/>
        <s v="ORD0000219"/>
        <s v="ORD0000220"/>
        <s v="ORD0000221"/>
        <s v="ORD0000222"/>
        <s v="ORD0000223"/>
        <s v="ORD0000224"/>
        <s v="ORD0000225"/>
        <s v="ORD0000226"/>
        <s v="ORD0000227"/>
        <s v="ORD0000228"/>
        <s v="ORD0000229"/>
        <s v="ORD0000230"/>
        <s v="ORD0000231"/>
        <s v="ORD0000232"/>
        <s v="ORD0000233"/>
        <s v="ORD0000234"/>
        <s v="ORD0000235"/>
        <s v="ORD0000236"/>
        <s v="ORD0000237"/>
        <s v="ORD0000238"/>
        <s v="ORD0000239"/>
        <s v="ORD0000240"/>
        <s v="ORD0000241"/>
        <s v="ORD0000242"/>
        <s v="ORD0000243"/>
        <s v="ORD0000244"/>
        <s v="ORD0000245"/>
        <s v="ORD0000246"/>
        <s v="ORD0000247"/>
        <s v="ORD0000248"/>
        <s v="ORD0000249"/>
        <s v="ORD0000250"/>
        <s v="ORD0000251"/>
        <s v="ORD0000252"/>
        <s v="ORD0000253"/>
        <s v="ORD0000254"/>
        <s v="ORD0000255"/>
        <s v="ORD0000256"/>
        <s v="ORD0000257"/>
        <s v="ORD0000258"/>
        <s v="ORD0000259"/>
        <s v="ORD0000260"/>
        <s v="ORD0000261"/>
        <s v="ORD0000262"/>
        <s v="ORD0000263"/>
        <s v="ORD0000264"/>
        <s v="ORD0000265"/>
        <s v="ORD0000266"/>
        <s v="ORD0000267"/>
        <s v="ORD0000268"/>
        <s v="ORD0000269"/>
        <s v="ORD0000270"/>
        <s v="ORD0000271"/>
        <s v="ORD0000272"/>
        <s v="ORD0000273"/>
        <s v="ORD0000274"/>
        <s v="ORD0000275"/>
        <s v="ORD0000276"/>
        <s v="ORD0000277"/>
        <s v="ORD0000278"/>
        <s v="ORD0000279"/>
        <s v="ORD0000280"/>
        <s v="ORD0000281"/>
        <s v="ORD0000282"/>
        <s v="ORD0000283"/>
        <s v="ORD0000284"/>
        <s v="ORD0000285"/>
        <s v="ORD0000286"/>
        <s v="ORD0000287"/>
        <s v="ORD0000288"/>
        <s v="ORD0000289"/>
        <s v="ORD0000290"/>
        <s v="ORD0000291"/>
        <s v="ORD0000292"/>
        <s v="ORD0000293"/>
        <s v="ORD0000294"/>
        <s v="ORD0000295"/>
        <s v="ORD0000296"/>
        <s v="ORD0000297"/>
        <s v="ORD0000298"/>
        <s v="ORD0000299"/>
        <s v="ORD0000300"/>
        <s v="ORD0000301"/>
        <s v="ORD0000302"/>
        <s v="ORD0000303"/>
        <s v="ORD0000304"/>
        <s v="ORD0000305"/>
        <s v="ORD0000306"/>
        <s v="ORD0000307"/>
        <s v="ORD0000308"/>
        <s v="ORD0000309"/>
        <s v="ORD0000310"/>
        <s v="ORD0000311"/>
        <s v="ORD0000312"/>
        <s v="ORD0000313"/>
        <s v="ORD0000314"/>
        <s v="ORD0000315"/>
        <s v="ORD0000316"/>
        <s v="ORD0000317"/>
        <s v="ORD0000318"/>
        <s v="ORD0000319"/>
        <s v="ORD0000320"/>
        <s v="ORD0000321"/>
        <s v="ORD0000322"/>
        <s v="ORD0000323"/>
        <s v="ORD0000324"/>
        <s v="ORD0000325"/>
        <s v="ORD0000326"/>
        <s v="ORD0000327"/>
        <s v="ORD0000328"/>
        <s v="ORD0000329"/>
        <s v="ORD0000330"/>
        <s v="ORD0000331"/>
        <s v="ORD0000332"/>
        <s v="ORD0000333"/>
        <s v="ORD0000334"/>
        <s v="ORD0000335"/>
        <s v="ORD0000336"/>
        <s v="ORD0000337"/>
        <s v="ORD0000338"/>
        <s v="ORD0000339"/>
        <s v="ORD0000340"/>
        <s v="ORD0000341"/>
        <s v="ORD0000342"/>
        <s v="ORD0000343"/>
        <s v="ORD0000344"/>
        <s v="ORD0000345"/>
        <s v="ORD0000346"/>
        <s v="ORD0000347"/>
        <s v="ORD0000348"/>
        <s v="ORD0000349"/>
        <s v="ORD0000350"/>
        <s v="ORD0000351"/>
        <s v="ORD0000352"/>
        <s v="ORD0000353"/>
        <s v="ORD0000354"/>
        <s v="ORD0000355"/>
        <s v="ORD0000356"/>
        <s v="ORD0000357"/>
        <s v="ORD0000358"/>
        <s v="ORD0000359"/>
        <s v="ORD0000360"/>
        <s v="ORD0000361"/>
        <s v="ORD0000362"/>
        <s v="ORD0000363"/>
        <s v="ORD0000364"/>
        <s v="ORD0000365"/>
        <s v="ORD0000366"/>
        <s v="ORD0000367"/>
        <s v="ORD0000368"/>
        <s v="ORD0000369"/>
        <s v="ORD0000370"/>
        <s v="ORD0000371"/>
        <s v="ORD0000372"/>
        <s v="ORD0000373"/>
        <s v="ORD0000374"/>
        <s v="ORD0000375"/>
        <s v="ORD0000376"/>
        <s v="ORD0000377"/>
        <s v="ORD0000378"/>
        <s v="ORD0000379"/>
        <s v="ORD0000380"/>
        <s v="ORD0000381"/>
        <s v="ORD0000382"/>
        <s v="ORD0000383"/>
        <s v="ORD0000384"/>
        <s v="ORD0000385"/>
        <s v="ORD0000386"/>
        <s v="ORD0000387"/>
        <s v="ORD0000388"/>
        <s v="ORD0000389"/>
        <s v="ORD0000390"/>
        <s v="ORD0000391"/>
        <s v="ORD0000392"/>
        <s v="ORD0000393"/>
        <s v="ORD0000394"/>
        <s v="ORD0000395"/>
        <s v="ORD0000396"/>
        <s v="ORD0000397"/>
        <s v="ORD0000398"/>
        <s v="ORD0000399"/>
        <s v="ORD0000400"/>
        <s v="ORD0000401"/>
        <s v="ORD0000402"/>
        <s v="ORD0000403"/>
        <s v="ORD0000404"/>
        <s v="ORD0000405"/>
        <s v="ORD0000406"/>
        <s v="ORD0000407"/>
        <s v="ORD0000408"/>
        <s v="ORD0000409"/>
        <s v="ORD0000410"/>
        <s v="ORD0000411"/>
        <s v="ORD0000412"/>
        <s v="ORD0000413"/>
        <s v="ORD0000414"/>
        <s v="ORD0000415"/>
        <s v="ORD0000416"/>
        <s v="ORD0000417"/>
        <s v="ORD0000418"/>
        <s v="ORD0000419"/>
        <s v="ORD0000420"/>
        <s v="ORD0000421"/>
        <s v="ORD0000422"/>
        <s v="ORD0000423"/>
        <s v="ORD0000424"/>
        <s v="ORD0000425"/>
        <s v="ORD0000426"/>
        <s v="ORD0000427"/>
        <s v="ORD0000428"/>
        <s v="ORD0000429"/>
        <s v="ORD0000430"/>
        <s v="ORD0000431"/>
        <s v="ORD0000432"/>
        <s v="ORD0000433"/>
        <s v="ORD0000434"/>
        <s v="ORD0000435"/>
        <s v="ORD0000436"/>
        <s v="ORD0000437"/>
        <s v="ORD0000438"/>
        <s v="ORD0000439"/>
        <s v="ORD0000440"/>
        <s v="ORD0000441"/>
        <s v="ORD0000442"/>
        <s v="ORD0000443"/>
        <s v="ORD0000444"/>
        <s v="ORD0000445"/>
        <s v="ORD0000446"/>
        <s v="ORD0000447"/>
        <s v="ORD0000448"/>
        <s v="ORD0000449"/>
        <s v="ORD0000450"/>
        <s v="ORD0000451"/>
        <s v="ORD0000452"/>
        <s v="ORD0000453"/>
        <s v="ORD0000454"/>
        <s v="ORD0000455"/>
        <s v="ORD0000456"/>
        <s v="ORD0000457"/>
        <s v="ORD0000458"/>
        <s v="ORD0000459"/>
        <s v="ORD0000460"/>
        <s v="ORD0000461"/>
        <s v="ORD0000462"/>
        <s v="ORD0000463"/>
        <s v="ORD0000464"/>
        <s v="ORD0000465"/>
        <s v="ORD0000466"/>
        <s v="ORD0000467"/>
        <s v="ORD0000468"/>
        <s v="ORD0000469"/>
        <s v="ORD0000470"/>
        <s v="ORD0000471"/>
        <s v="ORD0000472"/>
        <s v="ORD0000473"/>
        <s v="ORD0000474"/>
        <s v="ORD0000475"/>
        <s v="ORD0000476"/>
        <s v="ORD0000477"/>
        <s v="ORD0000478"/>
        <s v="ORD0000479"/>
        <s v="ORD0000480"/>
        <s v="ORD0000481"/>
        <s v="ORD0000482"/>
        <s v="ORD0000483"/>
        <s v="ORD0000484"/>
        <s v="ORD0000485"/>
        <s v="ORD0000486"/>
        <s v="ORD0000487"/>
        <s v="ORD0000488"/>
        <s v="ORD0000489"/>
        <s v="ORD0000490"/>
        <s v="ORD0000491"/>
        <s v="ORD0000492"/>
        <s v="ORD0000493"/>
        <s v="ORD0000494"/>
        <s v="ORD0000495"/>
        <s v="ORD0000496"/>
        <s v="ORD0000497"/>
        <s v="ORD0000498"/>
        <s v="ORD0000499"/>
        <s v="ORD0000500"/>
        <s v="ORD0000501"/>
        <s v="ORD0000502"/>
        <s v="ORD0000503"/>
        <s v="ORD0000504"/>
        <s v="ORD0000505"/>
        <s v="ORD0000506"/>
        <s v="ORD0000507"/>
        <s v="ORD0000508"/>
        <s v="ORD0000509"/>
        <s v="ORD0000510"/>
        <s v="ORD0000511"/>
        <s v="ORD0000512"/>
        <s v="ORD0000513"/>
        <s v="ORD0000514"/>
        <s v="ORD0000515"/>
        <s v="ORD0000516"/>
        <s v="ORD0000517"/>
        <s v="ORD0000518"/>
        <s v="ORD0000519"/>
        <s v="ORD0000520"/>
        <s v="ORD0000521"/>
        <s v="ORD0000522"/>
        <s v="ORD0000523"/>
        <s v="ORD0000524"/>
        <s v="ORD0000525"/>
        <s v="ORD0000526"/>
        <s v="ORD0000527"/>
        <s v="ORD0000528"/>
        <s v="ORD0000529"/>
        <s v="ORD0000530"/>
        <s v="ORD0000531"/>
        <s v="ORD0000532"/>
        <s v="ORD0000533"/>
        <s v="ORD0000534"/>
        <s v="ORD0000535"/>
        <s v="ORD0000536"/>
        <s v="ORD0000537"/>
        <s v="ORD0000538"/>
        <s v="ORD0000539"/>
        <s v="ORD0000540"/>
        <s v="ORD0000541"/>
        <s v="ORD0000542"/>
        <s v="ORD0000543"/>
        <s v="ORD0000544"/>
        <s v="ORD0000545"/>
        <s v="ORD0000546"/>
        <s v="ORD0000547"/>
        <s v="ORD0000548"/>
        <s v="ORD0000549"/>
        <s v="ORD0000550"/>
        <s v="ORD0000551"/>
        <s v="ORD0000552"/>
        <s v="ORD0000553"/>
        <s v="ORD0000554"/>
        <s v="ORD0000555"/>
        <s v="ORD0000556"/>
        <s v="ORD0000557"/>
        <s v="ORD0000558"/>
        <s v="ORD0000559"/>
        <s v="ORD0000560"/>
        <s v="ORD0000561"/>
        <s v="ORD0000562"/>
        <s v="ORD0000563"/>
        <s v="ORD0000564"/>
        <s v="ORD0000565"/>
        <s v="ORD0000566"/>
        <s v="ORD0000567"/>
        <s v="ORD0000568"/>
        <s v="ORD0000569"/>
        <s v="ORD0000570"/>
        <s v="ORD0000571"/>
        <s v="ORD0000572"/>
        <s v="ORD0000573"/>
        <s v="ORD0000574"/>
        <s v="ORD0000575"/>
        <s v="ORD0000576"/>
        <s v="ORD0000577"/>
        <s v="ORD0000578"/>
        <s v="ORD0000579"/>
        <s v="ORD0000580"/>
        <s v="ORD0000581"/>
        <s v="ORD0000582"/>
        <s v="ORD0000583"/>
        <s v="ORD0000584"/>
        <s v="ORD0000585"/>
        <s v="ORD0000586"/>
        <s v="ORD0000587"/>
        <s v="ORD0000588"/>
        <s v="ORD0000589"/>
        <s v="ORD0000590"/>
        <s v="ORD0000591"/>
        <s v="ORD0000592"/>
        <s v="ORD0000593"/>
        <s v="ORD0000594"/>
        <s v="ORD0000595"/>
        <s v="ORD0000596"/>
        <s v="ORD0000597"/>
        <s v="ORD0000598"/>
        <s v="ORD0000599"/>
        <s v="ORD0000600"/>
        <s v="ORD0000601"/>
        <s v="ORD0000602"/>
        <s v="ORD0000603"/>
        <s v="ORD0000604"/>
        <s v="ORD0000605"/>
        <s v="ORD0000606"/>
        <s v="ORD0000607"/>
        <s v="ORD0000608"/>
        <s v="ORD0000609"/>
        <s v="ORD0000610"/>
        <s v="ORD0000611"/>
        <s v="ORD0000612"/>
        <s v="ORD0000613"/>
        <s v="ORD0000614"/>
        <s v="ORD0000615"/>
        <s v="ORD0000616"/>
        <s v="ORD0000617"/>
        <s v="ORD0000618"/>
        <s v="ORD0000619"/>
        <s v="ORD0000620"/>
        <s v="ORD0000621"/>
        <s v="ORD0000622"/>
        <s v="ORD0000623"/>
        <s v="ORD0000624"/>
        <s v="ORD0000625"/>
        <s v="ORD0000626"/>
        <s v="ORD0000627"/>
        <s v="ORD0000628"/>
        <s v="ORD0000629"/>
        <s v="ORD0000630"/>
        <s v="ORD0000631"/>
        <s v="ORD0000632"/>
        <s v="ORD0000633"/>
        <s v="ORD0000634"/>
        <s v="ORD0000635"/>
        <s v="ORD0000636"/>
        <s v="ORD0000637"/>
        <s v="ORD0000638"/>
        <s v="ORD0000639"/>
        <s v="ORD0000640"/>
        <s v="ORD0000641"/>
        <s v="ORD0000642"/>
        <s v="ORD0000643"/>
        <s v="ORD0000644"/>
        <s v="ORD0000645"/>
        <s v="ORD0000646"/>
        <s v="ORD0000647"/>
        <s v="ORD0000648"/>
        <s v="ORD0000649"/>
        <s v="ORD0000650"/>
        <s v="ORD0000651"/>
        <s v="ORD0000652"/>
        <s v="ORD0000653"/>
        <s v="ORD0000654"/>
        <s v="ORD0000655"/>
        <s v="ORD0000656"/>
        <s v="ORD0000657"/>
        <s v="ORD0000658"/>
        <s v="ORD0000659"/>
        <s v="ORD0000660"/>
        <s v="ORD0000661"/>
        <s v="ORD0000662"/>
        <s v="ORD0000663"/>
        <s v="ORD0000664"/>
        <s v="ORD0000665"/>
        <s v="ORD0000666"/>
        <s v="ORD0000667"/>
        <s v="ORD0000668"/>
        <s v="ORD0000669"/>
        <s v="ORD0000670"/>
        <s v="ORD0000671"/>
        <s v="ORD0000672"/>
        <s v="ORD0000673"/>
        <s v="ORD0000674"/>
        <s v="ORD0000675"/>
        <s v="ORD0000676"/>
        <s v="ORD0000677"/>
        <s v="ORD0000678"/>
        <s v="ORD0000679"/>
        <s v="ORD0000680"/>
        <s v="ORD0000681"/>
        <s v="ORD0000682"/>
        <s v="ORD0000683"/>
        <s v="ORD0000684"/>
        <s v="ORD0000685"/>
        <s v="ORD0000686"/>
        <s v="ORD0000687"/>
        <s v="ORD0000688"/>
        <s v="ORD0000689"/>
        <s v="ORD0000690"/>
        <s v="ORD0000691"/>
        <s v="ORD0000692"/>
        <s v="ORD0000693"/>
        <s v="ORD0000694"/>
        <s v="ORD0000695"/>
        <s v="ORD0000696"/>
        <s v="ORD0000697"/>
        <s v="ORD0000698"/>
        <s v="ORD0000699"/>
        <s v="ORD0000700"/>
        <s v="ORD0000701"/>
        <s v="ORD0000702"/>
        <s v="ORD0000703"/>
        <s v="ORD0000704"/>
        <s v="ORD0000705"/>
        <s v="ORD0000706"/>
        <s v="ORD0000707"/>
        <s v="ORD0000708"/>
        <s v="ORD0000709"/>
        <s v="ORD0000710"/>
        <s v="ORD0000711"/>
        <s v="ORD0000712"/>
        <s v="ORD0000713"/>
        <s v="ORD0000714"/>
        <s v="ORD0000715"/>
        <s v="ORD0000716"/>
        <s v="ORD0000717"/>
        <s v="ORD0000718"/>
        <s v="ORD0000719"/>
        <s v="ORD0000720"/>
        <s v="ORD0000721"/>
        <s v="ORD0000722"/>
        <s v="ORD0000723"/>
        <s v="ORD0000724"/>
        <s v="ORD0000725"/>
        <s v="ORD0000726"/>
        <s v="ORD0000727"/>
        <s v="ORD0000728"/>
        <s v="ORD0000729"/>
        <s v="ORD0000730"/>
        <s v="ORD0000731"/>
        <s v="ORD0000732"/>
        <s v="ORD0000733"/>
        <s v="ORD0000734"/>
        <s v="ORD0000735"/>
        <s v="ORD0000736"/>
        <s v="ORD0000737"/>
        <s v="ORD0000738"/>
        <s v="ORD0000739"/>
        <s v="ORD0000740"/>
        <s v="ORD0000741"/>
        <s v="ORD0000742"/>
        <s v="ORD0000743"/>
        <s v="ORD0000744"/>
        <s v="ORD0000745"/>
        <s v="ORD0000746"/>
        <s v="ORD0000747"/>
        <s v="ORD0000748"/>
        <s v="ORD0000749"/>
        <s v="ORD0000750"/>
        <s v="ORD0000751"/>
        <s v="ORD0000752"/>
        <s v="ORD0000753"/>
        <s v="ORD0000754"/>
        <s v="ORD0000755"/>
        <s v="ORD0000756"/>
        <s v="ORD0000757"/>
        <s v="ORD0000758"/>
        <s v="ORD0000759"/>
        <s v="ORD0000760"/>
        <s v="ORD0000761"/>
        <s v="ORD0000762"/>
        <s v="ORD0000763"/>
        <s v="ORD0000764"/>
        <s v="ORD0000765"/>
        <s v="ORD0000766"/>
        <s v="ORD0000767"/>
        <s v="ORD0000768"/>
        <s v="ORD0000769"/>
        <s v="ORD0000770"/>
        <s v="ORD0000771"/>
        <s v="ORD0000772"/>
        <s v="ORD0000773"/>
        <s v="ORD0000774"/>
        <s v="ORD0000775"/>
        <s v="ORD0000776"/>
        <s v="ORD0000777"/>
        <s v="ORD0000778"/>
        <s v="ORD0000779"/>
        <s v="ORD0000780"/>
        <s v="ORD0000781"/>
        <s v="ORD0000782"/>
        <s v="ORD0000783"/>
        <s v="ORD0000784"/>
        <s v="ORD0000785"/>
        <s v="ORD0000786"/>
        <s v="ORD0000787"/>
        <s v="ORD0000788"/>
        <s v="ORD0000789"/>
        <s v="ORD0000790"/>
        <s v="ORD0000791"/>
        <s v="ORD0000792"/>
        <s v="ORD0000793"/>
        <s v="ORD0000794"/>
        <s v="ORD0000795"/>
        <s v="ORD0000796"/>
        <s v="ORD0000797"/>
        <s v="ORD0000798"/>
        <s v="ORD0000799"/>
        <s v="ORD0000800"/>
        <s v="ORD0000801"/>
        <s v="ORD0000802"/>
        <s v="ORD0000803"/>
        <s v="ORD0000804"/>
        <s v="ORD0000805"/>
        <s v="ORD0000806"/>
        <s v="ORD0000807"/>
        <s v="ORD0000808"/>
        <s v="ORD0000809"/>
        <s v="ORD0000810"/>
        <s v="ORD0000811"/>
        <s v="ORD0000812"/>
        <s v="ORD0000813"/>
        <s v="ORD0000814"/>
        <s v="ORD0000815"/>
        <s v="ORD0000816"/>
        <s v="ORD0000817"/>
        <s v="ORD0000818"/>
        <s v="ORD0000819"/>
        <s v="ORD0000820"/>
        <s v="ORD0000821"/>
        <s v="ORD0000822"/>
        <s v="ORD0000823"/>
        <s v="ORD0000824"/>
        <s v="ORD0000825"/>
        <s v="ORD0000826"/>
        <s v="ORD0000827"/>
        <s v="ORD0000828"/>
        <s v="ORD0000829"/>
        <s v="ORD0000830"/>
        <s v="ORD0000831"/>
        <s v="ORD0000832"/>
        <s v="ORD0000833"/>
        <s v="ORD0000834"/>
        <s v="ORD0000835"/>
        <s v="ORD0000836"/>
        <s v="ORD0000837"/>
        <s v="ORD0000838"/>
        <s v="ORD0000839"/>
        <s v="ORD0000840"/>
        <s v="ORD0000841"/>
        <s v="ORD0000842"/>
        <s v="ORD0000843"/>
        <s v="ORD0000844"/>
        <s v="ORD0000845"/>
        <s v="ORD0000846"/>
        <s v="ORD0000847"/>
        <s v="ORD0000848"/>
        <s v="ORD0000849"/>
        <s v="ORD0000850"/>
        <s v="ORD0000851"/>
        <s v="ORD0000852"/>
        <s v="ORD0000853"/>
        <s v="ORD0000854"/>
        <s v="ORD0000855"/>
        <s v="ORD0000856"/>
        <s v="ORD0000857"/>
        <s v="ORD0000858"/>
        <s v="ORD0000859"/>
        <s v="ORD0000860"/>
        <s v="ORD0000861"/>
        <s v="ORD0000862"/>
        <s v="ORD0000863"/>
        <s v="ORD0000864"/>
        <s v="ORD0000865"/>
        <s v="ORD0000866"/>
        <s v="ORD0000867"/>
        <s v="ORD0000868"/>
        <s v="ORD0000869"/>
        <s v="ORD0000870"/>
        <s v="ORD0000871"/>
        <s v="ORD0000872"/>
        <s v="ORD0000873"/>
        <s v="ORD0000874"/>
        <s v="ORD0000875"/>
        <s v="ORD0000876"/>
        <s v="ORD0000877"/>
        <s v="ORD0000878"/>
        <s v="ORD0000879"/>
        <s v="ORD0000880"/>
        <s v="ORD0000881"/>
        <s v="ORD0000882"/>
        <s v="ORD0000883"/>
        <s v="ORD0000884"/>
        <s v="ORD0000885"/>
        <s v="ORD0000886"/>
        <s v="ORD0000887"/>
        <s v="ORD0000888"/>
        <s v="ORD0000889"/>
        <s v="ORD0000890"/>
        <s v="ORD0000891"/>
        <s v="ORD0000892"/>
        <s v="ORD0000893"/>
        <s v="ORD0000894"/>
        <s v="ORD0000895"/>
        <s v="ORD0000896"/>
        <s v="ORD0000897"/>
        <s v="ORD0000898"/>
        <s v="ORD0000899"/>
        <s v="ORD0000900"/>
        <s v="ORD0000901"/>
        <s v="ORD0000902"/>
        <s v="ORD0000903"/>
        <s v="ORD0000904"/>
        <s v="ORD0000905"/>
        <s v="ORD0000906"/>
        <s v="ORD0000907"/>
        <s v="ORD0000908"/>
        <s v="ORD0000909"/>
        <s v="ORD0000910"/>
        <s v="ORD0000911"/>
        <s v="ORD0000912"/>
        <s v="ORD0000913"/>
        <s v="ORD0000914"/>
        <s v="ORD0000915"/>
        <s v="ORD0000916"/>
        <s v="ORD0000917"/>
        <s v="ORD0000918"/>
        <s v="ORD0000919"/>
        <s v="ORD0000920"/>
        <s v="ORD0000921"/>
        <s v="ORD0000922"/>
        <s v="ORD0000923"/>
        <s v="ORD0000924"/>
        <s v="ORD0000925"/>
        <s v="ORD0000926"/>
        <s v="ORD0000927"/>
        <s v="ORD0000928"/>
        <s v="ORD0000929"/>
        <s v="ORD0000930"/>
        <s v="ORD0000931"/>
        <s v="ORD0000932"/>
        <s v="ORD0000933"/>
        <s v="ORD0000934"/>
        <s v="ORD0000935"/>
        <s v="ORD0000936"/>
        <s v="ORD0000937"/>
        <s v="ORD0000938"/>
        <s v="ORD0000939"/>
        <s v="ORD0000940"/>
        <s v="ORD0000941"/>
        <s v="ORD0000942"/>
        <s v="ORD0000943"/>
        <s v="ORD0000944"/>
        <s v="ORD0000945"/>
        <s v="ORD0000946"/>
        <s v="ORD0000947"/>
        <s v="ORD0000948"/>
        <s v="ORD0000949"/>
        <s v="ORD0000950"/>
        <s v="ORD0000951"/>
        <s v="ORD0000952"/>
        <s v="ORD0000953"/>
        <s v="ORD0000954"/>
        <s v="ORD0000955"/>
        <s v="ORD0000956"/>
        <s v="ORD0000957"/>
        <s v="ORD0000958"/>
        <s v="ORD0000959"/>
        <s v="ORD0000960"/>
        <s v="ORD0000961"/>
        <s v="ORD0000962"/>
        <s v="ORD0000963"/>
        <s v="ORD0000964"/>
        <s v="ORD0000965"/>
        <s v="ORD0000966"/>
        <s v="ORD0000967"/>
        <s v="ORD0000968"/>
        <s v="ORD0000969"/>
        <s v="ORD0000970"/>
        <s v="ORD0000971"/>
        <s v="ORD0000972"/>
        <s v="ORD0000973"/>
        <s v="ORD0000974"/>
        <s v="ORD0000975"/>
        <s v="ORD0000976"/>
        <s v="ORD0000977"/>
        <s v="ORD0000978"/>
        <s v="ORD0000979"/>
        <s v="ORD0000980"/>
        <s v="ORD0000981"/>
        <s v="ORD0000982"/>
        <s v="ORD0000983"/>
        <s v="ORD0000984"/>
        <s v="ORD0000985"/>
        <s v="ORD0000986"/>
        <s v="ORD0000987"/>
        <s v="ORD0000988"/>
        <s v="ORD0000989"/>
        <s v="ORD0000990"/>
        <s v="ORD0000991"/>
        <s v="ORD0000992"/>
        <s v="ORD0000993"/>
        <s v="ORD0000994"/>
        <s v="ORD0000995"/>
        <s v="ORD0000996"/>
        <s v="ORD0000997"/>
        <s v="ORD0000998"/>
        <s v="ORD0000999"/>
        <s v="ORD0001000"/>
        <m/>
      </sharedItems>
    </cacheField>
    <cacheField name="OrderDate" numFmtId="0">
      <sharedItems containsNonDate="0" containsDate="1" containsString="0" containsBlank="1" minDate="2020-01-01T00:00:00" maxDate="2024-12-30T00:00:00" count="760">
        <d v="2023-01-31T00:00:00"/>
        <d v="2023-12-30T00:00:00"/>
        <d v="2022-05-10T00:00:00"/>
        <d v="2023-07-18T00:00:00"/>
        <d v="2023-02-04T00:00:00"/>
        <d v="2022-12-31T00:00:00"/>
        <d v="2024-09-20T00:00:00"/>
        <d v="2022-11-10T00:00:00"/>
        <d v="2024-06-26T00:00:00"/>
        <d v="2020-05-01T00:00:00"/>
        <d v="2021-04-11T00:00:00"/>
        <d v="2023-05-23T00:00:00"/>
        <d v="2020-11-26T00:00:00"/>
        <d v="2024-01-22T00:00:00"/>
        <d v="2020-03-28T00:00:00"/>
        <d v="2023-10-28T00:00:00"/>
        <d v="2023-01-28T00:00:00"/>
        <d v="2022-05-21T00:00:00"/>
        <d v="2024-08-14T00:00:00"/>
        <d v="2020-05-10T00:00:00"/>
        <d v="2024-08-12T00:00:00"/>
        <d v="2023-08-25T00:00:00"/>
        <d v="2022-02-08T00:00:00"/>
        <d v="2020-12-09T00:00:00"/>
        <d v="2024-02-24T00:00:00"/>
        <d v="2023-12-08T00:00:00"/>
        <d v="2022-03-16T00:00:00"/>
        <d v="2021-01-20T00:00:00"/>
        <d v="2023-04-30T00:00:00"/>
        <d v="2022-08-13T00:00:00"/>
        <d v="2020-10-03T00:00:00"/>
        <d v="2023-03-30T00:00:00"/>
        <d v="2021-04-04T00:00:00"/>
        <d v="2023-08-30T00:00:00"/>
        <d v="2020-01-22T00:00:00"/>
        <d v="2020-09-09T00:00:00"/>
        <d v="2022-01-17T00:00:00"/>
        <d v="2022-05-06T00:00:00"/>
        <d v="2024-05-03T00:00:00"/>
        <d v="2021-04-19T00:00:00"/>
        <d v="2022-12-18T00:00:00"/>
        <d v="2021-05-25T00:00:00"/>
        <d v="2024-09-01T00:00:00"/>
        <d v="2024-02-08T00:00:00"/>
        <d v="2021-11-30T00:00:00"/>
        <d v="2022-09-02T00:00:00"/>
        <d v="2024-12-11T00:00:00"/>
        <d v="2020-07-08T00:00:00"/>
        <d v="2022-08-15T00:00:00"/>
        <d v="2021-11-17T00:00:00"/>
        <d v="2021-07-16T00:00:00"/>
        <d v="2024-05-09T00:00:00"/>
        <d v="2023-06-21T00:00:00"/>
        <d v="2022-04-11T00:00:00"/>
        <d v="2024-03-08T00:00:00"/>
        <d v="2023-02-28T00:00:00"/>
        <d v="2024-02-17T00:00:00"/>
        <d v="2021-10-08T00:00:00"/>
        <d v="2020-01-21T00:00:00"/>
        <d v="2022-04-20T00:00:00"/>
        <d v="2020-06-15T00:00:00"/>
        <d v="2023-07-21T00:00:00"/>
        <d v="2021-01-22T00:00:00"/>
        <d v="2021-08-23T00:00:00"/>
        <d v="2020-11-11T00:00:00"/>
        <d v="2020-01-14T00:00:00"/>
        <d v="2020-08-29T00:00:00"/>
        <d v="2022-02-15T00:00:00"/>
        <d v="2023-10-01T00:00:00"/>
        <d v="2021-07-18T00:00:00"/>
        <d v="2022-06-16T00:00:00"/>
        <d v="2023-09-25T00:00:00"/>
        <d v="2020-04-01T00:00:00"/>
        <d v="2023-10-22T00:00:00"/>
        <d v="2024-01-18T00:00:00"/>
        <d v="2023-12-22T00:00:00"/>
        <d v="2021-05-23T00:00:00"/>
        <d v="2022-02-14T00:00:00"/>
        <d v="2020-02-04T00:00:00"/>
        <d v="2020-07-24T00:00:00"/>
        <d v="2023-01-09T00:00:00"/>
        <d v="2024-05-04T00:00:00"/>
        <d v="2023-11-12T00:00:00"/>
        <d v="2022-10-22T00:00:00"/>
        <d v="2022-10-18T00:00:00"/>
        <d v="2023-11-14T00:00:00"/>
        <d v="2021-07-19T00:00:00"/>
        <d v="2023-02-03T00:00:00"/>
        <d v="2024-11-30T00:00:00"/>
        <d v="2024-02-09T00:00:00"/>
        <d v="2021-12-03T00:00:00"/>
        <d v="2021-02-05T00:00:00"/>
        <d v="2021-12-30T00:00:00"/>
        <d v="2024-04-28T00:00:00"/>
        <d v="2020-06-10T00:00:00"/>
        <d v="2020-07-20T00:00:00"/>
        <d v="2022-09-22T00:00:00"/>
        <d v="2020-09-26T00:00:00"/>
        <d v="2022-03-26T00:00:00"/>
        <d v="2021-03-31T00:00:00"/>
        <d v="2024-01-25T00:00:00"/>
        <d v="2024-10-16T00:00:00"/>
        <d v="2023-06-29T00:00:00"/>
        <d v="2022-10-13T00:00:00"/>
        <d v="2024-09-21T00:00:00"/>
        <d v="2020-10-22T00:00:00"/>
        <d v="2024-10-14T00:00:00"/>
        <d v="2021-12-20T00:00:00"/>
        <d v="2024-11-07T00:00:00"/>
        <d v="2020-12-03T00:00:00"/>
        <d v="2022-05-28T00:00:00"/>
        <d v="2022-12-12T00:00:00"/>
        <d v="2022-03-02T00:00:00"/>
        <d v="2020-08-04T00:00:00"/>
        <d v="2022-02-02T00:00:00"/>
        <d v="2020-07-06T00:00:00"/>
        <d v="2021-01-14T00:00:00"/>
        <d v="2021-05-07T00:00:00"/>
        <d v="2022-11-30T00:00:00"/>
        <d v="2023-03-26T00:00:00"/>
        <d v="2020-01-15T00:00:00"/>
        <d v="2020-03-05T00:00:00"/>
        <d v="2021-06-04T00:00:00"/>
        <d v="2023-09-29T00:00:00"/>
        <d v="2023-02-26T00:00:00"/>
        <d v="2021-10-09T00:00:00"/>
        <d v="2024-02-04T00:00:00"/>
        <d v="2022-12-22T00:00:00"/>
        <d v="2023-03-08T00:00:00"/>
        <d v="2024-03-02T00:00:00"/>
        <d v="2021-08-15T00:00:00"/>
        <d v="2021-01-26T00:00:00"/>
        <d v="2024-08-25T00:00:00"/>
        <d v="2021-02-22T00:00:00"/>
        <d v="2020-10-15T00:00:00"/>
        <d v="2021-01-13T00:00:00"/>
        <d v="2024-12-01T00:00:00"/>
        <d v="2024-02-22T00:00:00"/>
        <d v="2020-08-18T00:00:00"/>
        <d v="2022-10-14T00:00:00"/>
        <d v="2020-02-10T00:00:00"/>
        <d v="2022-11-17T00:00:00"/>
        <d v="2020-05-14T00:00:00"/>
        <d v="2020-07-19T00:00:00"/>
        <d v="2022-02-18T00:00:00"/>
        <d v="2022-07-18T00:00:00"/>
        <d v="2022-11-22T00:00:00"/>
        <d v="2022-12-07T00:00:00"/>
        <d v="2021-05-17T00:00:00"/>
        <d v="2021-02-10T00:00:00"/>
        <d v="2024-05-16T00:00:00"/>
        <d v="2024-10-17T00:00:00"/>
        <d v="2022-03-15T00:00:00"/>
        <d v="2020-04-08T00:00:00"/>
        <d v="2021-11-14T00:00:00"/>
        <d v="2021-12-26T00:00:00"/>
        <d v="2024-04-19T00:00:00"/>
        <d v="2022-08-18T00:00:00"/>
        <d v="2024-10-28T00:00:00"/>
        <d v="2021-09-04T00:00:00"/>
        <d v="2021-10-04T00:00:00"/>
        <d v="2024-11-27T00:00:00"/>
        <d v="2022-10-25T00:00:00"/>
        <d v="2023-05-26T00:00:00"/>
        <d v="2022-02-05T00:00:00"/>
        <d v="2021-02-01T00:00:00"/>
        <d v="2022-05-20T00:00:00"/>
        <d v="2022-03-05T00:00:00"/>
        <d v="2021-01-27T00:00:00"/>
        <d v="2020-07-25T00:00:00"/>
        <d v="2022-11-04T00:00:00"/>
        <d v="2024-04-26T00:00:00"/>
        <d v="2022-06-10T00:00:00"/>
        <d v="2024-01-24T00:00:00"/>
        <d v="2024-09-10T00:00:00"/>
        <d v="2024-05-17T00:00:00"/>
        <d v="2022-05-13T00:00:00"/>
        <d v="2022-01-12T00:00:00"/>
        <d v="2023-06-18T00:00:00"/>
        <d v="2021-07-17T00:00:00"/>
        <d v="2022-10-17T00:00:00"/>
        <d v="2020-04-05T00:00:00"/>
        <d v="2024-10-23T00:00:00"/>
        <d v="2021-04-29T00:00:00"/>
        <d v="2023-12-01T00:00:00"/>
        <d v="2022-01-18T00:00:00"/>
        <d v="2024-08-05T00:00:00"/>
        <d v="2023-04-09T00:00:00"/>
        <d v="2021-06-24T00:00:00"/>
        <d v="2022-11-25T00:00:00"/>
        <d v="2021-06-08T00:00:00"/>
        <d v="2023-03-29T00:00:00"/>
        <d v="2024-09-18T00:00:00"/>
        <d v="2023-06-20T00:00:00"/>
        <d v="2023-01-14T00:00:00"/>
        <d v="2024-12-24T00:00:00"/>
        <d v="2021-07-31T00:00:00"/>
        <d v="2021-11-12T00:00:00"/>
        <d v="2021-07-10T00:00:00"/>
        <d v="2022-10-09T00:00:00"/>
        <d v="2021-10-07T00:00:00"/>
        <d v="2022-03-06T00:00:00"/>
        <d v="2024-07-01T00:00:00"/>
        <d v="2024-12-26T00:00:00"/>
        <d v="2023-09-16T00:00:00"/>
        <d v="2024-07-21T00:00:00"/>
        <d v="2024-03-09T00:00:00"/>
        <d v="2023-10-03T00:00:00"/>
        <d v="2024-02-05T00:00:00"/>
        <d v="2023-06-08T00:00:00"/>
        <d v="2023-06-02T00:00:00"/>
        <d v="2023-11-09T00:00:00"/>
        <d v="2023-11-01T00:00:00"/>
        <d v="2023-07-30T00:00:00"/>
        <d v="2021-09-24T00:00:00"/>
        <d v="2021-09-19T00:00:00"/>
        <d v="2022-08-30T00:00:00"/>
        <d v="2024-11-03T00:00:00"/>
        <d v="2023-07-06T00:00:00"/>
        <d v="2023-10-14T00:00:00"/>
        <d v="2021-12-10T00:00:00"/>
        <d v="2024-01-19T00:00:00"/>
        <d v="2023-12-05T00:00:00"/>
        <d v="2021-10-10T00:00:00"/>
        <d v="2020-11-13T00:00:00"/>
        <d v="2024-08-27T00:00:00"/>
        <d v="2023-06-11T00:00:00"/>
        <d v="2021-10-25T00:00:00"/>
        <d v="2023-10-29T00:00:00"/>
        <d v="2024-08-22T00:00:00"/>
        <d v="2024-06-19T00:00:00"/>
        <d v="2023-06-10T00:00:00"/>
        <d v="2024-09-11T00:00:00"/>
        <d v="2023-02-10T00:00:00"/>
        <d v="2024-02-29T00:00:00"/>
        <d v="2021-03-17T00:00:00"/>
        <d v="2023-07-15T00:00:00"/>
        <d v="2024-03-13T00:00:00"/>
        <d v="2023-11-10T00:00:00"/>
        <d v="2023-11-11T00:00:00"/>
        <d v="2024-06-24T00:00:00"/>
        <d v="2024-07-06T00:00:00"/>
        <d v="2022-08-09T00:00:00"/>
        <d v="2021-11-29T00:00:00"/>
        <d v="2020-04-22T00:00:00"/>
        <d v="2020-01-02T00:00:00"/>
        <d v="2021-10-03T00:00:00"/>
        <d v="2020-08-07T00:00:00"/>
        <d v="2024-05-08T00:00:00"/>
        <d v="2022-05-04T00:00:00"/>
        <d v="2024-10-25T00:00:00"/>
        <d v="2021-01-19T00:00:00"/>
        <d v="2023-11-27T00:00:00"/>
        <d v="2024-07-19T00:00:00"/>
        <d v="2023-02-27T00:00:00"/>
        <d v="2024-09-03T00:00:00"/>
        <d v="2024-09-29T00:00:00"/>
        <d v="2023-12-10T00:00:00"/>
        <d v="2020-09-03T00:00:00"/>
        <d v="2022-04-15T00:00:00"/>
        <d v="2024-01-02T00:00:00"/>
        <d v="2020-07-21T00:00:00"/>
        <d v="2023-04-22T00:00:00"/>
        <d v="2020-05-02T00:00:00"/>
        <d v="2021-02-04T00:00:00"/>
        <d v="2020-10-20T00:00:00"/>
        <d v="2020-10-06T00:00:00"/>
        <d v="2022-06-02T00:00:00"/>
        <d v="2024-06-21T00:00:00"/>
        <d v="2020-07-16T00:00:00"/>
        <d v="2022-09-08T00:00:00"/>
        <d v="2024-03-14T00:00:00"/>
        <d v="2022-01-21T00:00:00"/>
        <d v="2020-05-23T00:00:00"/>
        <d v="2021-08-31T00:00:00"/>
        <d v="2023-05-09T00:00:00"/>
        <d v="2023-02-21T00:00:00"/>
        <d v="2020-07-05T00:00:00"/>
        <d v="2023-09-11T00:00:00"/>
        <d v="2021-04-08T00:00:00"/>
        <d v="2023-10-04T00:00:00"/>
        <d v="2024-11-29T00:00:00"/>
        <d v="2021-10-21T00:00:00"/>
        <d v="2022-08-12T00:00:00"/>
        <d v="2021-02-06T00:00:00"/>
        <d v="2020-05-26T00:00:00"/>
        <d v="2023-03-17T00:00:00"/>
        <d v="2024-09-30T00:00:00"/>
        <d v="2021-05-03T00:00:00"/>
        <d v="2022-07-17T00:00:00"/>
        <d v="2021-07-04T00:00:00"/>
        <d v="2021-10-02T00:00:00"/>
        <d v="2024-12-07T00:00:00"/>
        <d v="2021-04-17T00:00:00"/>
        <d v="2020-05-30T00:00:00"/>
        <d v="2023-12-09T00:00:00"/>
        <d v="2023-08-14T00:00:00"/>
        <d v="2024-06-22T00:00:00"/>
        <d v="2020-09-19T00:00:00"/>
        <d v="2024-11-22T00:00:00"/>
        <d v="2020-12-11T00:00:00"/>
        <d v="2021-09-15T00:00:00"/>
        <d v="2024-05-14T00:00:00"/>
        <d v="2022-05-30T00:00:00"/>
        <d v="2022-06-15T00:00:00"/>
        <d v="2023-08-20T00:00:00"/>
        <d v="2020-09-10T00:00:00"/>
        <d v="2024-08-02T00:00:00"/>
        <d v="2021-03-28T00:00:00"/>
        <d v="2022-11-26T00:00:00"/>
        <d v="2022-10-11T00:00:00"/>
        <d v="2020-01-09T00:00:00"/>
        <d v="2023-01-27T00:00:00"/>
        <d v="2024-08-09T00:00:00"/>
        <d v="2020-07-26T00:00:00"/>
        <d v="2021-02-07T00:00:00"/>
        <d v="2020-05-31T00:00:00"/>
        <d v="2020-02-23T00:00:00"/>
        <d v="2023-02-17T00:00:00"/>
        <d v="2024-08-23T00:00:00"/>
        <d v="2021-08-09T00:00:00"/>
        <d v="2023-12-14T00:00:00"/>
        <d v="2023-12-16T00:00:00"/>
        <d v="2020-04-13T00:00:00"/>
        <d v="2023-06-04T00:00:00"/>
        <d v="2023-02-09T00:00:00"/>
        <d v="2021-05-24T00:00:00"/>
        <d v="2020-06-01T00:00:00"/>
        <d v="2022-07-02T00:00:00"/>
        <d v="2022-05-27T00:00:00"/>
        <d v="2024-09-25T00:00:00"/>
        <d v="2022-04-01T00:00:00"/>
        <d v="2023-04-01T00:00:00"/>
        <d v="2024-10-09T00:00:00"/>
        <d v="2022-08-14T00:00:00"/>
        <d v="2024-08-31T00:00:00"/>
        <d v="2020-06-09T00:00:00"/>
        <d v="2024-05-22T00:00:00"/>
        <d v="2022-03-11T00:00:00"/>
        <d v="2023-07-24T00:00:00"/>
        <d v="2024-03-07T00:00:00"/>
        <d v="2023-11-16T00:00:00"/>
        <d v="2023-03-04T00:00:00"/>
        <d v="2023-05-03T00:00:00"/>
        <d v="2021-10-01T00:00:00"/>
        <d v="2021-11-18T00:00:00"/>
        <d v="2021-04-14T00:00:00"/>
        <d v="2023-10-30T00:00:00"/>
        <d v="2022-11-11T00:00:00"/>
        <d v="2022-01-19T00:00:00"/>
        <d v="2024-08-20T00:00:00"/>
        <d v="2020-02-07T00:00:00"/>
        <d v="2020-08-17T00:00:00"/>
        <d v="2023-10-20T00:00:00"/>
        <d v="2021-03-13T00:00:00"/>
        <d v="2024-12-04T00:00:00"/>
        <d v="2020-01-27T00:00:00"/>
        <d v="2020-08-13T00:00:00"/>
        <d v="2022-03-08T00:00:00"/>
        <d v="2024-06-20T00:00:00"/>
        <d v="2020-10-10T00:00:00"/>
        <d v="2022-08-17T00:00:00"/>
        <d v="2024-02-13T00:00:00"/>
        <d v="2022-10-16T00:00:00"/>
        <d v="2021-10-20T00:00:00"/>
        <d v="2024-03-19T00:00:00"/>
        <d v="2021-06-30T00:00:00"/>
        <d v="2022-12-08T00:00:00"/>
        <d v="2024-03-15T00:00:00"/>
        <d v="2020-01-17T00:00:00"/>
        <d v="2023-04-10T00:00:00"/>
        <d v="2023-05-28T00:00:00"/>
        <d v="2020-06-06T00:00:00"/>
        <d v="2021-04-21T00:00:00"/>
        <d v="2022-12-05T00:00:00"/>
        <d v="2021-06-01T00:00:00"/>
        <d v="2021-05-11T00:00:00"/>
        <d v="2020-10-28T00:00:00"/>
        <d v="2020-06-29T00:00:00"/>
        <d v="2021-08-29T00:00:00"/>
        <d v="2022-09-19T00:00:00"/>
        <d v="2023-02-13T00:00:00"/>
        <d v="2020-07-09T00:00:00"/>
        <d v="2022-09-07T00:00:00"/>
        <d v="2022-07-16T00:00:00"/>
        <d v="2023-07-03T00:00:00"/>
        <d v="2023-09-08T00:00:00"/>
        <d v="2020-05-07T00:00:00"/>
        <d v="2020-01-18T00:00:00"/>
        <d v="2024-12-21T00:00:00"/>
        <d v="2024-10-24T00:00:00"/>
        <d v="2021-07-23T00:00:00"/>
        <d v="2021-11-16T00:00:00"/>
        <d v="2024-12-20T00:00:00"/>
        <d v="2021-09-17T00:00:00"/>
        <d v="2023-08-04T00:00:00"/>
        <d v="2022-05-03T00:00:00"/>
        <d v="2024-08-13T00:00:00"/>
        <d v="2022-08-19T00:00:00"/>
        <d v="2024-07-20T00:00:00"/>
        <d v="2020-06-03T00:00:00"/>
        <d v="2021-05-04T00:00:00"/>
        <d v="2022-02-23T00:00:00"/>
        <d v="2023-02-01T00:00:00"/>
        <d v="2023-11-17T00:00:00"/>
        <d v="2020-09-02T00:00:00"/>
        <d v="2023-04-14T00:00:00"/>
        <d v="2022-11-28T00:00:00"/>
        <d v="2022-01-28T00:00:00"/>
        <d v="2021-06-21T00:00:00"/>
        <d v="2022-07-09T00:00:00"/>
        <d v="2021-02-11T00:00:00"/>
        <d v="2022-04-07T00:00:00"/>
        <d v="2022-06-21T00:00:00"/>
        <d v="2020-02-05T00:00:00"/>
        <d v="2021-11-15T00:00:00"/>
        <d v="2020-01-20T00:00:00"/>
        <d v="2020-11-16T00:00:00"/>
        <d v="2021-05-26T00:00:00"/>
        <d v="2021-02-03T00:00:00"/>
        <d v="2021-10-15T00:00:00"/>
        <d v="2022-08-29T00:00:00"/>
        <d v="2021-04-15T00:00:00"/>
        <d v="2023-03-12T00:00:00"/>
        <d v="2023-01-20T00:00:00"/>
        <d v="2023-10-09T00:00:00"/>
        <d v="2022-04-13T00:00:00"/>
        <d v="2024-12-28T00:00:00"/>
        <d v="2021-12-27T00:00:00"/>
        <d v="2020-02-20T00:00:00"/>
        <d v="2024-08-15T00:00:00"/>
        <d v="2024-09-17T00:00:00"/>
        <d v="2021-07-28T00:00:00"/>
        <d v="2023-04-28T00:00:00"/>
        <d v="2023-02-22T00:00:00"/>
        <d v="2020-05-29T00:00:00"/>
        <d v="2020-11-09T00:00:00"/>
        <d v="2023-09-27T00:00:00"/>
        <d v="2020-10-31T00:00:00"/>
        <d v="2022-04-17T00:00:00"/>
        <d v="2022-12-13T00:00:00"/>
        <d v="2022-09-29T00:00:00"/>
        <d v="2021-03-19T00:00:00"/>
        <d v="2020-09-20T00:00:00"/>
        <d v="2022-09-30T00:00:00"/>
        <d v="2020-01-05T00:00:00"/>
        <d v="2023-05-04T00:00:00"/>
        <d v="2022-02-12T00:00:00"/>
        <d v="2022-05-26T00:00:00"/>
        <d v="2022-09-18T00:00:00"/>
        <d v="2023-10-05T00:00:00"/>
        <d v="2020-02-16T00:00:00"/>
        <d v="2022-05-16T00:00:00"/>
        <d v="2022-04-02T00:00:00"/>
        <d v="2022-07-24T00:00:00"/>
        <d v="2021-10-17T00:00:00"/>
        <d v="2020-09-25T00:00:00"/>
        <d v="2021-01-04T00:00:00"/>
        <d v="2021-09-27T00:00:00"/>
        <d v="2021-10-18T00:00:00"/>
        <d v="2020-04-29T00:00:00"/>
        <d v="2022-04-10T00:00:00"/>
        <d v="2024-12-15T00:00:00"/>
        <d v="2024-06-15T00:00:00"/>
        <d v="2022-12-17T00:00:00"/>
        <d v="2022-01-10T00:00:00"/>
        <d v="2024-02-06T00:00:00"/>
        <d v="2020-04-26T00:00:00"/>
        <d v="2022-03-01T00:00:00"/>
        <d v="2023-02-24T00:00:00"/>
        <d v="2024-07-22T00:00:00"/>
        <d v="2021-09-25T00:00:00"/>
        <d v="2021-05-27T00:00:00"/>
        <d v="2024-11-09T00:00:00"/>
        <d v="2022-03-12T00:00:00"/>
        <d v="2023-01-24T00:00:00"/>
        <d v="2023-02-15T00:00:00"/>
        <d v="2021-07-13T00:00:00"/>
        <d v="2024-06-12T00:00:00"/>
        <d v="2021-05-02T00:00:00"/>
        <d v="2023-06-14T00:00:00"/>
        <d v="2023-07-19T00:00:00"/>
        <d v="2023-04-27T00:00:00"/>
        <d v="2021-12-04T00:00:00"/>
        <d v="2024-01-10T00:00:00"/>
        <d v="2021-08-03T00:00:00"/>
        <d v="2022-02-28T00:00:00"/>
        <d v="2023-01-04T00:00:00"/>
        <d v="2020-06-02T00:00:00"/>
        <d v="2024-08-06T00:00:00"/>
        <d v="2023-12-29T00:00:00"/>
        <d v="2022-09-23T00:00:00"/>
        <d v="2021-11-27T00:00:00"/>
        <d v="2023-08-01T00:00:00"/>
        <d v="2022-12-28T00:00:00"/>
        <d v="2022-12-06T00:00:00"/>
        <d v="2022-10-05T00:00:00"/>
        <d v="2020-04-03T00:00:00"/>
        <d v="2024-11-08T00:00:00"/>
        <d v="2022-10-08T00:00:00"/>
        <d v="2023-05-12T00:00:00"/>
        <d v="2022-06-30T00:00:00"/>
        <d v="2020-08-05T00:00:00"/>
        <d v="2021-04-18T00:00:00"/>
        <d v="2021-03-07T00:00:00"/>
        <d v="2020-12-06T00:00:00"/>
        <d v="2024-06-23T00:00:00"/>
        <d v="2023-08-05T00:00:00"/>
        <d v="2023-07-01T00:00:00"/>
        <d v="2020-12-22T00:00:00"/>
        <d v="2020-01-23T00:00:00"/>
        <d v="2024-11-20T00:00:00"/>
        <d v="2021-06-05T00:00:00"/>
        <d v="2024-11-16T00:00:00"/>
        <d v="2023-04-18T00:00:00"/>
        <d v="2023-05-31T00:00:00"/>
        <d v="2022-01-31T00:00:00"/>
        <d v="2022-02-07T00:00:00"/>
        <d v="2022-10-12T00:00:00"/>
        <d v="2023-09-10T00:00:00"/>
        <d v="2021-05-30T00:00:00"/>
        <d v="2022-11-05T00:00:00"/>
        <d v="2020-12-01T00:00:00"/>
        <d v="2024-11-17T00:00:00"/>
        <d v="2020-09-14T00:00:00"/>
        <d v="2022-06-14T00:00:00"/>
        <d v="2020-06-08T00:00:00"/>
        <d v="2024-02-07T00:00:00"/>
        <d v="2022-05-01T00:00:00"/>
        <d v="2021-11-20T00:00:00"/>
        <d v="2024-04-17T00:00:00"/>
        <d v="2021-11-21T00:00:00"/>
        <d v="2023-12-21T00:00:00"/>
        <d v="2024-05-19T00:00:00"/>
        <d v="2023-12-11T00:00:00"/>
        <d v="2023-04-06T00:00:00"/>
        <d v="2022-12-02T00:00:00"/>
        <d v="2020-10-11T00:00:00"/>
        <d v="2021-01-31T00:00:00"/>
        <d v="2020-01-12T00:00:00"/>
        <d v="2024-06-18T00:00:00"/>
        <d v="2023-08-18T00:00:00"/>
        <d v="2023-06-30T00:00:00"/>
        <d v="2021-05-13T00:00:00"/>
        <d v="2022-01-23T00:00:00"/>
        <d v="2022-04-28T00:00:00"/>
        <d v="2020-03-30T00:00:00"/>
        <d v="2021-08-27T00:00:00"/>
        <d v="2022-08-27T00:00:00"/>
        <d v="2024-06-13T00:00:00"/>
        <d v="2021-02-21T00:00:00"/>
        <d v="2020-04-24T00:00:00"/>
        <d v="2021-09-08T00:00:00"/>
        <d v="2022-04-05T00:00:00"/>
        <d v="2024-03-04T00:00:00"/>
        <d v="2024-07-07T00:00:00"/>
        <d v="2024-02-25T00:00:00"/>
        <d v="2023-01-03T00:00:00"/>
        <d v="2021-02-16T00:00:00"/>
        <d v="2023-10-31T00:00:00"/>
        <d v="2021-12-29T00:00:00"/>
        <d v="2022-01-30T00:00:00"/>
        <d v="2021-11-06T00:00:00"/>
        <d v="2023-11-18T00:00:00"/>
        <d v="2021-04-01T00:00:00"/>
        <d v="2022-07-08T00:00:00"/>
        <d v="2020-07-10T00:00:00"/>
        <d v="2022-01-08T00:00:00"/>
        <d v="2024-09-08T00:00:00"/>
        <d v="2024-04-20T00:00:00"/>
        <d v="2022-09-04T00:00:00"/>
        <d v="2021-10-24T00:00:00"/>
        <d v="2020-02-06T00:00:00"/>
        <d v="2024-12-08T00:00:00"/>
        <d v="2023-10-24T00:00:00"/>
        <d v="2024-09-14T00:00:00"/>
        <d v="2024-03-28T00:00:00"/>
        <d v="2020-10-05T00:00:00"/>
        <d v="2022-05-22T00:00:00"/>
        <d v="2023-07-20T00:00:00"/>
        <d v="2020-03-02T00:00:00"/>
        <d v="2021-08-18T00:00:00"/>
        <d v="2022-11-08T00:00:00"/>
        <d v="2020-06-25T00:00:00"/>
        <d v="2021-01-30T00:00:00"/>
        <d v="2021-03-20T00:00:00"/>
        <d v="2020-03-16T00:00:00"/>
        <d v="2020-09-21T00:00:00"/>
        <d v="2021-03-30T00:00:00"/>
        <d v="2021-12-18T00:00:00"/>
        <d v="2022-01-04T00:00:00"/>
        <d v="2023-11-08T00:00:00"/>
        <d v="2024-05-06T00:00:00"/>
        <d v="2022-04-30T00:00:00"/>
        <d v="2022-06-03T00:00:00"/>
        <d v="2022-11-14T00:00:00"/>
        <d v="2022-08-05T00:00:00"/>
        <d v="2022-06-09T00:00:00"/>
        <d v="2024-02-01T00:00:00"/>
        <d v="2024-02-16T00:00:00"/>
        <d v="2024-05-07T00:00:00"/>
        <d v="2023-03-20T00:00:00"/>
        <d v="2023-03-13T00:00:00"/>
        <d v="2021-07-22T00:00:00"/>
        <d v="2020-04-18T00:00:00"/>
        <d v="2024-09-12T00:00:00"/>
        <d v="2022-12-01T00:00:00"/>
        <d v="2023-04-24T00:00:00"/>
        <d v="2022-07-23T00:00:00"/>
        <d v="2023-03-02T00:00:00"/>
        <d v="2022-01-02T00:00:00"/>
        <d v="2020-08-22T00:00:00"/>
        <d v="2021-10-19T00:00:00"/>
        <d v="2022-01-20T00:00:00"/>
        <d v="2021-08-10T00:00:00"/>
        <d v="2022-10-29T00:00:00"/>
        <d v="2023-01-02T00:00:00"/>
        <d v="2022-08-11T00:00:00"/>
        <d v="2021-05-06T00:00:00"/>
        <d v="2022-07-01T00:00:00"/>
        <d v="2023-06-07T00:00:00"/>
        <d v="2024-03-22T00:00:00"/>
        <d v="2023-04-12T00:00:00"/>
        <d v="2024-08-03T00:00:00"/>
        <d v="2020-06-18T00:00:00"/>
        <d v="2022-08-03T00:00:00"/>
        <d v="2023-05-02T00:00:00"/>
        <d v="2024-03-20T00:00:00"/>
        <d v="2020-01-29T00:00:00"/>
        <d v="2023-04-03T00:00:00"/>
        <d v="2020-12-04T00:00:00"/>
        <d v="2024-07-29T00:00:00"/>
        <d v="2024-02-28T00:00:00"/>
        <d v="2021-05-14T00:00:00"/>
        <d v="2024-08-07T00:00:00"/>
        <d v="2023-09-12T00:00:00"/>
        <d v="2023-08-17T00:00:00"/>
        <d v="2023-03-01T00:00:00"/>
        <d v="2022-12-29T00:00:00"/>
        <d v="2022-05-25T00:00:00"/>
        <d v="2023-04-20T00:00:00"/>
        <d v="2020-03-31T00:00:00"/>
        <d v="2021-12-14T00:00:00"/>
        <d v="2024-04-03T00:00:00"/>
        <d v="2020-02-08T00:00:00"/>
        <d v="2023-02-23T00:00:00"/>
        <d v="2024-01-14T00:00:00"/>
        <d v="2020-06-21T00:00:00"/>
        <d v="2021-10-14T00:00:00"/>
        <d v="2024-08-10T00:00:00"/>
        <d v="2021-04-20T00:00:00"/>
        <d v="2022-04-08T00:00:00"/>
        <d v="2022-06-13T00:00:00"/>
        <d v="2023-10-16T00:00:00"/>
        <d v="2022-10-21T00:00:00"/>
        <d v="2021-01-21T00:00:00"/>
        <d v="2020-12-13T00:00:00"/>
        <d v="2021-05-19T00:00:00"/>
        <d v="2023-04-29T00:00:00"/>
        <d v="2024-03-11T00:00:00"/>
        <d v="2023-12-03T00:00:00"/>
        <d v="2022-04-03T00:00:00"/>
        <d v="2022-07-22T00:00:00"/>
        <d v="2023-02-14T00:00:00"/>
        <d v="2020-05-13T00:00:00"/>
        <d v="2020-02-27T00:00:00"/>
        <d v="2021-11-02T00:00:00"/>
        <d v="2022-03-25T00:00:00"/>
        <d v="2023-03-18T00:00:00"/>
        <d v="2020-03-20T00:00:00"/>
        <d v="2022-06-04T00:00:00"/>
        <d v="2023-05-21T00:00:00"/>
        <d v="2023-06-06T00:00:00"/>
        <d v="2024-08-26T00:00:00"/>
        <d v="2024-04-04T00:00:00"/>
        <d v="2024-01-04T00:00:00"/>
        <d v="2023-11-26T00:00:00"/>
        <d v="2023-08-21T00:00:00"/>
        <d v="2024-03-29T00:00:00"/>
        <d v="2024-03-16T00:00:00"/>
        <d v="2022-08-28T00:00:00"/>
        <d v="2022-11-01T00:00:00"/>
        <d v="2023-09-15T00:00:00"/>
        <d v="2022-01-05T00:00:00"/>
        <d v="2022-02-22T00:00:00"/>
        <d v="2022-08-25T00:00:00"/>
        <d v="2020-12-23T00:00:00"/>
        <d v="2023-12-02T00:00:00"/>
        <d v="2021-10-29T00:00:00"/>
        <d v="2021-01-07T00:00:00"/>
        <d v="2022-10-28T00:00:00"/>
        <d v="2023-02-19T00:00:00"/>
        <d v="2021-11-28T00:00:00"/>
        <d v="2023-09-01T00:00:00"/>
        <d v="2023-04-16T00:00:00"/>
        <d v="2021-06-23T00:00:00"/>
        <d v="2022-01-01T00:00:00"/>
        <d v="2022-05-18T00:00:00"/>
        <d v="2022-01-09T00:00:00"/>
        <d v="2024-09-23T00:00:00"/>
        <d v="2021-05-16T00:00:00"/>
        <d v="2022-08-16T00:00:00"/>
        <d v="2023-03-14T00:00:00"/>
        <d v="2024-10-13T00:00:00"/>
        <d v="2021-04-05T00:00:00"/>
        <d v="2022-07-13T00:00:00"/>
        <d v="2022-06-27T00:00:00"/>
        <d v="2024-04-30T00:00:00"/>
        <d v="2021-01-24T00:00:00"/>
        <d v="2024-06-05T00:00:00"/>
        <d v="2022-06-01T00:00:00"/>
        <d v="2020-09-12T00:00:00"/>
        <d v="2021-12-09T00:00:00"/>
        <d v="2021-03-25T00:00:00"/>
        <d v="2020-01-10T00:00:00"/>
        <d v="2023-06-19T00:00:00"/>
        <d v="2023-06-28T00:00:00"/>
        <d v="2023-02-16T00:00:00"/>
        <d v="2024-12-29T00:00:00"/>
        <d v="2021-01-08T00:00:00"/>
        <d v="2022-12-24T00:00:00"/>
        <d v="2020-05-25T00:00:00"/>
        <d v="2020-08-11T00:00:00"/>
        <d v="2023-06-16T00:00:00"/>
        <d v="2022-05-02T00:00:00"/>
        <d v="2023-07-29T00:00:00"/>
        <d v="2020-03-03T00:00:00"/>
        <d v="2023-05-25T00:00:00"/>
        <d v="2022-04-06T00:00:00"/>
        <d v="2021-11-19T00:00:00"/>
        <d v="2020-04-14T00:00:00"/>
        <d v="2021-02-08T00:00:00"/>
        <d v="2024-07-26T00:00:00"/>
        <d v="2022-02-09T00:00:00"/>
        <d v="2023-12-31T00:00:00"/>
        <d v="2022-11-12T00:00:00"/>
        <d v="2021-11-07T00:00:00"/>
        <d v="2024-01-21T00:00:00"/>
        <d v="2020-03-23T00:00:00"/>
        <d v="2023-01-13T00:00:00"/>
        <d v="2023-01-06T00:00:00"/>
        <d v="2020-01-01T00:00:00"/>
        <d v="2021-12-17T00:00:00"/>
        <d v="2024-01-09T00:00:00"/>
        <d v="2021-03-24T00:00:00"/>
        <d v="2020-02-03T00:00:00"/>
        <d v="2020-04-04T00:00:00"/>
        <d v="2024-04-23T00:00:00"/>
        <d v="2020-09-06T00:00:00"/>
        <d v="2021-11-04T00:00:00"/>
        <d v="2020-04-27T00:00:00"/>
        <d v="2023-08-22T00:00:00"/>
        <d v="2020-09-24T00:00:00"/>
        <d v="2020-08-23T00:00:00"/>
        <d v="2021-01-23T00:00:00"/>
        <d v="2022-09-16T00:00:00"/>
        <d v="2022-02-01T00:00:00"/>
        <d v="2023-08-19T00:00:00"/>
        <d v="2022-07-07T00:00:00"/>
        <m/>
      </sharedItems>
      <fieldGroup par="20"/>
    </cacheField>
    <cacheField name="CustomerID" numFmtId="0">
      <sharedItems containsBlank="1"/>
    </cacheField>
    <cacheField name="CustomerName" numFmtId="0">
      <sharedItems containsBlank="1"/>
    </cacheField>
    <cacheField name="ProductName" numFmtId="0">
      <sharedItems containsBlank="1"/>
    </cacheField>
    <cacheField name="Category" numFmtId="0">
      <sharedItems containsBlank="1" count="7">
        <s v="Books"/>
        <s v="Home &amp; Kitchen"/>
        <s v="Clothing"/>
        <s v="Toys &amp; Games"/>
        <s v="Sports &amp; Outdoors"/>
        <s v="Electronics"/>
        <m/>
      </sharedItems>
    </cacheField>
    <cacheField name="Brand" numFmtId="0">
      <sharedItems containsBlank="1" count="11">
        <s v="BrightLux"/>
        <s v="UrbanStyle"/>
        <s v="Zenith"/>
        <s v="KiddoFun"/>
        <s v="ReadMore"/>
        <s v="Apex"/>
        <s v="HomeEase"/>
        <s v="FitLife"/>
        <s v="CoreTech"/>
        <s v="NexPro"/>
        <m/>
      </sharedItems>
    </cacheField>
    <cacheField name="Quantity" numFmtId="0">
      <sharedItems containsString="0" containsBlank="1" containsNumber="1" containsInteger="1" minValue="1" maxValue="5"/>
    </cacheField>
    <cacheField name="UnitPrice" numFmtId="0">
      <sharedItems containsString="0" containsBlank="1" containsNumber="1" minValue="5.3" maxValue="598.75"/>
    </cacheField>
    <cacheField name="Discount" numFmtId="0">
      <sharedItems containsString="0" containsBlank="1" containsNumber="1" minValue="0" maxValue="0.3"/>
    </cacheField>
    <cacheField name="Tax" numFmtId="0">
      <sharedItems containsString="0" containsBlank="1" containsNumber="1" minValue="0" maxValue="487.27"/>
    </cacheField>
    <cacheField name="ShippingCost" numFmtId="0">
      <sharedItems containsString="0" containsBlank="1" containsNumber="1" minValue="0.02" maxValue="14.97"/>
    </cacheField>
    <cacheField name="TotalAmount" numFmtId="0">
      <sharedItems containsString="0" containsBlank="1" containsNumber="1" minValue="10.99" maxValue="3214.61"/>
    </cacheField>
    <cacheField name="PaymentMethod" numFmtId="0">
      <sharedItems containsBlank="1" count="7">
        <s v="Debit Card"/>
        <s v="Amazon Pay"/>
        <s v="Cash on Delivery"/>
        <s v="Credit Card"/>
        <s v="UPI"/>
        <s v="Net Banking"/>
        <m/>
      </sharedItems>
    </cacheField>
    <cacheField name="OrderStatus" numFmtId="0">
      <sharedItems containsBlank="1" count="6">
        <s v="Delivered"/>
        <s v="Cancelled"/>
        <s v="Pending"/>
        <s v="Shipped"/>
        <s v="Returned"/>
        <m/>
      </sharedItems>
    </cacheField>
    <cacheField name="City" numFmtId="0">
      <sharedItems containsBlank="1"/>
    </cacheField>
    <cacheField name="State" numFmtId="0">
      <sharedItems containsBlank="1"/>
    </cacheField>
    <cacheField name="Country" numFmtId="0">
      <sharedItems containsBlank="1"/>
    </cacheField>
    <cacheField name="Months (OrderDate)" numFmtId="0" databaseField="0">
      <fieldGroup base="1">
        <rangePr groupBy="months" startDate="2020-01-01T00:00:00" endDate="2024-12-30T00:00:00"/>
        <groupItems count="14">
          <s v="&lt;01-01-2020"/>
          <s v="Jan"/>
          <s v="Feb"/>
          <s v="Mar"/>
          <s v="Apr"/>
          <s v="May"/>
          <s v="Jun"/>
          <s v="Jul"/>
          <s v="Aug"/>
          <s v="Sep"/>
          <s v="Oct"/>
          <s v="Nov"/>
          <s v="Dec"/>
          <s v="&gt;30-12-2024"/>
        </groupItems>
      </fieldGroup>
    </cacheField>
    <cacheField name="Quarters (OrderDate)" numFmtId="0" databaseField="0">
      <fieldGroup base="1">
        <rangePr groupBy="quarters" startDate="2020-01-01T00:00:00" endDate="2024-12-30T00:00:00"/>
        <groupItems count="6">
          <s v="&lt;01-01-2020"/>
          <s v="Qtr1"/>
          <s v="Qtr2"/>
          <s v="Qtr3"/>
          <s v="Qtr4"/>
          <s v="&gt;30-12-2024"/>
        </groupItems>
      </fieldGroup>
    </cacheField>
    <cacheField name="Years (OrderDate)" numFmtId="0" databaseField="0">
      <fieldGroup base="1">
        <rangePr groupBy="years" startDate="2020-01-01T00:00:00" endDate="2024-12-30T00:00:00"/>
        <groupItems count="7">
          <s v="&lt;01-01-2020"/>
          <s v="2020"/>
          <s v="2021"/>
          <s v="2022"/>
          <s v="2023"/>
          <s v="2024"/>
          <s v="&gt;30-12-2024"/>
        </groupItems>
      </fieldGroup>
    </cacheField>
  </cacheFields>
  <extLst>
    <ext xmlns:x14="http://schemas.microsoft.com/office/spreadsheetml/2009/9/main" uri="{725AE2AE-9491-48be-B2B4-4EB974FC3084}">
      <x14:pivotCacheDefinition pivotCacheId="20144352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001"/>
    <x v="0"/>
    <s v="CUST001504"/>
    <s v="Vihaan Sharma"/>
    <x v="0"/>
    <x v="0"/>
    <s v="BrightLux"/>
    <n v="3"/>
    <n v="106.59"/>
    <n v="0"/>
    <n v="0"/>
    <n v="0.09"/>
    <n v="319.86"/>
    <s v="Debit Card"/>
    <s v="Delivered"/>
    <s v="Washington"/>
    <s v="DC"/>
    <s v="India"/>
  </r>
  <r>
    <s v="ORD0000002"/>
    <x v="1"/>
    <s v="CUST000178"/>
    <s v="Pooja Kumari"/>
    <x v="1"/>
    <x v="1"/>
    <s v="UrbanStyle"/>
    <n v="1"/>
    <n v="251.37"/>
    <n v="0.05"/>
    <n v="19.100000000000001"/>
    <n v="1.74"/>
    <n v="259.64"/>
    <s v="Amazon Pay"/>
    <s v="Delivered"/>
    <s v="Fort Worth"/>
    <s v="TX"/>
    <s v="United States"/>
  </r>
  <r>
    <s v="ORD0000003"/>
    <x v="2"/>
    <s v="CUST047516"/>
    <s v="Sneha Singh"/>
    <x v="2"/>
    <x v="2"/>
    <s v="UrbanStyle"/>
    <n v="3"/>
    <n v="35.03"/>
    <n v="0.1"/>
    <n v="7.57"/>
    <n v="5.91"/>
    <n v="108.06"/>
    <s v="Debit Card"/>
    <s v="Delivered"/>
    <s v="Austin"/>
    <s v="TX"/>
    <s v="United States"/>
  </r>
  <r>
    <s v="ORD0000004"/>
    <x v="3"/>
    <s v="CUST030059"/>
    <s v="Vihaan Reddy"/>
    <x v="3"/>
    <x v="1"/>
    <s v="Zenith"/>
    <n v="5"/>
    <n v="33.58"/>
    <n v="0.15"/>
    <n v="11.42"/>
    <n v="5.53"/>
    <n v="159.66"/>
    <s v="Cash on Delivery"/>
    <s v="Delivered"/>
    <s v="Charlotte"/>
    <s v="NC"/>
    <s v="India"/>
  </r>
  <r>
    <s v="ORD0000005"/>
    <x v="4"/>
    <s v="CUST048677"/>
    <s v="Aditya Kapoor"/>
    <x v="4"/>
    <x v="2"/>
    <s v="KiddoFun"/>
    <n v="2"/>
    <n v="515.64"/>
    <n v="0.25"/>
    <n v="38.67"/>
    <n v="9.23"/>
    <n v="821.36"/>
    <s v="Credit Card"/>
    <s v="Cancelled"/>
    <s v="San Antonio"/>
    <s v="TX"/>
    <s v="Canada"/>
  </r>
  <r>
    <s v="ORD0000006"/>
    <x v="5"/>
    <s v="CUST042705"/>
    <s v="Karan Sharma"/>
    <x v="5"/>
    <x v="0"/>
    <s v="ReadMore"/>
    <n v="4"/>
    <n v="449.73"/>
    <n v="0"/>
    <n v="215.87"/>
    <n v="2.74"/>
    <n v="2017.53"/>
    <s v="UPI"/>
    <s v="Delivered"/>
    <s v="Los Angeles"/>
    <s v="CA"/>
    <s v="United States"/>
  </r>
  <r>
    <s v="ORD0000007"/>
    <x v="6"/>
    <s v="CUST037667"/>
    <s v="Aarav Verma"/>
    <x v="6"/>
    <x v="2"/>
    <s v="UrbanStyle"/>
    <n v="2"/>
    <n v="219.81"/>
    <n v="0.2"/>
    <n v="28.14"/>
    <n v="14.97"/>
    <n v="394.81"/>
    <s v="UPI"/>
    <s v="Delivered"/>
    <s v="Chicago"/>
    <s v="IL"/>
    <s v="Australia"/>
  </r>
  <r>
    <s v="ORD0000008"/>
    <x v="7"/>
    <s v="CUST031165"/>
    <s v="Rohit Kumar"/>
    <x v="7"/>
    <x v="3"/>
    <s v="KiddoFun"/>
    <n v="2"/>
    <n v="306.51"/>
    <n v="0.05"/>
    <n v="29.12"/>
    <n v="6.24"/>
    <n v="617.73"/>
    <s v="Debit Card"/>
    <s v="Pending"/>
    <s v="Denver"/>
    <s v="CO"/>
    <s v="India"/>
  </r>
  <r>
    <s v="ORD0000009"/>
    <x v="8"/>
    <s v="CUST026965"/>
    <s v="Aman Kapoor"/>
    <x v="8"/>
    <x v="4"/>
    <s v="Apex"/>
    <n v="4"/>
    <n v="146.09"/>
    <n v="0"/>
    <n v="46.75"/>
    <n v="7.03"/>
    <n v="638.14"/>
    <s v="Debit Card"/>
    <s v="Delivered"/>
    <s v="Washington"/>
    <s v="DC"/>
    <s v="United States"/>
  </r>
  <r>
    <s v="ORD0000010"/>
    <x v="9"/>
    <s v="CUST029472"/>
    <s v="Aarav Reddy"/>
    <x v="9"/>
    <x v="2"/>
    <s v="Apex"/>
    <n v="2"/>
    <n v="278.20999999999998"/>
    <n v="0.1"/>
    <n v="60.09"/>
    <n v="4.88"/>
    <n v="565.75"/>
    <s v="Credit Card"/>
    <s v="Delivered"/>
    <s v="Houston"/>
    <s v="TX"/>
    <s v="United States"/>
  </r>
  <r>
    <s v="ORD0000011"/>
    <x v="10"/>
    <s v="CUST005346"/>
    <s v="Rohit Reddy"/>
    <x v="10"/>
    <x v="0"/>
    <s v="HomeEase"/>
    <n v="1"/>
    <n v="141.41999999999999"/>
    <n v="0.05"/>
    <n v="6.72"/>
    <n v="9.6999999999999993"/>
    <n v="150.77000000000001"/>
    <s v="Amazon Pay"/>
    <s v="Delivered"/>
    <s v="Jacksonville"/>
    <s v="FL"/>
    <s v="Australia"/>
  </r>
  <r>
    <s v="ORD0000012"/>
    <x v="11"/>
    <s v="CUST046088"/>
    <s v="Karan Kumar"/>
    <x v="11"/>
    <x v="1"/>
    <s v="KiddoFun"/>
    <n v="5"/>
    <n v="346.56"/>
    <n v="0.05"/>
    <n v="131.69"/>
    <n v="13.38"/>
    <n v="1791.23"/>
    <s v="Credit Card"/>
    <s v="Shipped"/>
    <s v="Charlotte"/>
    <s v="NC"/>
    <s v="Australia"/>
  </r>
  <r>
    <s v="ORD0000013"/>
    <x v="12"/>
    <s v="CUST026576"/>
    <s v="Simran Kapoor"/>
    <x v="12"/>
    <x v="1"/>
    <s v="Zenith"/>
    <n v="4"/>
    <n v="496.76"/>
    <n v="0.05"/>
    <n v="94.38"/>
    <n v="4.43"/>
    <n v="1986.5"/>
    <s v="UPI"/>
    <s v="Delivered"/>
    <s v="New York"/>
    <s v="NY"/>
    <s v="United States"/>
  </r>
  <r>
    <s v="ORD0000014"/>
    <x v="13"/>
    <s v="CUST006051"/>
    <s v="Pooja Sharma"/>
    <x v="1"/>
    <x v="1"/>
    <s v="Apex"/>
    <n v="3"/>
    <n v="523.27"/>
    <n v="0"/>
    <n v="188.38"/>
    <n v="8.0399999999999991"/>
    <n v="1766.23"/>
    <s v="Debit Card"/>
    <s v="Shipped"/>
    <s v="Seattle"/>
    <s v="WA"/>
    <s v="United States"/>
  </r>
  <r>
    <s v="ORD0000015"/>
    <x v="14"/>
    <s v="CUST025111"/>
    <s v="Mohit Mehta"/>
    <x v="13"/>
    <x v="0"/>
    <s v="HomeEase"/>
    <n v="4"/>
    <n v="291.37"/>
    <n v="0.1"/>
    <n v="52.45"/>
    <n v="1.76"/>
    <n v="1103.1400000000001"/>
    <s v="Net Banking"/>
    <s v="Delivered"/>
    <s v="Indianapolis"/>
    <s v="IN"/>
    <s v="United States"/>
  </r>
  <r>
    <s v="ORD0000016"/>
    <x v="15"/>
    <s v="CUST040957"/>
    <s v="Anjali Gupta"/>
    <x v="7"/>
    <x v="4"/>
    <s v="HomeEase"/>
    <n v="4"/>
    <n v="533.12"/>
    <n v="0.25"/>
    <n v="79.97"/>
    <n v="2.58"/>
    <n v="1681.91"/>
    <s v="Amazon Pay"/>
    <s v="Delivered"/>
    <s v="Jacksonville"/>
    <s v="FL"/>
    <s v="United States"/>
  </r>
  <r>
    <s v="ORD0000017"/>
    <x v="16"/>
    <s v="CUST000735"/>
    <s v="Arjun Kumar"/>
    <x v="14"/>
    <x v="1"/>
    <s v="Zenith"/>
    <n v="4"/>
    <n v="453.47"/>
    <n v="0.1"/>
    <n v="0"/>
    <n v="4.3899999999999997"/>
    <n v="1636.88"/>
    <s v="Amazon Pay"/>
    <s v="Delivered"/>
    <s v="Philadelphia"/>
    <s v="PA"/>
    <s v="United States"/>
  </r>
  <r>
    <s v="ORD0000018"/>
    <x v="17"/>
    <s v="CUST038237"/>
    <s v="Anjali Verma"/>
    <x v="15"/>
    <x v="3"/>
    <s v="KiddoFun"/>
    <n v="5"/>
    <n v="547.58000000000004"/>
    <n v="0"/>
    <n v="0"/>
    <n v="10.06"/>
    <n v="2747.96"/>
    <s v="Amazon Pay"/>
    <s v="Delivered"/>
    <s v="Seattle"/>
    <s v="WA"/>
    <s v="United States"/>
  </r>
  <r>
    <s v="ORD0000019"/>
    <x v="18"/>
    <s v="CUST040211"/>
    <s v="Aditya Mehta"/>
    <x v="16"/>
    <x v="5"/>
    <s v="ReadMore"/>
    <n v="5"/>
    <n v="529.19000000000005"/>
    <n v="0"/>
    <n v="317.51"/>
    <n v="4.57"/>
    <n v="2968.03"/>
    <s v="Amazon Pay"/>
    <s v="Returned"/>
    <s v="Phoenix"/>
    <s v="AZ"/>
    <s v="United States"/>
  </r>
  <r>
    <s v="ORD0000020"/>
    <x v="19"/>
    <s v="CUST046893"/>
    <s v="Vihaan Patel"/>
    <x v="1"/>
    <x v="4"/>
    <s v="HomeEase"/>
    <n v="3"/>
    <n v="303.52999999999997"/>
    <n v="0"/>
    <n v="72.849999999999994"/>
    <n v="4.18"/>
    <n v="987.62"/>
    <s v="UPI"/>
    <s v="Delivered"/>
    <s v="San Diego"/>
    <s v="CA"/>
    <s v="United States"/>
  </r>
  <r>
    <s v="ORD0000021"/>
    <x v="20"/>
    <s v="CUST041508"/>
    <s v="Vikas Kapoor"/>
    <x v="7"/>
    <x v="3"/>
    <s v="Apex"/>
    <n v="1"/>
    <n v="226.26"/>
    <n v="0"/>
    <n v="11.31"/>
    <n v="9.5500000000000007"/>
    <n v="247.12"/>
    <s v="Credit Card"/>
    <s v="Delivered"/>
    <s v="Fort Worth"/>
    <s v="TX"/>
    <s v="United States"/>
  </r>
  <r>
    <s v="ORD0000022"/>
    <x v="21"/>
    <s v="CUST048817"/>
    <s v="Pooja Sharma"/>
    <x v="17"/>
    <x v="0"/>
    <s v="ReadMore"/>
    <n v="4"/>
    <n v="493.47"/>
    <n v="0"/>
    <n v="98.69"/>
    <n v="11.8"/>
    <n v="2084.37"/>
    <s v="Credit Card"/>
    <s v="Delivered"/>
    <s v="Chicago"/>
    <s v="IL"/>
    <s v="Australia"/>
  </r>
  <r>
    <s v="ORD0000023"/>
    <x v="22"/>
    <s v="CUST048828"/>
    <s v="Simran Reddy"/>
    <x v="18"/>
    <x v="3"/>
    <s v="Apex"/>
    <n v="5"/>
    <n v="452.12"/>
    <n v="0"/>
    <n v="113.03"/>
    <n v="9.6199999999999992"/>
    <n v="2383.25"/>
    <s v="Debit Card"/>
    <s v="Delivered"/>
    <s v="Phoenix"/>
    <s v="AZ"/>
    <s v="Canada"/>
  </r>
  <r>
    <s v="ORD0000024"/>
    <x v="23"/>
    <s v="CUST033080"/>
    <s v="Vihaan Mehta"/>
    <x v="19"/>
    <x v="5"/>
    <s v="ReadMore"/>
    <n v="3"/>
    <n v="107.95"/>
    <n v="0.1"/>
    <n v="0"/>
    <n v="8.2899999999999991"/>
    <n v="299.76"/>
    <s v="Net Banking"/>
    <s v="Delivered"/>
    <s v="Dallas"/>
    <s v="TX"/>
    <s v="United States"/>
  </r>
  <r>
    <s v="ORD0000025"/>
    <x v="24"/>
    <s v="CUST041929"/>
    <s v="Aditya Reddy"/>
    <x v="20"/>
    <x v="3"/>
    <s v="KiddoFun"/>
    <n v="1"/>
    <n v="16.68"/>
    <n v="0.15"/>
    <n v="1.1299999999999999"/>
    <n v="2.39"/>
    <n v="17.7"/>
    <s v="Credit Card"/>
    <s v="Delivered"/>
    <s v="Jacksonville"/>
    <s v="FL"/>
    <s v="United States"/>
  </r>
  <r>
    <s v="ORD0000026"/>
    <x v="25"/>
    <s v="CUST035043"/>
    <s v="Priya Kapoor"/>
    <x v="6"/>
    <x v="2"/>
    <s v="Apex"/>
    <n v="4"/>
    <n v="380.23"/>
    <n v="0.2"/>
    <n v="60.84"/>
    <n v="9.2799999999999994"/>
    <n v="1286.8599999999999"/>
    <s v="Amazon Pay"/>
    <s v="Pending"/>
    <s v="Columbus"/>
    <s v="OH"/>
    <s v="Canada"/>
  </r>
  <r>
    <s v="ORD0000027"/>
    <x v="26"/>
    <s v="CUST043777"/>
    <s v="Vikas Kapoor"/>
    <x v="21"/>
    <x v="3"/>
    <s v="UrbanStyle"/>
    <n v="3"/>
    <n v="569.69000000000005"/>
    <n v="0.25"/>
    <n v="153.82"/>
    <n v="14.27"/>
    <n v="1449.89"/>
    <s v="Credit Card"/>
    <s v="Delivered"/>
    <s v="San Francisco"/>
    <s v="CA"/>
    <s v="United States"/>
  </r>
  <r>
    <s v="ORD0000028"/>
    <x v="27"/>
    <s v="CUST037985"/>
    <s v="Rohit Verma"/>
    <x v="22"/>
    <x v="0"/>
    <s v="HomeEase"/>
    <n v="3"/>
    <n v="138.33000000000001"/>
    <n v="0"/>
    <n v="49.8"/>
    <n v="3.37"/>
    <n v="468.16"/>
    <s v="Debit Card"/>
    <s v="Delivered"/>
    <s v="San Antonio"/>
    <s v="TX"/>
    <s v="United Kingdom"/>
  </r>
  <r>
    <s v="ORD0000029"/>
    <x v="28"/>
    <s v="CUST000721"/>
    <s v="Vivaan Kumar"/>
    <x v="21"/>
    <x v="5"/>
    <s v="Zenith"/>
    <n v="3"/>
    <n v="381.45"/>
    <n v="0"/>
    <n v="205.98"/>
    <n v="8.99"/>
    <n v="1359.32"/>
    <s v="Credit Card"/>
    <s v="Delivered"/>
    <s v="Denver"/>
    <s v="CO"/>
    <s v="United States"/>
  </r>
  <r>
    <s v="ORD0000030"/>
    <x v="29"/>
    <s v="CUST008013"/>
    <s v="Priya Verma"/>
    <x v="23"/>
    <x v="3"/>
    <s v="ReadMore"/>
    <n v="5"/>
    <n v="199.99"/>
    <n v="0"/>
    <n v="179.99"/>
    <n v="5.19"/>
    <n v="1185.1300000000001"/>
    <s v="UPI"/>
    <s v="Delivered"/>
    <s v="Phoenix"/>
    <s v="AZ"/>
    <s v="United States"/>
  </r>
  <r>
    <s v="ORD0000031"/>
    <x v="30"/>
    <s v="CUST018693"/>
    <s v="Sneha Verma"/>
    <x v="10"/>
    <x v="0"/>
    <s v="Apex"/>
    <n v="2"/>
    <n v="269.8"/>
    <n v="0"/>
    <n v="97.13"/>
    <n v="1.49"/>
    <n v="638.22"/>
    <s v="Debit Card"/>
    <s v="Delivered"/>
    <s v="Charlotte"/>
    <s v="NC"/>
    <s v="United Kingdom"/>
  </r>
  <r>
    <s v="ORD0000032"/>
    <x v="31"/>
    <s v="CUST044089"/>
    <s v="Sunita Gupta"/>
    <x v="24"/>
    <x v="4"/>
    <s v="FitLife"/>
    <n v="4"/>
    <n v="126.5"/>
    <n v="0.1"/>
    <n v="22.77"/>
    <n v="7.01"/>
    <n v="485.18"/>
    <s v="Credit Card"/>
    <s v="Shipped"/>
    <s v="Houston"/>
    <s v="TX"/>
    <s v="India"/>
  </r>
  <r>
    <s v="ORD0000033"/>
    <x v="32"/>
    <s v="CUST011946"/>
    <s v="Simran Patel"/>
    <x v="25"/>
    <x v="5"/>
    <s v="CoreTech"/>
    <n v="2"/>
    <n v="151.94999999999999"/>
    <n v="0.05"/>
    <n v="14.44"/>
    <n v="3.5"/>
    <n v="306.64"/>
    <s v="Credit Card"/>
    <s v="Delivered"/>
    <s v="Washington"/>
    <s v="DC"/>
    <s v="United States"/>
  </r>
  <r>
    <s v="ORD0000034"/>
    <x v="33"/>
    <s v="CUST049225"/>
    <s v="Mohit Patel"/>
    <x v="10"/>
    <x v="2"/>
    <s v="HomeEase"/>
    <n v="1"/>
    <n v="218.74"/>
    <n v="0"/>
    <n v="10.94"/>
    <n v="12.22"/>
    <n v="241.9"/>
    <s v="Credit Card"/>
    <s v="Delivered"/>
    <s v="Austin"/>
    <s v="TX"/>
    <s v="United States"/>
  </r>
  <r>
    <s v="ORD0000035"/>
    <x v="34"/>
    <s v="CUST048518"/>
    <s v="Vikas Kumar"/>
    <x v="19"/>
    <x v="4"/>
    <s v="BrightLux"/>
    <n v="5"/>
    <n v="294.8"/>
    <n v="0.1"/>
    <n v="159.19"/>
    <n v="4.08"/>
    <n v="1489.87"/>
    <s v="Credit Card"/>
    <s v="Shipped"/>
    <s v="Fort Worth"/>
    <s v="TX"/>
    <s v="United States"/>
  </r>
  <r>
    <s v="ORD0000036"/>
    <x v="35"/>
    <s v="CUST047957"/>
    <s v="Pooja Verma"/>
    <x v="16"/>
    <x v="0"/>
    <s v="BrightLux"/>
    <n v="1"/>
    <n v="357.76"/>
    <n v="0.25"/>
    <n v="0"/>
    <n v="6.76"/>
    <n v="275.08"/>
    <s v="Amazon Pay"/>
    <s v="Delivered"/>
    <s v="Columbus"/>
    <s v="OH"/>
    <s v="United Kingdom"/>
  </r>
  <r>
    <s v="ORD0000037"/>
    <x v="36"/>
    <s v="CUST043577"/>
    <s v="Kabir Singh"/>
    <x v="26"/>
    <x v="5"/>
    <s v="CoreTech"/>
    <n v="5"/>
    <n v="448.89"/>
    <n v="0"/>
    <n v="179.56"/>
    <n v="3.3"/>
    <n v="2427.31"/>
    <s v="Credit Card"/>
    <s v="Delivered"/>
    <s v="Phoenix"/>
    <s v="AZ"/>
    <s v="United States"/>
  </r>
  <r>
    <s v="ORD0000038"/>
    <x v="37"/>
    <s v="CUST029566"/>
    <s v="Sahil Kumar"/>
    <x v="27"/>
    <x v="5"/>
    <s v="ReadMore"/>
    <n v="4"/>
    <n v="300.89"/>
    <n v="0"/>
    <n v="144.43"/>
    <n v="0.43"/>
    <n v="1348.42"/>
    <s v="Credit Card"/>
    <s v="Delivered"/>
    <s v="Fort Worth"/>
    <s v="TX"/>
    <s v="United States"/>
  </r>
  <r>
    <s v="ORD0000039"/>
    <x v="38"/>
    <s v="CUST004199"/>
    <s v="Mohit Joshi"/>
    <x v="1"/>
    <x v="1"/>
    <s v="FitLife"/>
    <n v="5"/>
    <n v="512.88"/>
    <n v="0.25"/>
    <n v="96.17"/>
    <n v="11.33"/>
    <n v="2030.8"/>
    <s v="Amazon Pay"/>
    <s v="Delivered"/>
    <s v="San Antonio"/>
    <s v="TX"/>
    <s v="United Kingdom"/>
  </r>
  <r>
    <s v="ORD0000040"/>
    <x v="39"/>
    <s v="CUST042096"/>
    <s v="Sunita Gupta"/>
    <x v="17"/>
    <x v="0"/>
    <s v="HomeEase"/>
    <n v="2"/>
    <n v="81.819999999999993"/>
    <n v="0.1"/>
    <n v="7.36"/>
    <n v="4.47"/>
    <n v="159.11000000000001"/>
    <s v="Credit Card"/>
    <s v="Delivered"/>
    <s v="Jacksonville"/>
    <s v="FL"/>
    <s v="United States"/>
  </r>
  <r>
    <s v="ORD0000041"/>
    <x v="40"/>
    <s v="CUST017203"/>
    <s v="Sahil Kumar"/>
    <x v="13"/>
    <x v="4"/>
    <s v="Zenith"/>
    <n v="3"/>
    <n v="215.9"/>
    <n v="0"/>
    <n v="77.72"/>
    <n v="8.4499999999999993"/>
    <n v="733.87"/>
    <s v="UPI"/>
    <s v="Delivered"/>
    <s v="Chicago"/>
    <s v="IL"/>
    <s v="United States"/>
  </r>
  <r>
    <s v="ORD0000042"/>
    <x v="41"/>
    <s v="CUST046853"/>
    <s v="Anjali Sharma"/>
    <x v="28"/>
    <x v="0"/>
    <s v="HomeEase"/>
    <n v="5"/>
    <n v="574.28"/>
    <n v="0.1"/>
    <n v="129.21"/>
    <n v="2.23"/>
    <n v="2715.7"/>
    <s v="Debit Card"/>
    <s v="Delivered"/>
    <s v="San Antonio"/>
    <s v="TX"/>
    <s v="United States"/>
  </r>
  <r>
    <s v="ORD0000043"/>
    <x v="42"/>
    <s v="CUST020850"/>
    <s v="Sneha Sharma"/>
    <x v="8"/>
    <x v="1"/>
    <s v="FitLife"/>
    <n v="4"/>
    <n v="109.59"/>
    <n v="0"/>
    <n v="35.07"/>
    <n v="7.59"/>
    <n v="481.02"/>
    <s v="Amazon Pay"/>
    <s v="Delivered"/>
    <s v="San Diego"/>
    <s v="CA"/>
    <s v="India"/>
  </r>
  <r>
    <s v="ORD0000044"/>
    <x v="43"/>
    <s v="CUST039744"/>
    <s v="Anjali Mehta"/>
    <x v="14"/>
    <x v="3"/>
    <s v="HomeEase"/>
    <n v="3"/>
    <n v="88.46"/>
    <n v="0.15"/>
    <n v="40.6"/>
    <n v="2.73"/>
    <n v="268.89999999999998"/>
    <s v="Credit Card"/>
    <s v="Cancelled"/>
    <s v="San Antonio"/>
    <s v="TX"/>
    <s v="United States"/>
  </r>
  <r>
    <s v="ORD0000045"/>
    <x v="44"/>
    <s v="CUST017434"/>
    <s v="Pooja Verma"/>
    <x v="13"/>
    <x v="5"/>
    <s v="Apex"/>
    <n v="4"/>
    <n v="395.64"/>
    <n v="0.05"/>
    <n v="120.27"/>
    <n v="3.89"/>
    <n v="1627.59"/>
    <s v="Debit Card"/>
    <s v="Delivered"/>
    <s v="Houston"/>
    <s v="TX"/>
    <s v="United States"/>
  </r>
  <r>
    <s v="ORD0000046"/>
    <x v="45"/>
    <s v="CUST045893"/>
    <s v="Rohit Kapoor"/>
    <x v="29"/>
    <x v="3"/>
    <s v="HomeEase"/>
    <n v="2"/>
    <n v="449.14"/>
    <n v="0.05"/>
    <n v="0"/>
    <n v="5.62"/>
    <n v="858.99"/>
    <s v="Debit Card"/>
    <s v="Delivered"/>
    <s v="New York"/>
    <s v="NY"/>
    <s v="United States"/>
  </r>
  <r>
    <s v="ORD0000047"/>
    <x v="46"/>
    <s v="CUST033696"/>
    <s v="Anjali Kumar"/>
    <x v="15"/>
    <x v="5"/>
    <s v="CoreTech"/>
    <n v="4"/>
    <n v="121.45"/>
    <n v="0"/>
    <n v="0"/>
    <n v="3.75"/>
    <n v="489.55"/>
    <s v="UPI"/>
    <s v="Delivered"/>
    <s v="Austin"/>
    <s v="TX"/>
    <s v="United States"/>
  </r>
  <r>
    <s v="ORD0000048"/>
    <x v="47"/>
    <s v="CUST032008"/>
    <s v="Neha Mehta"/>
    <x v="6"/>
    <x v="3"/>
    <s v="FitLife"/>
    <n v="2"/>
    <n v="140.88999999999999"/>
    <n v="0.05"/>
    <n v="21.42"/>
    <n v="0.48"/>
    <n v="289.58999999999997"/>
    <s v="Debit Card"/>
    <s v="Delivered"/>
    <s v="San Diego"/>
    <s v="CA"/>
    <s v="Australia"/>
  </r>
  <r>
    <s v="ORD0000049"/>
    <x v="48"/>
    <s v="CUST011785"/>
    <s v="Simran Singh"/>
    <x v="0"/>
    <x v="0"/>
    <s v="ReadMore"/>
    <n v="3"/>
    <n v="249.84"/>
    <n v="0.2"/>
    <n v="47.97"/>
    <n v="3.26"/>
    <n v="650.85"/>
    <s v="Debit Card"/>
    <s v="Delivered"/>
    <s v="San Antonio"/>
    <s v="TX"/>
    <s v="Australia"/>
  </r>
  <r>
    <s v="ORD0000050"/>
    <x v="49"/>
    <s v="CUST001846"/>
    <s v="Pooja Singh"/>
    <x v="30"/>
    <x v="0"/>
    <s v="KiddoFun"/>
    <n v="3"/>
    <n v="482.37"/>
    <n v="0.15"/>
    <n v="61.5"/>
    <n v="8.73"/>
    <n v="1300.27"/>
    <s v="Net Banking"/>
    <s v="Delivered"/>
    <s v="San Jose"/>
    <s v="CA"/>
    <s v="India"/>
  </r>
  <r>
    <s v="ORD0000051"/>
    <x v="48"/>
    <s v="CUST048348"/>
    <s v="Sneha Reddy"/>
    <x v="25"/>
    <x v="0"/>
    <s v="FitLife"/>
    <n v="3"/>
    <n v="244.83"/>
    <n v="0.25"/>
    <n v="0"/>
    <n v="8.07"/>
    <n v="558.94000000000005"/>
    <s v="Cash on Delivery"/>
    <s v="Delivered"/>
    <s v="San Jose"/>
    <s v="CA"/>
    <s v="Australia"/>
  </r>
  <r>
    <s v="ORD0000052"/>
    <x v="50"/>
    <s v="CUST027076"/>
    <s v="Sahil Gupta"/>
    <x v="15"/>
    <x v="5"/>
    <s v="UrbanStyle"/>
    <n v="4"/>
    <n v="353.85"/>
    <n v="0.05"/>
    <n v="67.23"/>
    <n v="6.09"/>
    <n v="1417.95"/>
    <s v="Debit Card"/>
    <s v="Delivered"/>
    <s v="Columbus"/>
    <s v="OH"/>
    <s v="United States"/>
  </r>
  <r>
    <s v="ORD0000053"/>
    <x v="51"/>
    <s v="CUST012995"/>
    <s v="Ritika Mehta"/>
    <x v="31"/>
    <x v="5"/>
    <s v="NexPro"/>
    <n v="3"/>
    <n v="324.76"/>
    <n v="0.3"/>
    <n v="34.1"/>
    <n v="0.75"/>
    <n v="716.85"/>
    <s v="Debit Card"/>
    <s v="Shipped"/>
    <s v="Seattle"/>
    <s v="WA"/>
    <s v="United States"/>
  </r>
  <r>
    <s v="ORD0000054"/>
    <x v="52"/>
    <s v="CUST030633"/>
    <s v="Ritika Mehta"/>
    <x v="32"/>
    <x v="4"/>
    <s v="FitLife"/>
    <n v="1"/>
    <n v="491.78"/>
    <n v="0.1"/>
    <n v="53.11"/>
    <n v="5.14"/>
    <n v="500.85"/>
    <s v="Amazon Pay"/>
    <s v="Delivered"/>
    <s v="Charlotte"/>
    <s v="NC"/>
    <s v="India"/>
  </r>
  <r>
    <s v="ORD0000055"/>
    <x v="53"/>
    <s v="CUST013482"/>
    <s v="Vikas Kumar"/>
    <x v="2"/>
    <x v="5"/>
    <s v="NexPro"/>
    <n v="4"/>
    <n v="549.22"/>
    <n v="0.05"/>
    <n v="104.35"/>
    <n v="8.2200000000000006"/>
    <n v="2199.61"/>
    <s v="UPI"/>
    <s v="Delivered"/>
    <s v="Chicago"/>
    <s v="IL"/>
    <s v="United States"/>
  </r>
  <r>
    <s v="ORD0000056"/>
    <x v="54"/>
    <s v="CUST030091"/>
    <s v="Arjun Reddy"/>
    <x v="2"/>
    <x v="1"/>
    <s v="Apex"/>
    <n v="4"/>
    <n v="364.08"/>
    <n v="0.25"/>
    <n v="131.07"/>
    <n v="12.95"/>
    <n v="1236.26"/>
    <s v="Credit Card"/>
    <s v="Pending"/>
    <s v="Chicago"/>
    <s v="IL"/>
    <s v="United States"/>
  </r>
  <r>
    <s v="ORD0000057"/>
    <x v="55"/>
    <s v="CUST031856"/>
    <s v="Neha Verma"/>
    <x v="28"/>
    <x v="4"/>
    <s v="HomeEase"/>
    <n v="2"/>
    <n v="509.59"/>
    <n v="0"/>
    <n v="183.45"/>
    <n v="3.79"/>
    <n v="1206.42"/>
    <s v="Credit Card"/>
    <s v="Shipped"/>
    <s v="San Jose"/>
    <s v="CA"/>
    <s v="United States"/>
  </r>
  <r>
    <s v="ORD0000058"/>
    <x v="56"/>
    <s v="CUST040925"/>
    <s v="Vivaan Verma"/>
    <x v="33"/>
    <x v="2"/>
    <s v="UrbanStyle"/>
    <n v="5"/>
    <n v="182.55"/>
    <n v="0"/>
    <n v="45.64"/>
    <n v="12.08"/>
    <n v="970.47"/>
    <s v="UPI"/>
    <s v="Delivered"/>
    <s v="San Diego"/>
    <s v="CA"/>
    <s v="Canada"/>
  </r>
  <r>
    <s v="ORD0000059"/>
    <x v="57"/>
    <s v="CUST031615"/>
    <s v="Arjun Singh"/>
    <x v="34"/>
    <x v="3"/>
    <s v="Apex"/>
    <n v="3"/>
    <n v="184.7"/>
    <n v="0.3"/>
    <n v="46.54"/>
    <n v="7.98"/>
    <n v="442.39"/>
    <s v="Debit Card"/>
    <s v="Delivered"/>
    <s v="Dallas"/>
    <s v="TX"/>
    <s v="United States"/>
  </r>
  <r>
    <s v="ORD0000060"/>
    <x v="58"/>
    <s v="CUST018312"/>
    <s v="Karan Kapoor"/>
    <x v="35"/>
    <x v="5"/>
    <s v="NexPro"/>
    <n v="2"/>
    <n v="439.8"/>
    <n v="0"/>
    <n v="43.98"/>
    <n v="7.55"/>
    <n v="931.13"/>
    <s v="Amazon Pay"/>
    <s v="Delivered"/>
    <s v="Jacksonville"/>
    <s v="FL"/>
    <s v="India"/>
  </r>
  <r>
    <s v="ORD0000061"/>
    <x v="59"/>
    <s v="CUST017070"/>
    <s v="Aditya Mehta"/>
    <x v="36"/>
    <x v="0"/>
    <s v="BrightLux"/>
    <n v="4"/>
    <n v="593.02"/>
    <n v="0.05"/>
    <n v="405.63"/>
    <n v="9.18"/>
    <n v="2668.29"/>
    <s v="UPI"/>
    <s v="Shipped"/>
    <s v="Austin"/>
    <s v="TX"/>
    <s v="India"/>
  </r>
  <r>
    <s v="ORD0000062"/>
    <x v="60"/>
    <s v="CUST026591"/>
    <s v="Sunita Kapoor"/>
    <x v="14"/>
    <x v="1"/>
    <s v="ReadMore"/>
    <n v="3"/>
    <n v="131.36000000000001"/>
    <n v="0"/>
    <n v="70.930000000000007"/>
    <n v="7.25"/>
    <n v="472.26"/>
    <s v="UPI"/>
    <s v="Delivered"/>
    <s v="Charlotte"/>
    <s v="NC"/>
    <s v="Canada"/>
  </r>
  <r>
    <s v="ORD0000063"/>
    <x v="61"/>
    <s v="CUST006724"/>
    <s v="Simran Reddy"/>
    <x v="37"/>
    <x v="3"/>
    <s v="HomeEase"/>
    <n v="3"/>
    <n v="71.260000000000005"/>
    <n v="0.1"/>
    <n v="23.09"/>
    <n v="11.28"/>
    <n v="226.77"/>
    <s v="Credit Card"/>
    <s v="Returned"/>
    <s v="Fort Worth"/>
    <s v="TX"/>
    <s v="United States"/>
  </r>
  <r>
    <s v="ORD0000064"/>
    <x v="62"/>
    <s v="CUST026258"/>
    <s v="Pooja Reddy"/>
    <x v="36"/>
    <x v="0"/>
    <s v="CoreTech"/>
    <n v="5"/>
    <n v="107.11"/>
    <n v="0.05"/>
    <n v="25.44"/>
    <n v="12.92"/>
    <n v="547.13"/>
    <s v="UPI"/>
    <s v="Delivered"/>
    <s v="Chicago"/>
    <s v="IL"/>
    <s v="United States"/>
  </r>
  <r>
    <s v="ORD0000065"/>
    <x v="63"/>
    <s v="CUST000139"/>
    <s v="Aarav Verma"/>
    <x v="15"/>
    <x v="3"/>
    <s v="Zenith"/>
    <n v="5"/>
    <n v="417.28"/>
    <n v="0.15"/>
    <n v="88.67"/>
    <n v="9.65"/>
    <n v="1871.76"/>
    <s v="Amazon Pay"/>
    <s v="Returned"/>
    <s v="Los Angeles"/>
    <s v="CA"/>
    <s v="India"/>
  </r>
  <r>
    <s v="ORD0000066"/>
    <x v="64"/>
    <s v="CUST038107"/>
    <s v="Sahil Gupta"/>
    <x v="36"/>
    <x v="0"/>
    <s v="FitLife"/>
    <n v="2"/>
    <n v="559.03"/>
    <n v="0.1"/>
    <n v="50.31"/>
    <n v="11.62"/>
    <n v="1068.18"/>
    <s v="Amazon Pay"/>
    <s v="Delivered"/>
    <s v="Indianapolis"/>
    <s v="IN"/>
    <s v="United States"/>
  </r>
  <r>
    <s v="ORD0000067"/>
    <x v="65"/>
    <s v="CUST015763"/>
    <s v="Anjali Verma"/>
    <x v="10"/>
    <x v="1"/>
    <s v="BrightLux"/>
    <n v="4"/>
    <n v="203.84"/>
    <n v="0.1"/>
    <n v="36.69"/>
    <n v="13.68"/>
    <n v="784.19"/>
    <s v="Net Banking"/>
    <s v="Delivered"/>
    <s v="Charlotte"/>
    <s v="NC"/>
    <s v="India"/>
  </r>
  <r>
    <s v="ORD0000068"/>
    <x v="66"/>
    <s v="CUST041458"/>
    <s v="Priya Mehta"/>
    <x v="20"/>
    <x v="2"/>
    <s v="Zenith"/>
    <n v="4"/>
    <n v="129.9"/>
    <n v="0.05"/>
    <n v="59.23"/>
    <n v="9.1300000000000008"/>
    <n v="561.98"/>
    <s v="Net Banking"/>
    <s v="Delivered"/>
    <s v="Indianapolis"/>
    <s v="IN"/>
    <s v="United States"/>
  </r>
  <r>
    <s v="ORD0000069"/>
    <x v="67"/>
    <s v="CUST033817"/>
    <s v="Mohit Joshi"/>
    <x v="31"/>
    <x v="0"/>
    <s v="NexPro"/>
    <n v="5"/>
    <n v="105.16"/>
    <n v="0"/>
    <n v="26.29"/>
    <n v="13.29"/>
    <n v="565.38"/>
    <s v="UPI"/>
    <s v="Delivered"/>
    <s v="Columbus"/>
    <s v="OH"/>
    <s v="United States"/>
  </r>
  <r>
    <s v="ORD0000070"/>
    <x v="68"/>
    <s v="CUST041366"/>
    <s v="Aarav Gupta"/>
    <x v="3"/>
    <x v="5"/>
    <s v="BrightLux"/>
    <n v="1"/>
    <n v="82.79"/>
    <n v="0"/>
    <n v="6.62"/>
    <n v="8.76"/>
    <n v="98.17"/>
    <s v="Debit Card"/>
    <s v="Delivered"/>
    <s v="Denver"/>
    <s v="CO"/>
    <s v="United States"/>
  </r>
  <r>
    <s v="ORD0000071"/>
    <x v="69"/>
    <s v="CUST005372"/>
    <s v="Aman Singh"/>
    <x v="28"/>
    <x v="4"/>
    <s v="Zenith"/>
    <n v="4"/>
    <n v="433.7"/>
    <n v="0.15"/>
    <n v="176.95"/>
    <n v="10.58"/>
    <n v="1662.11"/>
    <s v="Debit Card"/>
    <s v="Delivered"/>
    <s v="San Jose"/>
    <s v="CA"/>
    <s v="United States"/>
  </r>
  <r>
    <s v="ORD0000072"/>
    <x v="70"/>
    <s v="CUST018135"/>
    <s v="Aman Verma"/>
    <x v="38"/>
    <x v="1"/>
    <s v="Zenith"/>
    <n v="3"/>
    <n v="137.1"/>
    <n v="0"/>
    <n v="32.9"/>
    <n v="12.88"/>
    <n v="457.08"/>
    <s v="Amazon Pay"/>
    <s v="Shipped"/>
    <s v="Jacksonville"/>
    <s v="FL"/>
    <s v="United States"/>
  </r>
  <r>
    <s v="ORD0000073"/>
    <x v="71"/>
    <s v="CUST043454"/>
    <s v="Priya Reddy"/>
    <x v="35"/>
    <x v="3"/>
    <s v="CoreTech"/>
    <n v="5"/>
    <n v="582.66"/>
    <n v="0"/>
    <n v="233.06"/>
    <n v="14.07"/>
    <n v="3160.43"/>
    <s v="UPI"/>
    <s v="Shipped"/>
    <s v="Dallas"/>
    <s v="TX"/>
    <s v="United States"/>
  </r>
  <r>
    <s v="ORD0000074"/>
    <x v="72"/>
    <s v="CUST007050"/>
    <s v="Kabir Kumar"/>
    <x v="15"/>
    <x v="1"/>
    <s v="CoreTech"/>
    <n v="2"/>
    <n v="522.55999999999995"/>
    <n v="0"/>
    <n v="83.61"/>
    <n v="0.43"/>
    <n v="1129.1600000000001"/>
    <s v="Credit Card"/>
    <s v="Shipped"/>
    <s v="Indianapolis"/>
    <s v="IN"/>
    <s v="United States"/>
  </r>
  <r>
    <s v="ORD0000075"/>
    <x v="73"/>
    <s v="CUST027444"/>
    <s v="Arjun Patel"/>
    <x v="17"/>
    <x v="4"/>
    <s v="NexPro"/>
    <n v="2"/>
    <n v="354.18"/>
    <n v="0.05"/>
    <n v="80.75"/>
    <n v="2.4900000000000002"/>
    <n v="756.18"/>
    <s v="Credit Card"/>
    <s v="Shipped"/>
    <s v="Houston"/>
    <s v="TX"/>
    <s v="United States"/>
  </r>
  <r>
    <s v="ORD0000076"/>
    <x v="29"/>
    <s v="CUST042061"/>
    <s v="Mohit Reddy"/>
    <x v="17"/>
    <x v="2"/>
    <s v="CoreTech"/>
    <n v="4"/>
    <n v="437.47"/>
    <n v="0"/>
    <n v="314.98"/>
    <n v="8.82"/>
    <n v="2073.6799999999998"/>
    <s v="Credit Card"/>
    <s v="Shipped"/>
    <s v="Philadelphia"/>
    <s v="PA"/>
    <s v="Canada"/>
  </r>
  <r>
    <s v="ORD0000077"/>
    <x v="74"/>
    <s v="CUST016864"/>
    <s v="Aman Sharma"/>
    <x v="39"/>
    <x v="3"/>
    <s v="NexPro"/>
    <n v="1"/>
    <n v="392.71"/>
    <n v="0.1"/>
    <n v="42.41"/>
    <n v="7.82"/>
    <n v="403.67"/>
    <s v="Debit Card"/>
    <s v="Delivered"/>
    <s v="San Jose"/>
    <s v="CA"/>
    <s v="United States"/>
  </r>
  <r>
    <s v="ORD0000078"/>
    <x v="75"/>
    <s v="CUST028956"/>
    <s v="Kabir Patel"/>
    <x v="38"/>
    <x v="5"/>
    <s v="ReadMore"/>
    <n v="1"/>
    <n v="592.91"/>
    <n v="0.05"/>
    <n v="28.16"/>
    <n v="6.83"/>
    <n v="598.25"/>
    <s v="Cash on Delivery"/>
    <s v="Delivered"/>
    <s v="Dallas"/>
    <s v="TX"/>
    <s v="United States"/>
  </r>
  <r>
    <s v="ORD0000079"/>
    <x v="76"/>
    <s v="CUST001710"/>
    <s v="Neha Sharma"/>
    <x v="29"/>
    <x v="1"/>
    <s v="CoreTech"/>
    <n v="2"/>
    <n v="76.97"/>
    <n v="0"/>
    <n v="7.7"/>
    <n v="4.91"/>
    <n v="166.55"/>
    <s v="Debit Card"/>
    <s v="Delivered"/>
    <s v="Chicago"/>
    <s v="IL"/>
    <s v="Australia"/>
  </r>
  <r>
    <s v="ORD0000080"/>
    <x v="77"/>
    <s v="CUST023701"/>
    <s v="Vihaan Patel"/>
    <x v="40"/>
    <x v="5"/>
    <s v="CoreTech"/>
    <n v="1"/>
    <n v="534.30999999999995"/>
    <n v="0.1"/>
    <n v="57.71"/>
    <n v="14.47"/>
    <n v="553.05999999999995"/>
    <s v="Amazon Pay"/>
    <s v="Shipped"/>
    <s v="San Francisco"/>
    <s v="CA"/>
    <s v="India"/>
  </r>
  <r>
    <s v="ORD0000081"/>
    <x v="78"/>
    <s v="CUST005263"/>
    <s v="Priya Kumar"/>
    <x v="17"/>
    <x v="3"/>
    <s v="BrightLux"/>
    <n v="2"/>
    <n v="402.77"/>
    <n v="0.05"/>
    <n v="38.26"/>
    <n v="13.08"/>
    <n v="816.6"/>
    <s v="UPI"/>
    <s v="Delivered"/>
    <s v="Austin"/>
    <s v="TX"/>
    <s v="India"/>
  </r>
  <r>
    <s v="ORD0000082"/>
    <x v="79"/>
    <s v="CUST014979"/>
    <s v="Vivaan Kumar"/>
    <x v="6"/>
    <x v="1"/>
    <s v="ReadMore"/>
    <n v="3"/>
    <n v="335.1"/>
    <n v="0.1"/>
    <n v="72.38"/>
    <n v="4.24"/>
    <n v="981.39"/>
    <s v="Amazon Pay"/>
    <s v="Shipped"/>
    <s v="Chicago"/>
    <s v="IL"/>
    <s v="United States"/>
  </r>
  <r>
    <s v="ORD0000083"/>
    <x v="80"/>
    <s v="CUST038225"/>
    <s v="Ritika Verma"/>
    <x v="34"/>
    <x v="0"/>
    <s v="UrbanStyle"/>
    <n v="3"/>
    <n v="258.13"/>
    <n v="0.05"/>
    <n v="132.41999999999999"/>
    <n v="7.69"/>
    <n v="875.78"/>
    <s v="UPI"/>
    <s v="Delivered"/>
    <s v="Austin"/>
    <s v="TX"/>
    <s v="United States"/>
  </r>
  <r>
    <s v="ORD0000084"/>
    <x v="81"/>
    <s v="CUST028769"/>
    <s v="Aditya Joshi"/>
    <x v="1"/>
    <x v="4"/>
    <s v="KiddoFun"/>
    <n v="1"/>
    <n v="594.66999999999996"/>
    <n v="0.15"/>
    <n v="40.44"/>
    <n v="7.22"/>
    <n v="553.13"/>
    <s v="Debit Card"/>
    <s v="Delivered"/>
    <s v="Fort Worth"/>
    <s v="TX"/>
    <s v="United States"/>
  </r>
  <r>
    <s v="ORD0000085"/>
    <x v="82"/>
    <s v="CUST049605"/>
    <s v="Aditya Reddy"/>
    <x v="21"/>
    <x v="5"/>
    <s v="HomeEase"/>
    <n v="4"/>
    <n v="494.13"/>
    <n v="0.05"/>
    <n v="225.32"/>
    <n v="7.18"/>
    <n v="2110.19"/>
    <s v="Credit Card"/>
    <s v="Delivered"/>
    <s v="Austin"/>
    <s v="TX"/>
    <s v="United States"/>
  </r>
  <r>
    <s v="ORD0000086"/>
    <x v="83"/>
    <s v="CUST015624"/>
    <s v="Arjun Singh"/>
    <x v="41"/>
    <x v="4"/>
    <s v="KiddoFun"/>
    <n v="4"/>
    <n v="15.47"/>
    <n v="0.05"/>
    <n v="10.58"/>
    <n v="3.91"/>
    <n v="73.28"/>
    <s v="Credit Card"/>
    <s v="Shipped"/>
    <s v="Houston"/>
    <s v="TX"/>
    <s v="United States"/>
  </r>
  <r>
    <s v="ORD0000087"/>
    <x v="84"/>
    <s v="CUST026490"/>
    <s v="Neha Reddy"/>
    <x v="41"/>
    <x v="4"/>
    <s v="UrbanStyle"/>
    <n v="4"/>
    <n v="28.59"/>
    <n v="0"/>
    <n v="20.58"/>
    <n v="13.02"/>
    <n v="147.96"/>
    <s v="Credit Card"/>
    <s v="Delivered"/>
    <s v="Los Angeles"/>
    <s v="CA"/>
    <s v="United States"/>
  </r>
  <r>
    <s v="ORD0000088"/>
    <x v="85"/>
    <s v="CUST001370"/>
    <s v="Mohit Gupta"/>
    <x v="5"/>
    <x v="5"/>
    <s v="HomeEase"/>
    <n v="5"/>
    <n v="456.58"/>
    <n v="0.15"/>
    <n v="155.24"/>
    <n v="7.48"/>
    <n v="2103.1799999999998"/>
    <s v="Amazon Pay"/>
    <s v="Delivered"/>
    <s v="Philadelphia"/>
    <s v="PA"/>
    <s v="Canada"/>
  </r>
  <r>
    <s v="ORD0000089"/>
    <x v="86"/>
    <s v="CUST043394"/>
    <s v="Aman Kapoor"/>
    <x v="4"/>
    <x v="0"/>
    <s v="Zenith"/>
    <n v="3"/>
    <n v="324.31"/>
    <n v="0.2"/>
    <n v="62.27"/>
    <n v="4.63"/>
    <n v="845.24"/>
    <s v="Debit Card"/>
    <s v="Delivered"/>
    <s v="Denver"/>
    <s v="CO"/>
    <s v="United States"/>
  </r>
  <r>
    <s v="ORD0000090"/>
    <x v="87"/>
    <s v="CUST039077"/>
    <s v="Karan Kumar"/>
    <x v="27"/>
    <x v="0"/>
    <s v="ReadMore"/>
    <n v="5"/>
    <n v="342.26"/>
    <n v="0.2"/>
    <n v="109.52"/>
    <n v="7.29"/>
    <n v="1485.85"/>
    <s v="Credit Card"/>
    <s v="Pending"/>
    <s v="Fort Worth"/>
    <s v="TX"/>
    <s v="United States"/>
  </r>
  <r>
    <s v="ORD0000091"/>
    <x v="88"/>
    <s v="CUST007564"/>
    <s v="Sahil Kumar"/>
    <x v="34"/>
    <x v="2"/>
    <s v="NexPro"/>
    <n v="5"/>
    <n v="201.16"/>
    <n v="0.2"/>
    <n v="64.37"/>
    <n v="9.3800000000000008"/>
    <n v="878.39"/>
    <s v="UPI"/>
    <s v="Delivered"/>
    <s v="Denver"/>
    <s v="CO"/>
    <s v="United States"/>
  </r>
  <r>
    <s v="ORD0000092"/>
    <x v="89"/>
    <s v="CUST033299"/>
    <s v="Priya Mehta"/>
    <x v="23"/>
    <x v="4"/>
    <s v="ReadMore"/>
    <n v="4"/>
    <n v="555.99"/>
    <n v="0.05"/>
    <n v="253.53"/>
    <n v="1.26"/>
    <n v="2367.5500000000002"/>
    <s v="Net Banking"/>
    <s v="Cancelled"/>
    <s v="Dallas"/>
    <s v="TX"/>
    <s v="United States"/>
  </r>
  <r>
    <s v="ORD0000093"/>
    <x v="90"/>
    <s v="CUST039707"/>
    <s v="Vikas Joshi"/>
    <x v="28"/>
    <x v="1"/>
    <s v="UrbanStyle"/>
    <n v="5"/>
    <n v="138.56"/>
    <n v="0.2"/>
    <n v="27.71"/>
    <n v="7.71"/>
    <n v="589.66"/>
    <s v="UPI"/>
    <s v="Shipped"/>
    <s v="San Francisco"/>
    <s v="CA"/>
    <s v="United States"/>
  </r>
  <r>
    <s v="ORD0000094"/>
    <x v="91"/>
    <s v="CUST043458"/>
    <s v="Aman Joshi"/>
    <x v="42"/>
    <x v="2"/>
    <s v="HomeEase"/>
    <n v="4"/>
    <n v="409.78"/>
    <n v="0"/>
    <n v="295.04000000000002"/>
    <n v="14.29"/>
    <n v="1948.45"/>
    <s v="UPI"/>
    <s v="Shipped"/>
    <s v="Dallas"/>
    <s v="TX"/>
    <s v="United States"/>
  </r>
  <r>
    <s v="ORD0000095"/>
    <x v="92"/>
    <s v="CUST001552"/>
    <s v="Vihaan Kumar"/>
    <x v="23"/>
    <x v="5"/>
    <s v="KiddoFun"/>
    <n v="4"/>
    <n v="42.31"/>
    <n v="0.1"/>
    <n v="12.19"/>
    <n v="1.28"/>
    <n v="165.79"/>
    <s v="Amazon Pay"/>
    <s v="Delivered"/>
    <s v="Chicago"/>
    <s v="IL"/>
    <s v="United States"/>
  </r>
  <r>
    <s v="ORD0000096"/>
    <x v="93"/>
    <s v="CUST039426"/>
    <s v="Sneha Verma"/>
    <x v="43"/>
    <x v="5"/>
    <s v="NexPro"/>
    <n v="1"/>
    <n v="170.88"/>
    <n v="0.2"/>
    <n v="16.399999999999999"/>
    <n v="7.6"/>
    <n v="160.69999999999999"/>
    <s v="Credit Card"/>
    <s v="Delivered"/>
    <s v="Charlotte"/>
    <s v="NC"/>
    <s v="United States"/>
  </r>
  <r>
    <s v="ORD0000097"/>
    <x v="94"/>
    <s v="CUST049557"/>
    <s v="Anjali Sharma"/>
    <x v="42"/>
    <x v="0"/>
    <s v="NexPro"/>
    <n v="3"/>
    <n v="548.16999999999996"/>
    <n v="0.05"/>
    <n v="0"/>
    <n v="2.63"/>
    <n v="1564.91"/>
    <s v="UPI"/>
    <s v="Delivered"/>
    <s v="Fort Worth"/>
    <s v="TX"/>
    <s v="United States"/>
  </r>
  <r>
    <s v="ORD0000098"/>
    <x v="95"/>
    <s v="CUST033386"/>
    <s v="Ritika Reddy"/>
    <x v="21"/>
    <x v="5"/>
    <s v="CoreTech"/>
    <n v="4"/>
    <n v="260.91000000000003"/>
    <n v="0"/>
    <n v="83.49"/>
    <n v="2.86"/>
    <n v="1129.99"/>
    <s v="UPI"/>
    <s v="Returned"/>
    <s v="San Francisco"/>
    <s v="CA"/>
    <s v="United States"/>
  </r>
  <r>
    <s v="ORD0000099"/>
    <x v="96"/>
    <s v="CUST018449"/>
    <s v="Sneha Kapoor"/>
    <x v="7"/>
    <x v="0"/>
    <s v="CoreTech"/>
    <n v="5"/>
    <n v="384.56"/>
    <n v="0.15"/>
    <n v="130.75"/>
    <n v="12.62"/>
    <n v="1777.75"/>
    <s v="UPI"/>
    <s v="Delivered"/>
    <s v="Chicago"/>
    <s v="IL"/>
    <s v="United States"/>
  </r>
  <r>
    <s v="ORD0000100"/>
    <x v="97"/>
    <s v="CUST012492"/>
    <s v="Sneha Sharma"/>
    <x v="5"/>
    <x v="5"/>
    <s v="Apex"/>
    <n v="1"/>
    <n v="206.2"/>
    <n v="0"/>
    <n v="16.5"/>
    <n v="9.08"/>
    <n v="231.78"/>
    <s v="Credit Card"/>
    <s v="Delivered"/>
    <s v="Phoenix"/>
    <s v="AZ"/>
    <s v="India"/>
  </r>
  <r>
    <s v="ORD0000101"/>
    <x v="98"/>
    <s v="CUST015367"/>
    <s v="Aditya Sharma"/>
    <x v="12"/>
    <x v="4"/>
    <s v="ReadMore"/>
    <n v="4"/>
    <n v="369.47"/>
    <n v="0.25"/>
    <n v="199.51"/>
    <n v="4.5599999999999996"/>
    <n v="1312.48"/>
    <s v="Credit Card"/>
    <s v="Delivered"/>
    <s v="Philadelphia"/>
    <s v="PA"/>
    <s v="United States"/>
  </r>
  <r>
    <s v="ORD0000102"/>
    <x v="3"/>
    <s v="CUST009929"/>
    <s v="Sneha Verma"/>
    <x v="0"/>
    <x v="0"/>
    <s v="FitLife"/>
    <n v="1"/>
    <n v="29.37"/>
    <n v="0"/>
    <n v="1.47"/>
    <n v="5.45"/>
    <n v="36.29"/>
    <s v="Credit Card"/>
    <s v="Delivered"/>
    <s v="New York"/>
    <s v="NY"/>
    <s v="United States"/>
  </r>
  <r>
    <s v="ORD0000103"/>
    <x v="99"/>
    <s v="CUST030254"/>
    <s v="Vivaan Patel"/>
    <x v="23"/>
    <x v="1"/>
    <s v="Apex"/>
    <n v="2"/>
    <n v="159.82"/>
    <n v="0.05"/>
    <n v="15.18"/>
    <n v="2.5499999999999998"/>
    <n v="321.39"/>
    <s v="Debit Card"/>
    <s v="Delivered"/>
    <s v="San Diego"/>
    <s v="CA"/>
    <s v="United States"/>
  </r>
  <r>
    <s v="ORD0000104"/>
    <x v="100"/>
    <s v="CUST041994"/>
    <s v="Aditya Reddy"/>
    <x v="8"/>
    <x v="3"/>
    <s v="CoreTech"/>
    <n v="4"/>
    <n v="548.39"/>
    <n v="0"/>
    <n v="109.68"/>
    <n v="12.26"/>
    <n v="2315.5"/>
    <s v="UPI"/>
    <s v="Delivered"/>
    <s v="Indianapolis"/>
    <s v="IN"/>
    <s v="United States"/>
  </r>
  <r>
    <s v="ORD0000105"/>
    <x v="101"/>
    <s v="CUST034561"/>
    <s v="Sneha Gupta"/>
    <x v="16"/>
    <x v="5"/>
    <s v="HomeEase"/>
    <n v="3"/>
    <n v="99.05"/>
    <n v="0.05"/>
    <n v="33.880000000000003"/>
    <n v="0.71"/>
    <n v="316.88"/>
    <s v="Credit Card"/>
    <s v="Delivered"/>
    <s v="Austin"/>
    <s v="TX"/>
    <s v="United States"/>
  </r>
  <r>
    <s v="ORD0000106"/>
    <x v="102"/>
    <s v="CUST028297"/>
    <s v="Neha Kumar"/>
    <x v="41"/>
    <x v="3"/>
    <s v="BrightLux"/>
    <n v="1"/>
    <n v="113.27"/>
    <n v="0.05"/>
    <n v="5.38"/>
    <n v="0.22"/>
    <n v="113.21"/>
    <s v="UPI"/>
    <s v="Delivered"/>
    <s v="Austin"/>
    <s v="TX"/>
    <s v="United States"/>
  </r>
  <r>
    <s v="ORD0000107"/>
    <x v="103"/>
    <s v="CUST002237"/>
    <s v="Sahil Singh"/>
    <x v="21"/>
    <x v="4"/>
    <s v="UrbanStyle"/>
    <n v="3"/>
    <n v="297.26"/>
    <n v="0.05"/>
    <n v="101.66"/>
    <n v="5.24"/>
    <n v="954.09"/>
    <s v="Credit Card"/>
    <s v="Pending"/>
    <s v="Indianapolis"/>
    <s v="IN"/>
    <s v="United States"/>
  </r>
  <r>
    <s v="ORD0000108"/>
    <x v="104"/>
    <s v="CUST007600"/>
    <s v="Ritika Kapoor"/>
    <x v="44"/>
    <x v="2"/>
    <s v="HomeEase"/>
    <n v="1"/>
    <n v="483.5"/>
    <n v="0"/>
    <n v="38.68"/>
    <n v="4.62"/>
    <n v="526.79999999999995"/>
    <s v="Debit Card"/>
    <s v="Delivered"/>
    <s v="Los Angeles"/>
    <s v="CA"/>
    <s v="United States"/>
  </r>
  <r>
    <s v="ORD0000109"/>
    <x v="105"/>
    <s v="CUST010526"/>
    <s v="Neha Kumar"/>
    <x v="33"/>
    <x v="4"/>
    <s v="HomeEase"/>
    <n v="3"/>
    <n v="127.42"/>
    <n v="0.15"/>
    <n v="16.25"/>
    <n v="1.88"/>
    <n v="343.05"/>
    <s v="Debit Card"/>
    <s v="Delivered"/>
    <s v="Dallas"/>
    <s v="TX"/>
    <s v="United States"/>
  </r>
  <r>
    <s v="ORD0000110"/>
    <x v="106"/>
    <s v="CUST024904"/>
    <s v="Neha Mehta"/>
    <x v="5"/>
    <x v="4"/>
    <s v="HomeEase"/>
    <n v="5"/>
    <n v="520.69000000000005"/>
    <n v="0"/>
    <n v="130.16999999999999"/>
    <n v="9.98"/>
    <n v="2743.6"/>
    <s v="Net Banking"/>
    <s v="Delivered"/>
    <s v="Phoenix"/>
    <s v="AZ"/>
    <s v="India"/>
  </r>
  <r>
    <s v="ORD0000111"/>
    <x v="107"/>
    <s v="CUST033463"/>
    <s v="Rohit Verma"/>
    <x v="4"/>
    <x v="2"/>
    <s v="BrightLux"/>
    <n v="5"/>
    <n v="61.48"/>
    <n v="0"/>
    <n v="55.33"/>
    <n v="2.64"/>
    <n v="365.37"/>
    <s v="Amazon Pay"/>
    <s v="Delivered"/>
    <s v="San Antonio"/>
    <s v="TX"/>
    <s v="United States"/>
  </r>
  <r>
    <s v="ORD0000112"/>
    <x v="108"/>
    <s v="CUST015883"/>
    <s v="Vihaan Mehta"/>
    <x v="28"/>
    <x v="0"/>
    <s v="KiddoFun"/>
    <n v="5"/>
    <n v="314"/>
    <n v="0"/>
    <n v="282.60000000000002"/>
    <n v="8.14"/>
    <n v="1860.74"/>
    <s v="Debit Card"/>
    <s v="Delivered"/>
    <s v="San Francisco"/>
    <s v="CA"/>
    <s v="United States"/>
  </r>
  <r>
    <s v="ORD0000113"/>
    <x v="109"/>
    <s v="CUST035697"/>
    <s v="Vikas Mehta"/>
    <x v="45"/>
    <x v="4"/>
    <s v="UrbanStyle"/>
    <n v="4"/>
    <n v="189.7"/>
    <n v="0.25"/>
    <n v="28.46"/>
    <n v="13.2"/>
    <n v="610.76"/>
    <s v="Amazon Pay"/>
    <s v="Cancelled"/>
    <s v="Austin"/>
    <s v="TX"/>
    <s v="United States"/>
  </r>
  <r>
    <s v="ORD0000114"/>
    <x v="110"/>
    <s v="CUST010676"/>
    <s v="Karan Joshi"/>
    <x v="21"/>
    <x v="2"/>
    <s v="HomeEase"/>
    <n v="2"/>
    <n v="103.29"/>
    <n v="0.2"/>
    <n v="0"/>
    <n v="0.55000000000000004"/>
    <n v="165.81"/>
    <s v="Amazon Pay"/>
    <s v="Shipped"/>
    <s v="San Antonio"/>
    <s v="TX"/>
    <s v="United States"/>
  </r>
  <r>
    <s v="ORD0000115"/>
    <x v="111"/>
    <s v="CUST037855"/>
    <s v="Vivaan Verma"/>
    <x v="30"/>
    <x v="1"/>
    <s v="UrbanStyle"/>
    <n v="3"/>
    <n v="167.08"/>
    <n v="0"/>
    <n v="40.1"/>
    <n v="7.29"/>
    <n v="548.63"/>
    <s v="Amazon Pay"/>
    <s v="Delivered"/>
    <s v="Los Angeles"/>
    <s v="CA"/>
    <s v="United States"/>
  </r>
  <r>
    <s v="ORD0000116"/>
    <x v="112"/>
    <s v="CUST013803"/>
    <s v="Vivaan Mehta"/>
    <x v="19"/>
    <x v="4"/>
    <s v="KiddoFun"/>
    <n v="4"/>
    <n v="468.57"/>
    <n v="0.25"/>
    <n v="70.290000000000006"/>
    <n v="14.63"/>
    <n v="1490.63"/>
    <s v="Debit Card"/>
    <s v="Shipped"/>
    <s v="Los Angeles"/>
    <s v="CA"/>
    <s v="United States"/>
  </r>
  <r>
    <s v="ORD0000117"/>
    <x v="113"/>
    <s v="CUST041291"/>
    <s v="Anjali Verma"/>
    <x v="11"/>
    <x v="2"/>
    <s v="HomeEase"/>
    <n v="2"/>
    <n v="25.31"/>
    <n v="0"/>
    <n v="0"/>
    <n v="14.69"/>
    <n v="65.31"/>
    <s v="Debit Card"/>
    <s v="Shipped"/>
    <s v="Fort Worth"/>
    <s v="TX"/>
    <s v="United States"/>
  </r>
  <r>
    <s v="ORD0000118"/>
    <x v="114"/>
    <s v="CUST025351"/>
    <s v="Sneha Kumar"/>
    <x v="24"/>
    <x v="4"/>
    <s v="KiddoFun"/>
    <n v="2"/>
    <n v="590.96"/>
    <n v="0.05"/>
    <n v="134.74"/>
    <n v="5.5"/>
    <n v="1263.06"/>
    <s v="Credit Card"/>
    <s v="Delivered"/>
    <s v="Denver"/>
    <s v="CO"/>
    <s v="United States"/>
  </r>
  <r>
    <s v="ORD0000119"/>
    <x v="115"/>
    <s v="CUST023478"/>
    <s v="Rohit Reddy"/>
    <x v="29"/>
    <x v="1"/>
    <s v="FitLife"/>
    <n v="2"/>
    <n v="433.24"/>
    <n v="0.05"/>
    <n v="98.78"/>
    <n v="10.23"/>
    <n v="932.17"/>
    <s v="Cash on Delivery"/>
    <s v="Shipped"/>
    <s v="Philadelphia"/>
    <s v="PA"/>
    <s v="United States"/>
  </r>
  <r>
    <s v="ORD0000120"/>
    <x v="116"/>
    <s v="CUST029783"/>
    <s v="Simran Singh"/>
    <x v="31"/>
    <x v="0"/>
    <s v="CoreTech"/>
    <n v="4"/>
    <n v="187.75"/>
    <n v="0.05"/>
    <n v="128.41999999999999"/>
    <n v="9.52"/>
    <n v="851.39"/>
    <s v="Credit Card"/>
    <s v="Delivered"/>
    <s v="San Francisco"/>
    <s v="CA"/>
    <s v="United States"/>
  </r>
  <r>
    <s v="ORD0000121"/>
    <x v="117"/>
    <s v="CUST001056"/>
    <s v="Karan Singh"/>
    <x v="41"/>
    <x v="3"/>
    <s v="Zenith"/>
    <n v="5"/>
    <n v="230.99"/>
    <n v="0.15"/>
    <n v="117.8"/>
    <n v="10.69"/>
    <n v="1110.2"/>
    <s v="UPI"/>
    <s v="Delivered"/>
    <s v="Columbus"/>
    <s v="OH"/>
    <s v="United States"/>
  </r>
  <r>
    <s v="ORD0000122"/>
    <x v="118"/>
    <s v="CUST026942"/>
    <s v="Pooja Joshi"/>
    <x v="20"/>
    <x v="4"/>
    <s v="Zenith"/>
    <n v="5"/>
    <n v="246.13"/>
    <n v="0.1"/>
    <n v="0"/>
    <n v="9.69"/>
    <n v="1117.28"/>
    <s v="Amazon Pay"/>
    <s v="Shipped"/>
    <s v="Austin"/>
    <s v="TX"/>
    <s v="Canada"/>
  </r>
  <r>
    <s v="ORD0000123"/>
    <x v="119"/>
    <s v="CUST027791"/>
    <s v="Sneha Verma"/>
    <x v="31"/>
    <x v="1"/>
    <s v="ReadMore"/>
    <n v="1"/>
    <n v="18.66"/>
    <n v="0"/>
    <n v="0.93"/>
    <n v="5.03"/>
    <n v="24.62"/>
    <s v="Amazon Pay"/>
    <s v="Delivered"/>
    <s v="San Francisco"/>
    <s v="CA"/>
    <s v="United States"/>
  </r>
  <r>
    <s v="ORD0000124"/>
    <x v="120"/>
    <s v="CUST019410"/>
    <s v="Simran Reddy"/>
    <x v="43"/>
    <x v="2"/>
    <s v="HomeEase"/>
    <n v="2"/>
    <n v="48.99"/>
    <n v="0.25"/>
    <n v="3.67"/>
    <n v="1.59"/>
    <n v="78.739999999999995"/>
    <s v="Amazon Pay"/>
    <s v="Delivered"/>
    <s v="San Jose"/>
    <s v="CA"/>
    <s v="United States"/>
  </r>
  <r>
    <s v="ORD0000125"/>
    <x v="121"/>
    <s v="CUST009308"/>
    <s v="Vihaan Sharma"/>
    <x v="19"/>
    <x v="4"/>
    <s v="HomeEase"/>
    <n v="5"/>
    <n v="200.05"/>
    <n v="0.05"/>
    <n v="114.03"/>
    <n v="2.34"/>
    <n v="1066.6099999999999"/>
    <s v="Credit Card"/>
    <s v="Delivered"/>
    <s v="Houston"/>
    <s v="TX"/>
    <s v="United Kingdom"/>
  </r>
  <r>
    <s v="ORD0000126"/>
    <x v="122"/>
    <s v="CUST004285"/>
    <s v="Sahil Sharma"/>
    <x v="20"/>
    <x v="5"/>
    <s v="Apex"/>
    <n v="4"/>
    <n v="149.47"/>
    <n v="0"/>
    <n v="71.75"/>
    <n v="10.48"/>
    <n v="680.11"/>
    <s v="UPI"/>
    <s v="Delivered"/>
    <s v="Houston"/>
    <s v="TX"/>
    <s v="United States"/>
  </r>
  <r>
    <s v="ORD0000127"/>
    <x v="123"/>
    <s v="CUST037966"/>
    <s v="Aditya Kumar"/>
    <x v="35"/>
    <x v="4"/>
    <s v="CoreTech"/>
    <n v="3"/>
    <n v="460.51"/>
    <n v="0.05"/>
    <n v="157.49"/>
    <n v="3.17"/>
    <n v="1473.11"/>
    <s v="Credit Card"/>
    <s v="Delivered"/>
    <s v="Charlotte"/>
    <s v="NC"/>
    <s v="United States"/>
  </r>
  <r>
    <s v="ORD0000128"/>
    <x v="124"/>
    <s v="CUST025421"/>
    <s v="Mohit Mehta"/>
    <x v="31"/>
    <x v="1"/>
    <s v="Zenith"/>
    <n v="5"/>
    <n v="141.31"/>
    <n v="0.15"/>
    <n v="72.069999999999993"/>
    <n v="14.56"/>
    <n v="687.2"/>
    <s v="Debit Card"/>
    <s v="Delivered"/>
    <s v="Denver"/>
    <s v="CO"/>
    <s v="United States"/>
  </r>
  <r>
    <s v="ORD0000129"/>
    <x v="125"/>
    <s v="CUST039352"/>
    <s v="Neha Joshi"/>
    <x v="17"/>
    <x v="0"/>
    <s v="Apex"/>
    <n v="3"/>
    <n v="204.15"/>
    <n v="0.1"/>
    <n v="66.14"/>
    <n v="10.09"/>
    <n v="627.44000000000005"/>
    <s v="Credit Card"/>
    <s v="Delivered"/>
    <s v="Dallas"/>
    <s v="TX"/>
    <s v="United States"/>
  </r>
  <r>
    <s v="ORD0000130"/>
    <x v="126"/>
    <s v="CUST032886"/>
    <s v="Rohit Mehta"/>
    <x v="27"/>
    <x v="0"/>
    <s v="BrightLux"/>
    <n v="4"/>
    <n v="577.36"/>
    <n v="0.2"/>
    <n v="92.38"/>
    <n v="4.08"/>
    <n v="1944.01"/>
    <s v="Debit Card"/>
    <s v="Delivered"/>
    <s v="Houston"/>
    <s v="TX"/>
    <s v="United States"/>
  </r>
  <r>
    <s v="ORD0000131"/>
    <x v="127"/>
    <s v="CUST014360"/>
    <s v="Vivaan Singh"/>
    <x v="31"/>
    <x v="5"/>
    <s v="ReadMore"/>
    <n v="2"/>
    <n v="509.27"/>
    <n v="0"/>
    <n v="0"/>
    <n v="6.71"/>
    <n v="1025.25"/>
    <s v="Net Banking"/>
    <s v="Shipped"/>
    <s v="Los Angeles"/>
    <s v="CA"/>
    <s v="United States"/>
  </r>
  <r>
    <s v="ORD0000132"/>
    <x v="128"/>
    <s v="CUST007708"/>
    <s v="Sunita Sharma"/>
    <x v="7"/>
    <x v="2"/>
    <s v="Zenith"/>
    <n v="3"/>
    <n v="496.12"/>
    <n v="0"/>
    <n v="74.42"/>
    <n v="5.91"/>
    <n v="1568.69"/>
    <s v="Net Banking"/>
    <s v="Returned"/>
    <s v="Charlotte"/>
    <s v="NC"/>
    <s v="Australia"/>
  </r>
  <r>
    <s v="ORD0000133"/>
    <x v="129"/>
    <s v="CUST013067"/>
    <s v="Sunita Gupta"/>
    <x v="39"/>
    <x v="2"/>
    <s v="KiddoFun"/>
    <n v="3"/>
    <n v="497.74"/>
    <n v="0"/>
    <n v="179.19"/>
    <n v="7.58"/>
    <n v="1679.99"/>
    <s v="Credit Card"/>
    <s v="Delivered"/>
    <s v="Seattle"/>
    <s v="WA"/>
    <s v="United States"/>
  </r>
  <r>
    <s v="ORD0000134"/>
    <x v="130"/>
    <s v="CUST046835"/>
    <s v="Simran Gupta"/>
    <x v="43"/>
    <x v="0"/>
    <s v="UrbanStyle"/>
    <n v="4"/>
    <n v="384.81"/>
    <n v="0"/>
    <n v="184.71"/>
    <n v="13.11"/>
    <n v="1737.06"/>
    <s v="Credit Card"/>
    <s v="Cancelled"/>
    <s v="San Diego"/>
    <s v="CA"/>
    <s v="United States"/>
  </r>
  <r>
    <s v="ORD0000135"/>
    <x v="131"/>
    <s v="CUST011228"/>
    <s v="Karan Reddy"/>
    <x v="18"/>
    <x v="3"/>
    <s v="HomeEase"/>
    <n v="2"/>
    <n v="321.45999999999998"/>
    <n v="0.1"/>
    <n v="69.44"/>
    <n v="5.41"/>
    <n v="653.48"/>
    <s v="Cash on Delivery"/>
    <s v="Delivered"/>
    <s v="Los Angeles"/>
    <s v="CA"/>
    <s v="India"/>
  </r>
  <r>
    <s v="ORD0000136"/>
    <x v="132"/>
    <s v="CUST046806"/>
    <s v="Neha Singh"/>
    <x v="46"/>
    <x v="3"/>
    <s v="ReadMore"/>
    <n v="5"/>
    <n v="498.26"/>
    <n v="0.05"/>
    <n v="189.34"/>
    <n v="3.64"/>
    <n v="2559.7199999999998"/>
    <s v="UPI"/>
    <s v="Shipped"/>
    <s v="Washington"/>
    <s v="DC"/>
    <s v="United Kingdom"/>
  </r>
  <r>
    <s v="ORD0000137"/>
    <x v="133"/>
    <s v="CUST014033"/>
    <s v="Rohit Gupta"/>
    <x v="32"/>
    <x v="0"/>
    <s v="FitLife"/>
    <n v="5"/>
    <n v="211.88"/>
    <n v="0.1"/>
    <n v="76.28"/>
    <n v="9.75"/>
    <n v="1039.49"/>
    <s v="UPI"/>
    <s v="Delivered"/>
    <s v="Philadelphia"/>
    <s v="PA"/>
    <s v="United States"/>
  </r>
  <r>
    <s v="ORD0000138"/>
    <x v="134"/>
    <s v="CUST040569"/>
    <s v="Rohit Sharma"/>
    <x v="6"/>
    <x v="2"/>
    <s v="ReadMore"/>
    <n v="2"/>
    <n v="333.88"/>
    <n v="0.05"/>
    <n v="0"/>
    <n v="10.61"/>
    <n v="644.98"/>
    <s v="Credit Card"/>
    <s v="Shipped"/>
    <s v="Jacksonville"/>
    <s v="FL"/>
    <s v="India"/>
  </r>
  <r>
    <s v="ORD0000139"/>
    <x v="135"/>
    <s v="CUST041172"/>
    <s v="Ritika Reddy"/>
    <x v="27"/>
    <x v="5"/>
    <s v="HomeEase"/>
    <n v="2"/>
    <n v="522.65"/>
    <n v="0.05"/>
    <n v="79.44"/>
    <n v="13.86"/>
    <n v="1086.33"/>
    <s v="Credit Card"/>
    <s v="Delivered"/>
    <s v="Fort Worth"/>
    <s v="TX"/>
    <s v="United States"/>
  </r>
  <r>
    <s v="ORD0000140"/>
    <x v="136"/>
    <s v="CUST001601"/>
    <s v="Vivaan Patel"/>
    <x v="33"/>
    <x v="3"/>
    <s v="UrbanStyle"/>
    <n v="4"/>
    <n v="67.78"/>
    <n v="0.05"/>
    <n v="20.61"/>
    <n v="11.17"/>
    <n v="289.33999999999997"/>
    <s v="Cash on Delivery"/>
    <s v="Delivered"/>
    <s v="Columbus"/>
    <s v="OH"/>
    <s v="United States"/>
  </r>
  <r>
    <s v="ORD0000141"/>
    <x v="137"/>
    <s v="CUST046508"/>
    <s v="Vivaan Sharma"/>
    <x v="26"/>
    <x v="0"/>
    <s v="Zenith"/>
    <n v="5"/>
    <n v="22.67"/>
    <n v="0"/>
    <n v="0"/>
    <n v="13.16"/>
    <n v="126.51"/>
    <s v="Debit Card"/>
    <s v="Delivered"/>
    <s v="Seattle"/>
    <s v="WA"/>
    <s v="United States"/>
  </r>
  <r>
    <s v="ORD0000142"/>
    <x v="138"/>
    <s v="CUST027712"/>
    <s v="Ritika Joshi"/>
    <x v="41"/>
    <x v="1"/>
    <s v="UrbanStyle"/>
    <n v="5"/>
    <n v="544.52"/>
    <n v="0.25"/>
    <n v="245.03"/>
    <n v="2.79"/>
    <n v="2289.77"/>
    <s v="Cash on Delivery"/>
    <s v="Pending"/>
    <s v="San Antonio"/>
    <s v="TX"/>
    <s v="United States"/>
  </r>
  <r>
    <s v="ORD0000143"/>
    <x v="139"/>
    <s v="CUST029705"/>
    <s v="Aman Reddy"/>
    <x v="10"/>
    <x v="5"/>
    <s v="CoreTech"/>
    <n v="1"/>
    <n v="431.01"/>
    <n v="0"/>
    <n v="0"/>
    <n v="2.23"/>
    <n v="433.24"/>
    <s v="Amazon Pay"/>
    <s v="Shipped"/>
    <s v="Houston"/>
    <s v="TX"/>
    <s v="United States"/>
  </r>
  <r>
    <s v="ORD0000144"/>
    <x v="140"/>
    <s v="CUST008224"/>
    <s v="Mohit Sharma"/>
    <x v="32"/>
    <x v="0"/>
    <s v="NexPro"/>
    <n v="3"/>
    <n v="346.56"/>
    <n v="0.15"/>
    <n v="44.19"/>
    <n v="1.85"/>
    <n v="929.77"/>
    <s v="Credit Card"/>
    <s v="Delivered"/>
    <s v="Philadelphia"/>
    <s v="PA"/>
    <s v="United States"/>
  </r>
  <r>
    <s v="ORD0000145"/>
    <x v="141"/>
    <s v="CUST046362"/>
    <s v="Aman Verma"/>
    <x v="15"/>
    <x v="0"/>
    <s v="BrightLux"/>
    <n v="1"/>
    <n v="87.79"/>
    <n v="0"/>
    <n v="15.8"/>
    <n v="10.92"/>
    <n v="114.51"/>
    <s v="Credit Card"/>
    <s v="Delivered"/>
    <s v="New York"/>
    <s v="NY"/>
    <s v="United Kingdom"/>
  </r>
  <r>
    <s v="ORD0000146"/>
    <x v="142"/>
    <s v="CUST005950"/>
    <s v="Mohit Verma"/>
    <x v="27"/>
    <x v="1"/>
    <s v="HomeEase"/>
    <n v="4"/>
    <n v="596.79999999999995"/>
    <n v="0.05"/>
    <n v="272.14"/>
    <n v="2.1"/>
    <n v="2542.08"/>
    <s v="Credit Card"/>
    <s v="Delivered"/>
    <s v="Washington"/>
    <s v="DC"/>
    <s v="India"/>
  </r>
  <r>
    <s v="ORD0000147"/>
    <x v="143"/>
    <s v="CUST037485"/>
    <s v="Kabir Verma"/>
    <x v="27"/>
    <x v="5"/>
    <s v="KiddoFun"/>
    <n v="1"/>
    <n v="194.17"/>
    <n v="0"/>
    <n v="9.7100000000000009"/>
    <n v="5.33"/>
    <n v="209.21"/>
    <s v="Credit Card"/>
    <s v="Delivered"/>
    <s v="San Francisco"/>
    <s v="CA"/>
    <s v="India"/>
  </r>
  <r>
    <s v="ORD0000148"/>
    <x v="144"/>
    <s v="CUST027818"/>
    <s v="Sneha Mehta"/>
    <x v="35"/>
    <x v="2"/>
    <s v="CoreTech"/>
    <n v="2"/>
    <n v="42.52"/>
    <n v="0.05"/>
    <n v="4.04"/>
    <n v="11.11"/>
    <n v="95.94"/>
    <s v="Credit Card"/>
    <s v="Delivered"/>
    <s v="Chicago"/>
    <s v="IL"/>
    <s v="United States"/>
  </r>
  <r>
    <s v="ORD0000149"/>
    <x v="145"/>
    <s v="CUST048304"/>
    <s v="Vihaan Kapoor"/>
    <x v="26"/>
    <x v="3"/>
    <s v="Apex"/>
    <n v="3"/>
    <n v="262.02"/>
    <n v="0.15"/>
    <n v="120.27"/>
    <n v="7.09"/>
    <n v="795.51"/>
    <s v="Credit Card"/>
    <s v="Returned"/>
    <s v="Chicago"/>
    <s v="IL"/>
    <s v="United States"/>
  </r>
  <r>
    <s v="ORD0000150"/>
    <x v="146"/>
    <s v="CUST033670"/>
    <s v="Sneha Kapoor"/>
    <x v="29"/>
    <x v="3"/>
    <s v="NexPro"/>
    <n v="3"/>
    <n v="43.8"/>
    <n v="0"/>
    <n v="10.51"/>
    <n v="6.23"/>
    <n v="148.13999999999999"/>
    <s v="Cash on Delivery"/>
    <s v="Shipped"/>
    <s v="Columbus"/>
    <s v="OH"/>
    <s v="United States"/>
  </r>
  <r>
    <s v="ORD0000151"/>
    <x v="147"/>
    <s v="CUST038774"/>
    <s v="Kabir Sharma"/>
    <x v="27"/>
    <x v="2"/>
    <s v="ReadMore"/>
    <n v="4"/>
    <n v="306.01"/>
    <n v="0.3"/>
    <n v="42.84"/>
    <n v="9.24"/>
    <n v="908.91"/>
    <s v="Debit Card"/>
    <s v="Delivered"/>
    <s v="Austin"/>
    <s v="TX"/>
    <s v="United Kingdom"/>
  </r>
  <r>
    <s v="ORD0000152"/>
    <x v="148"/>
    <s v="CUST026880"/>
    <s v="Kabir Verma"/>
    <x v="4"/>
    <x v="4"/>
    <s v="Zenith"/>
    <n v="4"/>
    <n v="251.6"/>
    <n v="0.1"/>
    <n v="108.69"/>
    <n v="13.75"/>
    <n v="1028.2"/>
    <s v="Net Banking"/>
    <s v="Delivered"/>
    <s v="New York"/>
    <s v="NY"/>
    <s v="United Kingdom"/>
  </r>
  <r>
    <s v="ORD0000153"/>
    <x v="149"/>
    <s v="CUST044830"/>
    <s v="Karan Kapoor"/>
    <x v="18"/>
    <x v="5"/>
    <s v="ReadMore"/>
    <n v="3"/>
    <n v="431.79"/>
    <n v="0"/>
    <n v="64.77"/>
    <n v="11.24"/>
    <n v="1371.38"/>
    <s v="Credit Card"/>
    <s v="Delivered"/>
    <s v="Columbus"/>
    <s v="OH"/>
    <s v="United States"/>
  </r>
  <r>
    <s v="ORD0000154"/>
    <x v="150"/>
    <s v="CUST040087"/>
    <s v="Ritika Reddy"/>
    <x v="5"/>
    <x v="0"/>
    <s v="Apex"/>
    <n v="4"/>
    <n v="291.13"/>
    <n v="0.15"/>
    <n v="49.49"/>
    <n v="2.52"/>
    <n v="1041.8499999999999"/>
    <s v="Debit Card"/>
    <s v="Delivered"/>
    <s v="Phoenix"/>
    <s v="AZ"/>
    <s v="United Kingdom"/>
  </r>
  <r>
    <s v="ORD0000155"/>
    <x v="151"/>
    <s v="CUST026727"/>
    <s v="Anjali Gupta"/>
    <x v="14"/>
    <x v="2"/>
    <s v="Apex"/>
    <n v="3"/>
    <n v="414.46"/>
    <n v="0.25"/>
    <n v="111.9"/>
    <n v="4.6900000000000004"/>
    <n v="1049.1199999999999"/>
    <s v="Amazon Pay"/>
    <s v="Delivered"/>
    <s v="Philadelphia"/>
    <s v="PA"/>
    <s v="United States"/>
  </r>
  <r>
    <s v="ORD0000156"/>
    <x v="152"/>
    <s v="CUST011225"/>
    <s v="Rohit Patel"/>
    <x v="39"/>
    <x v="5"/>
    <s v="BrightLux"/>
    <n v="3"/>
    <n v="180.87"/>
    <n v="0"/>
    <n v="27.13"/>
    <n v="2.04"/>
    <n v="571.78"/>
    <s v="Debit Card"/>
    <s v="Delivered"/>
    <s v="Seattle"/>
    <s v="WA"/>
    <s v="United States"/>
  </r>
  <r>
    <s v="ORD0000157"/>
    <x v="153"/>
    <s v="CUST031885"/>
    <s v="Sneha Gupta"/>
    <x v="25"/>
    <x v="4"/>
    <s v="NexPro"/>
    <n v="5"/>
    <n v="104.18"/>
    <n v="0.1"/>
    <n v="0"/>
    <n v="8.69"/>
    <n v="477.5"/>
    <s v="Credit Card"/>
    <s v="Shipped"/>
    <s v="Phoenix"/>
    <s v="AZ"/>
    <s v="United Kingdom"/>
  </r>
  <r>
    <s v="ORD0000158"/>
    <x v="154"/>
    <s v="CUST016025"/>
    <s v="Sunita Singh"/>
    <x v="23"/>
    <x v="0"/>
    <s v="NexPro"/>
    <n v="2"/>
    <n v="400.69"/>
    <n v="0.1"/>
    <n v="57.7"/>
    <n v="10.68"/>
    <n v="789.62"/>
    <s v="Credit Card"/>
    <s v="Pending"/>
    <s v="Houston"/>
    <s v="TX"/>
    <s v="Canada"/>
  </r>
  <r>
    <s v="ORD0000159"/>
    <x v="155"/>
    <s v="CUST036113"/>
    <s v="Priya Joshi"/>
    <x v="40"/>
    <x v="1"/>
    <s v="FitLife"/>
    <n v="3"/>
    <n v="479.99"/>
    <n v="0.25"/>
    <n v="129.6"/>
    <n v="8.69"/>
    <n v="1218.27"/>
    <s v="UPI"/>
    <s v="Delivered"/>
    <s v="Austin"/>
    <s v="TX"/>
    <s v="United States"/>
  </r>
  <r>
    <s v="ORD0000160"/>
    <x v="156"/>
    <s v="CUST043628"/>
    <s v="Anjali Verma"/>
    <x v="20"/>
    <x v="4"/>
    <s v="CoreTech"/>
    <n v="1"/>
    <n v="247.54"/>
    <n v="0.05"/>
    <n v="28.22"/>
    <n v="2.0699999999999998"/>
    <n v="265.45"/>
    <s v="Amazon Pay"/>
    <s v="Delivered"/>
    <s v="Chicago"/>
    <s v="IL"/>
    <s v="United States"/>
  </r>
  <r>
    <s v="ORD0000161"/>
    <x v="157"/>
    <s v="CUST020507"/>
    <s v="Aarav Joshi"/>
    <x v="39"/>
    <x v="3"/>
    <s v="FitLife"/>
    <n v="3"/>
    <n v="14.51"/>
    <n v="0.05"/>
    <n v="4.96"/>
    <n v="0.82"/>
    <n v="47.13"/>
    <s v="Credit Card"/>
    <s v="Delivered"/>
    <s v="Seattle"/>
    <s v="WA"/>
    <s v="United States"/>
  </r>
  <r>
    <s v="ORD0000162"/>
    <x v="158"/>
    <s v="CUST012422"/>
    <s v="Kabir Kapoor"/>
    <x v="12"/>
    <x v="5"/>
    <s v="NexPro"/>
    <n v="5"/>
    <n v="216.33"/>
    <n v="0.2"/>
    <n v="0"/>
    <n v="9.73"/>
    <n v="875.05"/>
    <s v="Credit Card"/>
    <s v="Delivered"/>
    <s v="San Antonio"/>
    <s v="TX"/>
    <s v="United States"/>
  </r>
  <r>
    <s v="ORD0000163"/>
    <x v="159"/>
    <s v="CUST009807"/>
    <s v="Vihaan Verma"/>
    <x v="15"/>
    <x v="1"/>
    <s v="ReadMore"/>
    <n v="3"/>
    <n v="38.53"/>
    <n v="0"/>
    <n v="5.78"/>
    <n v="8.4"/>
    <n v="129.77000000000001"/>
    <s v="Debit Card"/>
    <s v="Delivered"/>
    <s v="San Antonio"/>
    <s v="TX"/>
    <s v="United States"/>
  </r>
  <r>
    <s v="ORD0000164"/>
    <x v="100"/>
    <s v="CUST048496"/>
    <s v="Sahil Kumar"/>
    <x v="34"/>
    <x v="5"/>
    <s v="NexPro"/>
    <n v="3"/>
    <n v="465.66"/>
    <n v="0.1"/>
    <n v="62.86"/>
    <n v="0.89"/>
    <n v="1321.03"/>
    <s v="Amazon Pay"/>
    <s v="Returned"/>
    <s v="Dallas"/>
    <s v="TX"/>
    <s v="United States"/>
  </r>
  <r>
    <s v="ORD0000165"/>
    <x v="160"/>
    <s v="CUST029400"/>
    <s v="Aman Gupta"/>
    <x v="27"/>
    <x v="5"/>
    <s v="BrightLux"/>
    <n v="5"/>
    <n v="35.270000000000003"/>
    <n v="0"/>
    <n v="21.16"/>
    <n v="12.99"/>
    <n v="210.5"/>
    <s v="Debit Card"/>
    <s v="Delivered"/>
    <s v="Philadelphia"/>
    <s v="PA"/>
    <s v="United States"/>
  </r>
  <r>
    <s v="ORD0000166"/>
    <x v="161"/>
    <s v="CUST004811"/>
    <s v="Arjun Patel"/>
    <x v="47"/>
    <x v="1"/>
    <s v="UrbanStyle"/>
    <n v="2"/>
    <n v="82.5"/>
    <n v="0.05"/>
    <n v="18.809999999999999"/>
    <n v="13.79"/>
    <n v="189.35"/>
    <s v="Credit Card"/>
    <s v="Delivered"/>
    <s v="San Francisco"/>
    <s v="CA"/>
    <s v="United States"/>
  </r>
  <r>
    <s v="ORD0000167"/>
    <x v="162"/>
    <s v="CUST008669"/>
    <s v="Aditya Kumar"/>
    <x v="13"/>
    <x v="1"/>
    <s v="KiddoFun"/>
    <n v="4"/>
    <n v="298.95999999999998"/>
    <n v="0.1"/>
    <n v="86.1"/>
    <n v="3.63"/>
    <n v="1165.99"/>
    <s v="Amazon Pay"/>
    <s v="Delivered"/>
    <s v="Jacksonville"/>
    <s v="FL"/>
    <s v="United States"/>
  </r>
  <r>
    <s v="ORD0000168"/>
    <x v="163"/>
    <s v="CUST035784"/>
    <s v="Vikas Gupta"/>
    <x v="27"/>
    <x v="3"/>
    <s v="NexPro"/>
    <n v="5"/>
    <n v="232.62"/>
    <n v="0.05"/>
    <n v="88.4"/>
    <n v="9.35"/>
    <n v="1202.7"/>
    <s v="Credit Card"/>
    <s v="Shipped"/>
    <s v="Austin"/>
    <s v="TX"/>
    <s v="United States"/>
  </r>
  <r>
    <s v="ORD0000169"/>
    <x v="148"/>
    <s v="CUST027512"/>
    <s v="Mohit Joshi"/>
    <x v="38"/>
    <x v="0"/>
    <s v="Apex"/>
    <n v="4"/>
    <n v="493.2"/>
    <n v="0.2"/>
    <n v="189.39"/>
    <n v="3.74"/>
    <n v="1771.37"/>
    <s v="Net Banking"/>
    <s v="Delivered"/>
    <s v="Dallas"/>
    <s v="TX"/>
    <s v="Canada"/>
  </r>
  <r>
    <s v="ORD0000170"/>
    <x v="164"/>
    <s v="CUST023754"/>
    <s v="Sahil Gupta"/>
    <x v="43"/>
    <x v="2"/>
    <s v="BrightLux"/>
    <n v="4"/>
    <n v="497.42"/>
    <n v="0.05"/>
    <n v="226.82"/>
    <n v="12.34"/>
    <n v="2129.36"/>
    <s v="Debit Card"/>
    <s v="Delivered"/>
    <s v="Jacksonville"/>
    <s v="FL"/>
    <s v="Canada"/>
  </r>
  <r>
    <s v="ORD0000171"/>
    <x v="165"/>
    <s v="CUST011579"/>
    <s v="Kabir Reddy"/>
    <x v="31"/>
    <x v="2"/>
    <s v="KiddoFun"/>
    <n v="1"/>
    <n v="154.24"/>
    <n v="0.05"/>
    <n v="17.579999999999998"/>
    <n v="9.86"/>
    <n v="173.97"/>
    <s v="UPI"/>
    <s v="Delivered"/>
    <s v="Denver"/>
    <s v="CO"/>
    <s v="United States"/>
  </r>
  <r>
    <s v="ORD0000172"/>
    <x v="166"/>
    <s v="CUST003082"/>
    <s v="Aarav Reddy"/>
    <x v="45"/>
    <x v="4"/>
    <s v="UrbanStyle"/>
    <n v="3"/>
    <n v="497.52"/>
    <n v="0.15"/>
    <n v="228.36"/>
    <n v="0.91"/>
    <n v="1497.95"/>
    <s v="Credit Card"/>
    <s v="Delivered"/>
    <s v="Austin"/>
    <s v="TX"/>
    <s v="United States"/>
  </r>
  <r>
    <s v="ORD0000173"/>
    <x v="167"/>
    <s v="CUST040193"/>
    <s v="Priya Verma"/>
    <x v="14"/>
    <x v="0"/>
    <s v="UrbanStyle"/>
    <n v="4"/>
    <n v="64.53"/>
    <n v="0"/>
    <n v="0"/>
    <n v="13.67"/>
    <n v="271.79000000000002"/>
    <s v="Amazon Pay"/>
    <s v="Delivered"/>
    <s v="New York"/>
    <s v="NY"/>
    <s v="United States"/>
  </r>
  <r>
    <s v="ORD0000174"/>
    <x v="168"/>
    <s v="CUST014061"/>
    <s v="Arjun Gupta"/>
    <x v="48"/>
    <x v="5"/>
    <s v="FitLife"/>
    <n v="4"/>
    <n v="331.21"/>
    <n v="0"/>
    <n v="66.239999999999995"/>
    <n v="5.9"/>
    <n v="1396.98"/>
    <s v="Net Banking"/>
    <s v="Delivered"/>
    <s v="San Jose"/>
    <s v="CA"/>
    <s v="United States"/>
  </r>
  <r>
    <s v="ORD0000175"/>
    <x v="169"/>
    <s v="CUST028212"/>
    <s v="Vihaan Verma"/>
    <x v="27"/>
    <x v="2"/>
    <s v="NexPro"/>
    <n v="4"/>
    <n v="155.87"/>
    <n v="0.1"/>
    <n v="28.06"/>
    <n v="7.79"/>
    <n v="596.98"/>
    <s v="Credit Card"/>
    <s v="Delivered"/>
    <s v="Los Angeles"/>
    <s v="CA"/>
    <s v="United States"/>
  </r>
  <r>
    <s v="ORD0000176"/>
    <x v="170"/>
    <s v="CUST010967"/>
    <s v="Sahil Singh"/>
    <x v="37"/>
    <x v="2"/>
    <s v="CoreTech"/>
    <n v="1"/>
    <n v="598.75"/>
    <n v="0.1"/>
    <n v="26.94"/>
    <n v="3.35"/>
    <n v="569.16999999999996"/>
    <s v="Credit Card"/>
    <s v="Returned"/>
    <s v="Denver"/>
    <s v="CO"/>
    <s v="United Kingdom"/>
  </r>
  <r>
    <s v="ORD0000177"/>
    <x v="171"/>
    <s v="CUST022674"/>
    <s v="Pooja Gupta"/>
    <x v="21"/>
    <x v="5"/>
    <s v="HomeEase"/>
    <n v="5"/>
    <n v="489.41"/>
    <n v="0.05"/>
    <n v="278.95999999999998"/>
    <n v="7.24"/>
    <n v="2610.9"/>
    <s v="Amazon Pay"/>
    <s v="Delivered"/>
    <s v="Chicago"/>
    <s v="IL"/>
    <s v="United States"/>
  </r>
  <r>
    <s v="ORD0000178"/>
    <x v="172"/>
    <s v="CUST048983"/>
    <s v="Kabir Kumar"/>
    <x v="24"/>
    <x v="3"/>
    <s v="Zenith"/>
    <n v="4"/>
    <n v="131.22"/>
    <n v="0.1"/>
    <n v="0"/>
    <n v="14.12"/>
    <n v="486.51"/>
    <s v="Debit Card"/>
    <s v="Delivered"/>
    <s v="Charlotte"/>
    <s v="NC"/>
    <s v="India"/>
  </r>
  <r>
    <s v="ORD0000179"/>
    <x v="173"/>
    <s v="CUST016133"/>
    <s v="Anjali Kumar"/>
    <x v="0"/>
    <x v="3"/>
    <s v="HomeEase"/>
    <n v="2"/>
    <n v="176.38"/>
    <n v="0.05"/>
    <n v="26.81"/>
    <n v="11.05"/>
    <n v="372.98"/>
    <s v="Net Banking"/>
    <s v="Delivered"/>
    <s v="Los Angeles"/>
    <s v="CA"/>
    <s v="United States"/>
  </r>
  <r>
    <s v="ORD0000180"/>
    <x v="174"/>
    <s v="CUST044928"/>
    <s v="Pooja Reddy"/>
    <x v="9"/>
    <x v="4"/>
    <s v="CoreTech"/>
    <n v="1"/>
    <n v="418.7"/>
    <n v="0.3"/>
    <n v="23.45"/>
    <n v="4.4800000000000004"/>
    <n v="321.02"/>
    <s v="UPI"/>
    <s v="Delivered"/>
    <s v="Jacksonville"/>
    <s v="FL"/>
    <s v="United States"/>
  </r>
  <r>
    <s v="ORD0000181"/>
    <x v="175"/>
    <s v="CUST024560"/>
    <s v="Neha Gupta"/>
    <x v="17"/>
    <x v="1"/>
    <s v="ReadMore"/>
    <n v="2"/>
    <n v="531.4"/>
    <n v="0"/>
    <n v="127.54"/>
    <n v="4.49"/>
    <n v="1194.83"/>
    <s v="Cash on Delivery"/>
    <s v="Delivered"/>
    <s v="Dallas"/>
    <s v="TX"/>
    <s v="United States"/>
  </r>
  <r>
    <s v="ORD0000182"/>
    <x v="176"/>
    <s v="CUST019814"/>
    <s v="Vivaan Verma"/>
    <x v="31"/>
    <x v="0"/>
    <s v="CoreTech"/>
    <n v="5"/>
    <n v="341.7"/>
    <n v="0.1"/>
    <n v="276.77999999999997"/>
    <n v="1.7"/>
    <n v="1816.13"/>
    <s v="Amazon Pay"/>
    <s v="Delivered"/>
    <s v="New York"/>
    <s v="NY"/>
    <s v="United States"/>
  </r>
  <r>
    <s v="ORD0000183"/>
    <x v="177"/>
    <s v="CUST015222"/>
    <s v="Karan Gupta"/>
    <x v="34"/>
    <x v="5"/>
    <s v="ReadMore"/>
    <n v="2"/>
    <n v="375.82"/>
    <n v="0.05"/>
    <n v="35.700000000000003"/>
    <n v="13.55"/>
    <n v="763.31"/>
    <s v="Amazon Pay"/>
    <s v="Returned"/>
    <s v="Houston"/>
    <s v="TX"/>
    <s v="Australia"/>
  </r>
  <r>
    <s v="ORD0000184"/>
    <x v="178"/>
    <s v="CUST015733"/>
    <s v="Vivaan Sharma"/>
    <x v="14"/>
    <x v="1"/>
    <s v="FitLife"/>
    <n v="3"/>
    <n v="99.26"/>
    <n v="0"/>
    <n v="23.82"/>
    <n v="5.19"/>
    <n v="326.79000000000002"/>
    <s v="UPI"/>
    <s v="Shipped"/>
    <s v="Fort Worth"/>
    <s v="TX"/>
    <s v="United States"/>
  </r>
  <r>
    <s v="ORD0000185"/>
    <x v="179"/>
    <s v="CUST023655"/>
    <s v="Anjali Singh"/>
    <x v="39"/>
    <x v="1"/>
    <s v="Zenith"/>
    <n v="2"/>
    <n v="572.09"/>
    <n v="0"/>
    <n v="91.53"/>
    <n v="2.64"/>
    <n v="1238.3499999999999"/>
    <s v="Credit Card"/>
    <s v="Shipped"/>
    <s v="Chicago"/>
    <s v="IL"/>
    <s v="United States"/>
  </r>
  <r>
    <s v="ORD0000186"/>
    <x v="180"/>
    <s v="CUST021204"/>
    <s v="Pooja Singh"/>
    <x v="11"/>
    <x v="3"/>
    <s v="UrbanStyle"/>
    <n v="2"/>
    <n v="495.32"/>
    <n v="0"/>
    <n v="49.53"/>
    <n v="10.01"/>
    <n v="1050.18"/>
    <s v="Credit Card"/>
    <s v="Pending"/>
    <s v="Phoenix"/>
    <s v="AZ"/>
    <s v="United States"/>
  </r>
  <r>
    <s v="ORD0000187"/>
    <x v="181"/>
    <s v="CUST016221"/>
    <s v="Simran Reddy"/>
    <x v="32"/>
    <x v="4"/>
    <s v="Zenith"/>
    <n v="2"/>
    <n v="190.82"/>
    <n v="0.2"/>
    <n v="15.27"/>
    <n v="7.58"/>
    <n v="328.16"/>
    <s v="Debit Card"/>
    <s v="Delivered"/>
    <s v="San Diego"/>
    <s v="CA"/>
    <s v="Canada"/>
  </r>
  <r>
    <s v="ORD0000188"/>
    <x v="182"/>
    <s v="CUST036912"/>
    <s v="Karan Reddy"/>
    <x v="37"/>
    <x v="1"/>
    <s v="BrightLux"/>
    <n v="1"/>
    <n v="50.92"/>
    <n v="0.2"/>
    <n v="3.26"/>
    <n v="1.3"/>
    <n v="45.3"/>
    <s v="Net Banking"/>
    <s v="Delivered"/>
    <s v="Philadelphia"/>
    <s v="PA"/>
    <s v="United States"/>
  </r>
  <r>
    <s v="ORD0000189"/>
    <x v="183"/>
    <s v="CUST043111"/>
    <s v="Aarav Verma"/>
    <x v="16"/>
    <x v="3"/>
    <s v="FitLife"/>
    <n v="5"/>
    <n v="129.25"/>
    <n v="0.15"/>
    <n v="43.94"/>
    <n v="6.24"/>
    <n v="599.49"/>
    <s v="Credit Card"/>
    <s v="Shipped"/>
    <s v="Charlotte"/>
    <s v="NC"/>
    <s v="United States"/>
  </r>
  <r>
    <s v="ORD0000190"/>
    <x v="184"/>
    <s v="CUST034016"/>
    <s v="Aditya Singh"/>
    <x v="10"/>
    <x v="4"/>
    <s v="Zenith"/>
    <n v="3"/>
    <n v="416.84"/>
    <n v="0.15"/>
    <n v="85.04"/>
    <n v="14.4"/>
    <n v="1162.3800000000001"/>
    <s v="Debit Card"/>
    <s v="Delivered"/>
    <s v="Phoenix"/>
    <s v="AZ"/>
    <s v="United States"/>
  </r>
  <r>
    <s v="ORD0000191"/>
    <x v="138"/>
    <s v="CUST040748"/>
    <s v="Sahil Sharma"/>
    <x v="6"/>
    <x v="4"/>
    <s v="KiddoFun"/>
    <n v="5"/>
    <n v="319.27999999999997"/>
    <n v="0.05"/>
    <n v="75.83"/>
    <n v="12.39"/>
    <n v="1604.8"/>
    <s v="Amazon Pay"/>
    <s v="Delivered"/>
    <s v="San Diego"/>
    <s v="CA"/>
    <s v="United States"/>
  </r>
  <r>
    <s v="ORD0000192"/>
    <x v="185"/>
    <s v="CUST004207"/>
    <s v="Vikas Kapoor"/>
    <x v="1"/>
    <x v="0"/>
    <s v="Zenith"/>
    <n v="2"/>
    <n v="67.540000000000006"/>
    <n v="0.05"/>
    <n v="10.27"/>
    <n v="1.64"/>
    <n v="140.24"/>
    <s v="Amazon Pay"/>
    <s v="Delivered"/>
    <s v="San Antonio"/>
    <s v="TX"/>
    <s v="Canada"/>
  </r>
  <r>
    <s v="ORD0000193"/>
    <x v="186"/>
    <s v="CUST041282"/>
    <s v="Sahil Singh"/>
    <x v="30"/>
    <x v="3"/>
    <s v="ReadMore"/>
    <n v="2"/>
    <n v="289.23"/>
    <n v="0.1"/>
    <n v="0"/>
    <n v="13.08"/>
    <n v="533.69000000000005"/>
    <s v="Amazon Pay"/>
    <s v="Delivered"/>
    <s v="Indianapolis"/>
    <s v="IN"/>
    <s v="United States"/>
  </r>
  <r>
    <s v="ORD0000194"/>
    <x v="187"/>
    <s v="CUST044672"/>
    <s v="Karan Singh"/>
    <x v="22"/>
    <x v="1"/>
    <s v="ReadMore"/>
    <n v="2"/>
    <n v="373.58"/>
    <n v="0.2"/>
    <n v="47.82"/>
    <n v="8.74"/>
    <n v="654.29"/>
    <s v="Credit Card"/>
    <s v="Delivered"/>
    <s v="San Jose"/>
    <s v="CA"/>
    <s v="United States"/>
  </r>
  <r>
    <s v="ORD0000195"/>
    <x v="188"/>
    <s v="CUST004859"/>
    <s v="Vivaan Gupta"/>
    <x v="29"/>
    <x v="4"/>
    <s v="Zenith"/>
    <n v="4"/>
    <n v="359.89"/>
    <n v="0.05"/>
    <n v="68.38"/>
    <n v="13.15"/>
    <n v="1449.11"/>
    <s v="Credit Card"/>
    <s v="Delivered"/>
    <s v="Washington"/>
    <s v="DC"/>
    <s v="United States"/>
  </r>
  <r>
    <s v="ORD0000196"/>
    <x v="189"/>
    <s v="CUST007154"/>
    <s v="Vikas Sharma"/>
    <x v="39"/>
    <x v="3"/>
    <s v="NexPro"/>
    <n v="5"/>
    <n v="449.1"/>
    <n v="0.1"/>
    <n v="101.05"/>
    <n v="7.48"/>
    <n v="2129.48"/>
    <s v="Net Banking"/>
    <s v="Delivered"/>
    <s v="San Diego"/>
    <s v="CA"/>
    <s v="United States"/>
  </r>
  <r>
    <s v="ORD0000197"/>
    <x v="190"/>
    <s v="CUST035993"/>
    <s v="Vikas Kumar"/>
    <x v="27"/>
    <x v="5"/>
    <s v="ReadMore"/>
    <n v="3"/>
    <n v="270.41000000000003"/>
    <n v="0.1"/>
    <n v="36.51"/>
    <n v="3.91"/>
    <n v="770.53"/>
    <s v="Amazon Pay"/>
    <s v="Delivered"/>
    <s v="Houston"/>
    <s v="TX"/>
    <s v="United States"/>
  </r>
  <r>
    <s v="ORD0000198"/>
    <x v="191"/>
    <s v="CUST027565"/>
    <s v="Sneha Verma"/>
    <x v="22"/>
    <x v="1"/>
    <s v="CoreTech"/>
    <n v="2"/>
    <n v="387.31"/>
    <n v="0"/>
    <n v="92.95"/>
    <n v="7.12"/>
    <n v="874.69"/>
    <s v="Debit Card"/>
    <s v="Delivered"/>
    <s v="San Francisco"/>
    <s v="CA"/>
    <s v="United States"/>
  </r>
  <r>
    <s v="ORD0000199"/>
    <x v="192"/>
    <s v="CUST010007"/>
    <s v="Vikas Reddy"/>
    <x v="42"/>
    <x v="0"/>
    <s v="Apex"/>
    <n v="3"/>
    <n v="272.14"/>
    <n v="0"/>
    <n v="97.97"/>
    <n v="11.16"/>
    <n v="925.55"/>
    <s v="UPI"/>
    <s v="Delivered"/>
    <s v="San Jose"/>
    <s v="CA"/>
    <s v="Canada"/>
  </r>
  <r>
    <s v="ORD0000200"/>
    <x v="193"/>
    <s v="CUST022505"/>
    <s v="Karan Kapoor"/>
    <x v="44"/>
    <x v="1"/>
    <s v="FitLife"/>
    <n v="1"/>
    <n v="420.62"/>
    <n v="0"/>
    <n v="21.03"/>
    <n v="5.69"/>
    <n v="447.34"/>
    <s v="Amazon Pay"/>
    <s v="Shipped"/>
    <s v="Dallas"/>
    <s v="TX"/>
    <s v="United States"/>
  </r>
  <r>
    <s v="ORD0000201"/>
    <x v="194"/>
    <s v="CUST007081"/>
    <s v="Arjun Kumar"/>
    <x v="8"/>
    <x v="2"/>
    <s v="HomeEase"/>
    <n v="4"/>
    <n v="575.92999999999995"/>
    <n v="0"/>
    <n v="0"/>
    <n v="14.5"/>
    <n v="2318.2199999999998"/>
    <s v="Credit Card"/>
    <s v="Delivered"/>
    <s v="Dallas"/>
    <s v="TX"/>
    <s v="India"/>
  </r>
  <r>
    <s v="ORD0000202"/>
    <x v="195"/>
    <s v="CUST042401"/>
    <s v="Mohit Singh"/>
    <x v="22"/>
    <x v="3"/>
    <s v="BrightLux"/>
    <n v="5"/>
    <n v="167.97"/>
    <n v="0"/>
    <n v="0"/>
    <n v="8.35"/>
    <n v="848.2"/>
    <s v="UPI"/>
    <s v="Delivered"/>
    <s v="Dallas"/>
    <s v="TX"/>
    <s v="United States"/>
  </r>
  <r>
    <s v="ORD0000203"/>
    <x v="196"/>
    <s v="CUST040825"/>
    <s v="Karan Sharma"/>
    <x v="20"/>
    <x v="3"/>
    <s v="UrbanStyle"/>
    <n v="5"/>
    <n v="471.14"/>
    <n v="0"/>
    <n v="188.46"/>
    <n v="4.18"/>
    <n v="2548.34"/>
    <s v="Amazon Pay"/>
    <s v="Delivered"/>
    <s v="Denver"/>
    <s v="CO"/>
    <s v="Canada"/>
  </r>
  <r>
    <s v="ORD0000204"/>
    <x v="197"/>
    <s v="CUST022812"/>
    <s v="Mohit Patel"/>
    <x v="3"/>
    <x v="3"/>
    <s v="UrbanStyle"/>
    <n v="3"/>
    <n v="461.7"/>
    <n v="0.05"/>
    <n v="65.790000000000006"/>
    <n v="13.58"/>
    <n v="1395.21"/>
    <s v="Credit Card"/>
    <s v="Returned"/>
    <s v="Fort Worth"/>
    <s v="TX"/>
    <s v="India"/>
  </r>
  <r>
    <s v="ORD0000205"/>
    <x v="198"/>
    <s v="CUST029448"/>
    <s v="Karan Kumar"/>
    <x v="21"/>
    <x v="4"/>
    <s v="FitLife"/>
    <n v="2"/>
    <n v="303.77"/>
    <n v="0.25"/>
    <n v="22.78"/>
    <n v="11.47"/>
    <n v="489.9"/>
    <s v="UPI"/>
    <s v="Delivered"/>
    <s v="Columbus"/>
    <s v="OH"/>
    <s v="Australia"/>
  </r>
  <r>
    <s v="ORD0000206"/>
    <x v="150"/>
    <s v="CUST025313"/>
    <s v="Pooja Singh"/>
    <x v="41"/>
    <x v="5"/>
    <s v="NexPro"/>
    <n v="4"/>
    <n v="312.36"/>
    <n v="0.1"/>
    <n v="0"/>
    <n v="2.52"/>
    <n v="1127.02"/>
    <s v="Credit Card"/>
    <s v="Delivered"/>
    <s v="Columbus"/>
    <s v="OH"/>
    <s v="United States"/>
  </r>
  <r>
    <s v="ORD0000207"/>
    <x v="199"/>
    <s v="CUST029438"/>
    <s v="Vihaan Mehta"/>
    <x v="10"/>
    <x v="0"/>
    <s v="Zenith"/>
    <n v="3"/>
    <n v="59.09"/>
    <n v="0.15"/>
    <n v="0"/>
    <n v="14.12"/>
    <n v="164.8"/>
    <s v="Net Banking"/>
    <s v="Delivered"/>
    <s v="Chicago"/>
    <s v="IL"/>
    <s v="India"/>
  </r>
  <r>
    <s v="ORD0000208"/>
    <x v="200"/>
    <s v="CUST001181"/>
    <s v="Vivaan Joshi"/>
    <x v="28"/>
    <x v="0"/>
    <s v="ReadMore"/>
    <n v="1"/>
    <n v="266.91000000000003"/>
    <n v="0.05"/>
    <n v="20.29"/>
    <n v="7.33"/>
    <n v="281.18"/>
    <s v="Amazon Pay"/>
    <s v="Delivered"/>
    <s v="Phoenix"/>
    <s v="AZ"/>
    <s v="India"/>
  </r>
  <r>
    <s v="ORD0000209"/>
    <x v="201"/>
    <s v="CUST017264"/>
    <s v="Sneha Kumar"/>
    <x v="8"/>
    <x v="5"/>
    <s v="KiddoFun"/>
    <n v="3"/>
    <n v="568.01"/>
    <n v="0"/>
    <n v="0"/>
    <n v="12.94"/>
    <n v="1716.97"/>
    <s v="Credit Card"/>
    <s v="Delivered"/>
    <s v="San Jose"/>
    <s v="CA"/>
    <s v="United Kingdom"/>
  </r>
  <r>
    <s v="ORD0000210"/>
    <x v="141"/>
    <s v="CUST039608"/>
    <s v="Simran Patel"/>
    <x v="32"/>
    <x v="0"/>
    <s v="UrbanStyle"/>
    <n v="2"/>
    <n v="454.72"/>
    <n v="0.05"/>
    <n v="69.12"/>
    <n v="0.31"/>
    <n v="933.4"/>
    <s v="Net Banking"/>
    <s v="Shipped"/>
    <s v="Los Angeles"/>
    <s v="CA"/>
    <s v="India"/>
  </r>
  <r>
    <s v="ORD0000211"/>
    <x v="202"/>
    <s v="CUST019237"/>
    <s v="Priya Kumar"/>
    <x v="13"/>
    <x v="0"/>
    <s v="BrightLux"/>
    <n v="3"/>
    <n v="189.12"/>
    <n v="0.2"/>
    <n v="36.31"/>
    <n v="3.6"/>
    <n v="493.8"/>
    <s v="Debit Card"/>
    <s v="Delivered"/>
    <s v="New York"/>
    <s v="NY"/>
    <s v="United Kingdom"/>
  </r>
  <r>
    <s v="ORD0000212"/>
    <x v="93"/>
    <s v="CUST035731"/>
    <s v="Sneha Sharma"/>
    <x v="26"/>
    <x v="1"/>
    <s v="BrightLux"/>
    <n v="5"/>
    <n v="104.68"/>
    <n v="0.15"/>
    <n v="35.590000000000003"/>
    <n v="2.38"/>
    <n v="482.86"/>
    <s v="UPI"/>
    <s v="Delivered"/>
    <s v="Washington"/>
    <s v="DC"/>
    <s v="United States"/>
  </r>
  <r>
    <s v="ORD0000213"/>
    <x v="71"/>
    <s v="CUST012280"/>
    <s v="Rohit Mehta"/>
    <x v="32"/>
    <x v="4"/>
    <s v="BrightLux"/>
    <n v="2"/>
    <n v="116.03"/>
    <n v="0.2"/>
    <n v="14.85"/>
    <n v="5.54"/>
    <n v="206.04"/>
    <s v="Cash on Delivery"/>
    <s v="Delivered"/>
    <s v="Columbus"/>
    <s v="OH"/>
    <s v="India"/>
  </r>
  <r>
    <s v="ORD0000214"/>
    <x v="203"/>
    <s v="CUST003507"/>
    <s v="Anjali Gupta"/>
    <x v="41"/>
    <x v="2"/>
    <s v="Apex"/>
    <n v="3"/>
    <n v="83.31"/>
    <n v="0"/>
    <n v="19.989999999999998"/>
    <n v="3.48"/>
    <n v="273.39999999999998"/>
    <s v="UPI"/>
    <s v="Delivered"/>
    <s v="Fort Worth"/>
    <s v="TX"/>
    <s v="United States"/>
  </r>
  <r>
    <s v="ORD0000215"/>
    <x v="204"/>
    <s v="CUST023893"/>
    <s v="Aditya Gupta"/>
    <x v="49"/>
    <x v="5"/>
    <s v="KiddoFun"/>
    <n v="3"/>
    <n v="556.67999999999995"/>
    <n v="0"/>
    <n v="83.5"/>
    <n v="1.06"/>
    <n v="1754.6"/>
    <s v="Debit Card"/>
    <s v="Delivered"/>
    <s v="Fort Worth"/>
    <s v="TX"/>
    <s v="Canada"/>
  </r>
  <r>
    <s v="ORD0000216"/>
    <x v="205"/>
    <s v="CUST008440"/>
    <s v="Vikas Reddy"/>
    <x v="34"/>
    <x v="1"/>
    <s v="HomeEase"/>
    <n v="3"/>
    <n v="404.76"/>
    <n v="0"/>
    <n v="218.57"/>
    <n v="10.5"/>
    <n v="1443.35"/>
    <s v="Debit Card"/>
    <s v="Delivered"/>
    <s v="Jacksonville"/>
    <s v="FL"/>
    <s v="United States"/>
  </r>
  <r>
    <s v="ORD0000217"/>
    <x v="206"/>
    <s v="CUST019363"/>
    <s v="Sunita Reddy"/>
    <x v="33"/>
    <x v="3"/>
    <s v="FitLife"/>
    <n v="5"/>
    <n v="470.82"/>
    <n v="0.1"/>
    <n v="169.5"/>
    <n v="12.39"/>
    <n v="2300.58"/>
    <s v="Debit Card"/>
    <s v="Delivered"/>
    <s v="Denver"/>
    <s v="CO"/>
    <s v="United States"/>
  </r>
  <r>
    <s v="ORD0000218"/>
    <x v="207"/>
    <s v="CUST034266"/>
    <s v="Anjali Sharma"/>
    <x v="18"/>
    <x v="1"/>
    <s v="Zenith"/>
    <n v="5"/>
    <n v="88.24"/>
    <n v="0"/>
    <n v="35.299999999999997"/>
    <n v="13.44"/>
    <n v="489.94"/>
    <s v="Debit Card"/>
    <s v="Delivered"/>
    <s v="Houston"/>
    <s v="TX"/>
    <s v="India"/>
  </r>
  <r>
    <s v="ORD0000219"/>
    <x v="208"/>
    <s v="CUST026742"/>
    <s v="Vihaan Gupta"/>
    <x v="19"/>
    <x v="1"/>
    <s v="Apex"/>
    <n v="3"/>
    <n v="410.9"/>
    <n v="0"/>
    <n v="98.62"/>
    <n v="0.56999999999999995"/>
    <n v="1331.89"/>
    <s v="Credit Card"/>
    <s v="Delivered"/>
    <s v="San Diego"/>
    <s v="CA"/>
    <s v="India"/>
  </r>
  <r>
    <s v="ORD0000220"/>
    <x v="209"/>
    <s v="CUST020572"/>
    <s v="Mohit Kapoor"/>
    <x v="14"/>
    <x v="2"/>
    <s v="NexPro"/>
    <n v="4"/>
    <n v="485.32"/>
    <n v="0.15"/>
    <n v="132.01"/>
    <n v="8.34"/>
    <n v="1790.44"/>
    <s v="Amazon Pay"/>
    <s v="Delivered"/>
    <s v="Dallas"/>
    <s v="TX"/>
    <s v="United States"/>
  </r>
  <r>
    <s v="ORD0000221"/>
    <x v="47"/>
    <s v="CUST012246"/>
    <s v="Pooja Sharma"/>
    <x v="7"/>
    <x v="2"/>
    <s v="Apex"/>
    <n v="1"/>
    <n v="49.31"/>
    <n v="0"/>
    <n v="2.4700000000000002"/>
    <n v="0.69"/>
    <n v="52.47"/>
    <s v="Debit Card"/>
    <s v="Delivered"/>
    <s v="Charlotte"/>
    <s v="NC"/>
    <s v="United States"/>
  </r>
  <r>
    <s v="ORD0000222"/>
    <x v="210"/>
    <s v="CUST021328"/>
    <s v="Vihaan Kapoor"/>
    <x v="41"/>
    <x v="4"/>
    <s v="CoreTech"/>
    <n v="4"/>
    <n v="389.67"/>
    <n v="0.05"/>
    <n v="118.46"/>
    <n v="3.29"/>
    <n v="1602.5"/>
    <s v="Credit Card"/>
    <s v="Delivered"/>
    <s v="San Diego"/>
    <s v="CA"/>
    <s v="United States"/>
  </r>
  <r>
    <s v="ORD0000223"/>
    <x v="211"/>
    <s v="CUST017932"/>
    <s v="Karan Patel"/>
    <x v="36"/>
    <x v="1"/>
    <s v="FitLife"/>
    <n v="1"/>
    <n v="450.05"/>
    <n v="0"/>
    <n v="22.5"/>
    <n v="1.2"/>
    <n v="473.75"/>
    <s v="Net Banking"/>
    <s v="Shipped"/>
    <s v="Austin"/>
    <s v="TX"/>
    <s v="United States"/>
  </r>
  <r>
    <s v="ORD0000224"/>
    <x v="212"/>
    <s v="CUST030236"/>
    <s v="Anjali Mehta"/>
    <x v="12"/>
    <x v="1"/>
    <s v="ReadMore"/>
    <n v="3"/>
    <n v="137.33000000000001"/>
    <n v="0.1"/>
    <n v="29.66"/>
    <n v="13.56"/>
    <n v="414.01"/>
    <s v="Credit Card"/>
    <s v="Delivered"/>
    <s v="San Antonio"/>
    <s v="TX"/>
    <s v="India"/>
  </r>
  <r>
    <s v="ORD0000225"/>
    <x v="213"/>
    <s v="CUST018375"/>
    <s v="Kabir Reddy"/>
    <x v="42"/>
    <x v="1"/>
    <s v="BrightLux"/>
    <n v="2"/>
    <n v="114.61"/>
    <n v="0"/>
    <n v="18.34"/>
    <n v="0.91"/>
    <n v="248.47"/>
    <s v="Net Banking"/>
    <s v="Delivered"/>
    <s v="Phoenix"/>
    <s v="AZ"/>
    <s v="United States"/>
  </r>
  <r>
    <s v="ORD0000226"/>
    <x v="214"/>
    <s v="CUST031704"/>
    <s v="Vihaan Mehta"/>
    <x v="39"/>
    <x v="5"/>
    <s v="CoreTech"/>
    <n v="5"/>
    <n v="303.23"/>
    <n v="0"/>
    <n v="181.94"/>
    <n v="9.58"/>
    <n v="1707.67"/>
    <s v="Credit Card"/>
    <s v="Delivered"/>
    <s v="San Francisco"/>
    <s v="CA"/>
    <s v="United States"/>
  </r>
  <r>
    <s v="ORD0000227"/>
    <x v="215"/>
    <s v="CUST003147"/>
    <s v="Ritika Kumar"/>
    <x v="5"/>
    <x v="3"/>
    <s v="HomeEase"/>
    <n v="4"/>
    <n v="377.77"/>
    <n v="0.1"/>
    <n v="163.19999999999999"/>
    <n v="11.35"/>
    <n v="1534.52"/>
    <s v="Amazon Pay"/>
    <s v="Delivered"/>
    <s v="Washington"/>
    <s v="DC"/>
    <s v="United States"/>
  </r>
  <r>
    <s v="ORD0000228"/>
    <x v="216"/>
    <s v="CUST014415"/>
    <s v="Pooja Sharma"/>
    <x v="48"/>
    <x v="5"/>
    <s v="BrightLux"/>
    <n v="5"/>
    <n v="165.72"/>
    <n v="0.05"/>
    <n v="62.97"/>
    <n v="4.46"/>
    <n v="854.6"/>
    <s v="Credit Card"/>
    <s v="Delivered"/>
    <s v="Chicago"/>
    <s v="IL"/>
    <s v="India"/>
  </r>
  <r>
    <s v="ORD0000229"/>
    <x v="217"/>
    <s v="CUST001747"/>
    <s v="Karan Sharma"/>
    <x v="42"/>
    <x v="5"/>
    <s v="Apex"/>
    <n v="5"/>
    <n v="404.33"/>
    <n v="0"/>
    <n v="161.72999999999999"/>
    <n v="4.75"/>
    <n v="2188.13"/>
    <s v="Credit Card"/>
    <s v="Shipped"/>
    <s v="Denver"/>
    <s v="CO"/>
    <s v="United Kingdom"/>
  </r>
  <r>
    <s v="ORD0000230"/>
    <x v="218"/>
    <s v="CUST031415"/>
    <s v="Aman Reddy"/>
    <x v="16"/>
    <x v="3"/>
    <s v="UrbanStyle"/>
    <n v="5"/>
    <n v="493.81"/>
    <n v="0.3"/>
    <n v="138.27000000000001"/>
    <n v="14.7"/>
    <n v="1881.3"/>
    <s v="Amazon Pay"/>
    <s v="Pending"/>
    <s v="Denver"/>
    <s v="CO"/>
    <s v="United States"/>
  </r>
  <r>
    <s v="ORD0000231"/>
    <x v="219"/>
    <s v="CUST048207"/>
    <s v="Rohit Patel"/>
    <x v="17"/>
    <x v="1"/>
    <s v="CoreTech"/>
    <n v="1"/>
    <n v="590.16999999999996"/>
    <n v="0.15"/>
    <n v="25.08"/>
    <n v="3.79"/>
    <n v="530.51"/>
    <s v="Credit Card"/>
    <s v="Shipped"/>
    <s v="Denver"/>
    <s v="CO"/>
    <s v="United States"/>
  </r>
  <r>
    <s v="ORD0000232"/>
    <x v="220"/>
    <s v="CUST019145"/>
    <s v="Karan Verma"/>
    <x v="39"/>
    <x v="3"/>
    <s v="FitLife"/>
    <n v="2"/>
    <n v="426.66"/>
    <n v="0.15"/>
    <n v="87.04"/>
    <n v="11.68"/>
    <n v="824.04"/>
    <s v="Amazon Pay"/>
    <s v="Delivered"/>
    <s v="Jacksonville"/>
    <s v="FL"/>
    <s v="United States"/>
  </r>
  <r>
    <s v="ORD0000233"/>
    <x v="221"/>
    <s v="CUST028877"/>
    <s v="Anjali Kapoor"/>
    <x v="33"/>
    <x v="1"/>
    <s v="UrbanStyle"/>
    <n v="3"/>
    <n v="512.13"/>
    <n v="0"/>
    <n v="122.91"/>
    <n v="14.93"/>
    <n v="1674.23"/>
    <s v="Net Banking"/>
    <s v="Delivered"/>
    <s v="Chicago"/>
    <s v="IL"/>
    <s v="United States"/>
  </r>
  <r>
    <s v="ORD0000234"/>
    <x v="222"/>
    <s v="CUST006962"/>
    <s v="Anjali Verma"/>
    <x v="30"/>
    <x v="3"/>
    <s v="FitLife"/>
    <n v="4"/>
    <n v="139.59"/>
    <n v="0.05"/>
    <n v="26.52"/>
    <n v="0.4"/>
    <n v="557.36"/>
    <s v="Debit Card"/>
    <s v="Shipped"/>
    <s v="Fort Worth"/>
    <s v="TX"/>
    <s v="United States"/>
  </r>
  <r>
    <s v="ORD0000235"/>
    <x v="223"/>
    <s v="CUST037405"/>
    <s v="Priya Reddy"/>
    <x v="44"/>
    <x v="2"/>
    <s v="Zenith"/>
    <n v="2"/>
    <n v="130.46"/>
    <n v="0.1"/>
    <n v="18.79"/>
    <n v="0.38"/>
    <n v="254"/>
    <s v="Debit Card"/>
    <s v="Delivered"/>
    <s v="Denver"/>
    <s v="CO"/>
    <s v="United States"/>
  </r>
  <r>
    <s v="ORD0000236"/>
    <x v="224"/>
    <s v="CUST025402"/>
    <s v="Priya Mehta"/>
    <x v="6"/>
    <x v="5"/>
    <s v="Apex"/>
    <n v="5"/>
    <n v="574.24"/>
    <n v="0"/>
    <n v="143.56"/>
    <n v="13.09"/>
    <n v="3027.85"/>
    <s v="Credit Card"/>
    <s v="Shipped"/>
    <s v="Chicago"/>
    <s v="IL"/>
    <s v="United States"/>
  </r>
  <r>
    <s v="ORD0000237"/>
    <x v="225"/>
    <s v="CUST029978"/>
    <s v="Anjali Mehta"/>
    <x v="25"/>
    <x v="2"/>
    <s v="KiddoFun"/>
    <n v="1"/>
    <n v="432.72"/>
    <n v="0.2"/>
    <n v="62.31"/>
    <n v="14.85"/>
    <n v="423.34"/>
    <s v="Cash on Delivery"/>
    <s v="Delivered"/>
    <s v="Los Angeles"/>
    <s v="CA"/>
    <s v="India"/>
  </r>
  <r>
    <s v="ORD0000238"/>
    <x v="210"/>
    <s v="CUST049175"/>
    <s v="Priya Reddy"/>
    <x v="19"/>
    <x v="5"/>
    <s v="CoreTech"/>
    <n v="5"/>
    <n v="73.55"/>
    <n v="0.15"/>
    <n v="0"/>
    <n v="9.0299999999999994"/>
    <n v="321.62"/>
    <s v="Debit Card"/>
    <s v="Delivered"/>
    <s v="Indianapolis"/>
    <s v="IN"/>
    <s v="United States"/>
  </r>
  <r>
    <s v="ORD0000239"/>
    <x v="226"/>
    <s v="CUST028805"/>
    <s v="Arjun Kumar"/>
    <x v="28"/>
    <x v="5"/>
    <s v="KiddoFun"/>
    <n v="1"/>
    <n v="257.51"/>
    <n v="0.1"/>
    <n v="41.72"/>
    <n v="5.25"/>
    <n v="278.73"/>
    <s v="Credit Card"/>
    <s v="Delivered"/>
    <s v="Los Angeles"/>
    <s v="CA"/>
    <s v="United States"/>
  </r>
  <r>
    <s v="ORD0000240"/>
    <x v="154"/>
    <s v="CUST024635"/>
    <s v="Karan Mehta"/>
    <x v="31"/>
    <x v="2"/>
    <s v="FitLife"/>
    <n v="5"/>
    <n v="338.76"/>
    <n v="0.05"/>
    <n v="193.09"/>
    <n v="12.46"/>
    <n v="1814.66"/>
    <s v="UPI"/>
    <s v="Delivered"/>
    <s v="Fort Worth"/>
    <s v="TX"/>
    <s v="India"/>
  </r>
  <r>
    <s v="ORD0000241"/>
    <x v="227"/>
    <s v="CUST034448"/>
    <s v="Mohit Kapoor"/>
    <x v="13"/>
    <x v="5"/>
    <s v="CoreTech"/>
    <n v="2"/>
    <n v="139.97"/>
    <n v="0"/>
    <n v="22.4"/>
    <n v="14.9"/>
    <n v="317.24"/>
    <s v="UPI"/>
    <s v="Delivered"/>
    <s v="New York"/>
    <s v="NY"/>
    <s v="Australia"/>
  </r>
  <r>
    <s v="ORD0000242"/>
    <x v="228"/>
    <s v="CUST040551"/>
    <s v="Ritika Gupta"/>
    <x v="7"/>
    <x v="5"/>
    <s v="KiddoFun"/>
    <n v="4"/>
    <n v="202.98"/>
    <n v="0.1"/>
    <n v="58.46"/>
    <n v="0.09"/>
    <n v="789.28"/>
    <s v="Cash on Delivery"/>
    <s v="Delivered"/>
    <s v="Seattle"/>
    <s v="WA"/>
    <s v="Canada"/>
  </r>
  <r>
    <s v="ORD0000243"/>
    <x v="229"/>
    <s v="CUST034398"/>
    <s v="Sunita Reddy"/>
    <x v="1"/>
    <x v="1"/>
    <s v="KiddoFun"/>
    <n v="4"/>
    <n v="319.11"/>
    <n v="0"/>
    <n v="63.82"/>
    <n v="4.1500000000000004"/>
    <n v="1344.41"/>
    <s v="Cash on Delivery"/>
    <s v="Delivered"/>
    <s v="San Antonio"/>
    <s v="TX"/>
    <s v="United States"/>
  </r>
  <r>
    <s v="ORD0000244"/>
    <x v="230"/>
    <s v="CUST042901"/>
    <s v="Aarav Gupta"/>
    <x v="0"/>
    <x v="1"/>
    <s v="Zenith"/>
    <n v="1"/>
    <n v="370.47"/>
    <n v="0.15"/>
    <n v="37.79"/>
    <n v="0.89"/>
    <n v="353.58"/>
    <s v="Amazon Pay"/>
    <s v="Delivered"/>
    <s v="Columbus"/>
    <s v="OH"/>
    <s v="United States"/>
  </r>
  <r>
    <s v="ORD0000245"/>
    <x v="126"/>
    <s v="CUST029445"/>
    <s v="Priya Kumar"/>
    <x v="37"/>
    <x v="2"/>
    <s v="BrightLux"/>
    <n v="5"/>
    <n v="45.49"/>
    <n v="0.2"/>
    <n v="32.75"/>
    <n v="0.02"/>
    <n v="214.73"/>
    <s v="Debit Card"/>
    <s v="Delivered"/>
    <s v="Seattle"/>
    <s v="WA"/>
    <s v="India"/>
  </r>
  <r>
    <s v="ORD0000246"/>
    <x v="231"/>
    <s v="CUST039354"/>
    <s v="Karan Kapoor"/>
    <x v="0"/>
    <x v="2"/>
    <s v="Apex"/>
    <n v="3"/>
    <n v="116.12"/>
    <n v="0"/>
    <n v="62.7"/>
    <n v="5.45"/>
    <n v="416.51"/>
    <s v="Credit Card"/>
    <s v="Delivered"/>
    <s v="Seattle"/>
    <s v="WA"/>
    <s v="India"/>
  </r>
  <r>
    <s v="ORD0000247"/>
    <x v="232"/>
    <s v="CUST047386"/>
    <s v="Kabir Patel"/>
    <x v="46"/>
    <x v="5"/>
    <s v="BrightLux"/>
    <n v="3"/>
    <n v="297.86"/>
    <n v="0.2"/>
    <n v="85.78"/>
    <n v="7.14"/>
    <n v="807.78"/>
    <s v="Credit Card"/>
    <s v="Shipped"/>
    <s v="Phoenix"/>
    <s v="AZ"/>
    <s v="United States"/>
  </r>
  <r>
    <s v="ORD0000248"/>
    <x v="233"/>
    <s v="CUST014192"/>
    <s v="Simran Joshi"/>
    <x v="0"/>
    <x v="3"/>
    <s v="FitLife"/>
    <n v="5"/>
    <n v="89.26"/>
    <n v="0"/>
    <n v="35.700000000000003"/>
    <n v="2.92"/>
    <n v="484.92"/>
    <s v="Debit Card"/>
    <s v="Delivered"/>
    <s v="San Francisco"/>
    <s v="CA"/>
    <s v="United States"/>
  </r>
  <r>
    <s v="ORD0000249"/>
    <x v="234"/>
    <s v="CUST027774"/>
    <s v="Simran Kumar"/>
    <x v="38"/>
    <x v="5"/>
    <s v="FitLife"/>
    <n v="4"/>
    <n v="73.540000000000006"/>
    <n v="0.2"/>
    <n v="18.829999999999998"/>
    <n v="11.23"/>
    <n v="265.39"/>
    <s v="Debit Card"/>
    <s v="Delivered"/>
    <s v="Charlotte"/>
    <s v="NC"/>
    <s v="United States"/>
  </r>
  <r>
    <s v="ORD0000250"/>
    <x v="235"/>
    <s v="CUST045022"/>
    <s v="Aman Joshi"/>
    <x v="21"/>
    <x v="1"/>
    <s v="CoreTech"/>
    <n v="4"/>
    <n v="214.42"/>
    <n v="0"/>
    <n v="102.92"/>
    <n v="9.31"/>
    <n v="969.91"/>
    <s v="Credit Card"/>
    <s v="Delivered"/>
    <s v="Philadelphia"/>
    <s v="PA"/>
    <s v="United States"/>
  </r>
  <r>
    <s v="ORD0000251"/>
    <x v="179"/>
    <s v="CUST015291"/>
    <s v="Mohit Verma"/>
    <x v="15"/>
    <x v="1"/>
    <s v="CoreTech"/>
    <n v="4"/>
    <n v="234.78"/>
    <n v="0.1"/>
    <n v="101.42"/>
    <n v="0.79"/>
    <n v="947.42"/>
    <s v="Credit Card"/>
    <s v="Delivered"/>
    <s v="Chicago"/>
    <s v="IL"/>
    <s v="United States"/>
  </r>
  <r>
    <s v="ORD0000252"/>
    <x v="236"/>
    <s v="CUST019542"/>
    <s v="Priya Reddy"/>
    <x v="0"/>
    <x v="2"/>
    <s v="Apex"/>
    <n v="5"/>
    <n v="274.55"/>
    <n v="0.3"/>
    <n v="48.05"/>
    <n v="5.27"/>
    <n v="1014.24"/>
    <s v="Debit Card"/>
    <s v="Pending"/>
    <s v="Washington"/>
    <s v="DC"/>
    <s v="United States"/>
  </r>
  <r>
    <s v="ORD0000253"/>
    <x v="237"/>
    <s v="CUST005818"/>
    <s v="Kabir Patel"/>
    <x v="49"/>
    <x v="5"/>
    <s v="Apex"/>
    <n v="5"/>
    <n v="187.41"/>
    <n v="0.25"/>
    <n v="35.14"/>
    <n v="13.38"/>
    <n v="751.31"/>
    <s v="Net Banking"/>
    <s v="Shipped"/>
    <s v="Austin"/>
    <s v="TX"/>
    <s v="Canada"/>
  </r>
  <r>
    <s v="ORD0000254"/>
    <x v="238"/>
    <s v="CUST017005"/>
    <s v="Aditya Kumar"/>
    <x v="8"/>
    <x v="0"/>
    <s v="BrightLux"/>
    <n v="4"/>
    <n v="230.36"/>
    <n v="0.15"/>
    <n v="39.159999999999997"/>
    <n v="2"/>
    <n v="824.38"/>
    <s v="Amazon Pay"/>
    <s v="Delivered"/>
    <s v="Chicago"/>
    <s v="IL"/>
    <s v="India"/>
  </r>
  <r>
    <s v="ORD0000255"/>
    <x v="239"/>
    <s v="CUST004652"/>
    <s v="Priya Kumar"/>
    <x v="7"/>
    <x v="5"/>
    <s v="ReadMore"/>
    <n v="5"/>
    <n v="259.57"/>
    <n v="0.05"/>
    <n v="0"/>
    <n v="7.79"/>
    <n v="1240.75"/>
    <s v="UPI"/>
    <s v="Pending"/>
    <s v="Dallas"/>
    <s v="TX"/>
    <s v="United States"/>
  </r>
  <r>
    <s v="ORD0000256"/>
    <x v="233"/>
    <s v="CUST000716"/>
    <s v="Rohit Singh"/>
    <x v="14"/>
    <x v="5"/>
    <s v="Zenith"/>
    <n v="4"/>
    <n v="428.27"/>
    <n v="0.25"/>
    <n v="154.18"/>
    <n v="12.7"/>
    <n v="1451.69"/>
    <s v="Cash on Delivery"/>
    <s v="Delivered"/>
    <s v="Washington"/>
    <s v="DC"/>
    <s v="India"/>
  </r>
  <r>
    <s v="ORD0000257"/>
    <x v="240"/>
    <s v="CUST008298"/>
    <s v="Aarav Sharma"/>
    <x v="38"/>
    <x v="0"/>
    <s v="CoreTech"/>
    <n v="5"/>
    <n v="428.5"/>
    <n v="0"/>
    <n v="171.4"/>
    <n v="0.81"/>
    <n v="2314.71"/>
    <s v="Amazon Pay"/>
    <s v="Delivered"/>
    <s v="Charlotte"/>
    <s v="NC"/>
    <s v="United States"/>
  </r>
  <r>
    <s v="ORD0000258"/>
    <x v="241"/>
    <s v="CUST047323"/>
    <s v="Sneha Joshi"/>
    <x v="5"/>
    <x v="2"/>
    <s v="Zenith"/>
    <n v="5"/>
    <n v="101.42"/>
    <n v="0"/>
    <n v="60.85"/>
    <n v="0.03"/>
    <n v="567.98"/>
    <s v="Debit Card"/>
    <s v="Delivered"/>
    <s v="San Jose"/>
    <s v="CA"/>
    <s v="India"/>
  </r>
  <r>
    <s v="ORD0000259"/>
    <x v="242"/>
    <s v="CUST024173"/>
    <s v="Kabir Verma"/>
    <x v="10"/>
    <x v="4"/>
    <s v="UrbanStyle"/>
    <n v="2"/>
    <n v="177.35"/>
    <n v="0.05"/>
    <n v="26.96"/>
    <n v="14.57"/>
    <n v="378.49"/>
    <s v="Debit Card"/>
    <s v="Delivered"/>
    <s v="San Francisco"/>
    <s v="CA"/>
    <s v="United States"/>
  </r>
  <r>
    <s v="ORD0000260"/>
    <x v="80"/>
    <s v="CUST039468"/>
    <s v="Simran Mehta"/>
    <x v="49"/>
    <x v="4"/>
    <s v="Apex"/>
    <n v="5"/>
    <n v="276.27"/>
    <n v="0"/>
    <n v="110.51"/>
    <n v="9.92"/>
    <n v="1501.78"/>
    <s v="Net Banking"/>
    <s v="Delivered"/>
    <s v="Phoenix"/>
    <s v="AZ"/>
    <s v="United States"/>
  </r>
  <r>
    <s v="ORD0000261"/>
    <x v="243"/>
    <s v="CUST017113"/>
    <s v="Ritika Kumar"/>
    <x v="24"/>
    <x v="5"/>
    <s v="CoreTech"/>
    <n v="2"/>
    <n v="220.49"/>
    <n v="0.25"/>
    <n v="39.69"/>
    <n v="11.42"/>
    <n v="381.84"/>
    <s v="Debit Card"/>
    <s v="Delivered"/>
    <s v="Houston"/>
    <s v="TX"/>
    <s v="United States"/>
  </r>
  <r>
    <s v="ORD0000262"/>
    <x v="244"/>
    <s v="CUST012593"/>
    <s v="Sunita Joshi"/>
    <x v="27"/>
    <x v="0"/>
    <s v="NexPro"/>
    <n v="5"/>
    <n v="55.8"/>
    <n v="0.15"/>
    <n v="11.86"/>
    <n v="1.6"/>
    <n v="250.61"/>
    <s v="Credit Card"/>
    <s v="Delivered"/>
    <s v="Philadelphia"/>
    <s v="PA"/>
    <s v="United States"/>
  </r>
  <r>
    <s v="ORD0000263"/>
    <x v="245"/>
    <s v="CUST043099"/>
    <s v="Sunita Kumar"/>
    <x v="29"/>
    <x v="1"/>
    <s v="Zenith"/>
    <n v="3"/>
    <n v="520.47"/>
    <n v="0.05"/>
    <n v="267"/>
    <n v="0.93"/>
    <n v="1751.27"/>
    <s v="Debit Card"/>
    <s v="Delivered"/>
    <s v="Phoenix"/>
    <s v="AZ"/>
    <s v="India"/>
  </r>
  <r>
    <s v="ORD0000264"/>
    <x v="246"/>
    <s v="CUST002544"/>
    <s v="Arjun Sharma"/>
    <x v="31"/>
    <x v="1"/>
    <s v="Zenith"/>
    <n v="5"/>
    <n v="567.72"/>
    <n v="0.05"/>
    <n v="323.60000000000002"/>
    <n v="10.53"/>
    <n v="3030.8"/>
    <s v="Credit Card"/>
    <s v="Delivered"/>
    <s v="Fort Worth"/>
    <s v="TX"/>
    <s v="United States"/>
  </r>
  <r>
    <s v="ORD0000265"/>
    <x v="247"/>
    <s v="CUST003153"/>
    <s v="Vihaan Mehta"/>
    <x v="3"/>
    <x v="3"/>
    <s v="Zenith"/>
    <n v="3"/>
    <n v="451.53"/>
    <n v="0.1"/>
    <n v="146.30000000000001"/>
    <n v="14.32"/>
    <n v="1379.75"/>
    <s v="Amazon Pay"/>
    <s v="Delivered"/>
    <s v="Columbus"/>
    <s v="OH"/>
    <s v="United States"/>
  </r>
  <r>
    <s v="ORD0000266"/>
    <x v="248"/>
    <s v="CUST049849"/>
    <s v="Sneha Singh"/>
    <x v="21"/>
    <x v="5"/>
    <s v="BrightLux"/>
    <n v="5"/>
    <n v="594.86"/>
    <n v="0"/>
    <n v="237.94"/>
    <n v="2.37"/>
    <n v="3214.61"/>
    <s v="Debit Card"/>
    <s v="Delivered"/>
    <s v="Seattle"/>
    <s v="WA"/>
    <s v="United States"/>
  </r>
  <r>
    <s v="ORD0000267"/>
    <x v="249"/>
    <s v="CUST020614"/>
    <s v="Aman Joshi"/>
    <x v="17"/>
    <x v="3"/>
    <s v="Apex"/>
    <n v="2"/>
    <n v="349.96"/>
    <n v="0"/>
    <n v="35"/>
    <n v="6.25"/>
    <n v="741.17"/>
    <s v="Cash on Delivery"/>
    <s v="Delivered"/>
    <s v="Jacksonville"/>
    <s v="FL"/>
    <s v="United States"/>
  </r>
  <r>
    <s v="ORD0000268"/>
    <x v="250"/>
    <s v="CUST008599"/>
    <s v="Vivaan Reddy"/>
    <x v="12"/>
    <x v="1"/>
    <s v="Zenith"/>
    <n v="5"/>
    <n v="492.27"/>
    <n v="0.1"/>
    <n v="110.76"/>
    <n v="7.62"/>
    <n v="2333.6"/>
    <s v="UPI"/>
    <s v="Delivered"/>
    <s v="San Antonio"/>
    <s v="TX"/>
    <s v="Australia"/>
  </r>
  <r>
    <s v="ORD0000269"/>
    <x v="210"/>
    <s v="CUST031058"/>
    <s v="Sneha Verma"/>
    <x v="15"/>
    <x v="4"/>
    <s v="Apex"/>
    <n v="1"/>
    <n v="94.16"/>
    <n v="0.05"/>
    <n v="7.16"/>
    <n v="0.9"/>
    <n v="97.51"/>
    <s v="Credit Card"/>
    <s v="Delivered"/>
    <s v="Jacksonville"/>
    <s v="FL"/>
    <s v="United States"/>
  </r>
  <r>
    <s v="ORD0000270"/>
    <x v="251"/>
    <s v="CUST032555"/>
    <s v="Simran Singh"/>
    <x v="13"/>
    <x v="0"/>
    <s v="FitLife"/>
    <n v="1"/>
    <n v="348.88"/>
    <n v="0.1"/>
    <n v="37.68"/>
    <n v="5.52"/>
    <n v="357.19"/>
    <s v="Credit Card"/>
    <s v="Delivered"/>
    <s v="Houston"/>
    <s v="TX"/>
    <s v="United States"/>
  </r>
  <r>
    <s v="ORD0000271"/>
    <x v="252"/>
    <s v="CUST023550"/>
    <s v="Simran Reddy"/>
    <x v="26"/>
    <x v="4"/>
    <s v="UrbanStyle"/>
    <n v="1"/>
    <n v="85.61"/>
    <n v="0"/>
    <n v="6.85"/>
    <n v="10.64"/>
    <n v="103.1"/>
    <s v="UPI"/>
    <s v="Delivered"/>
    <s v="Seattle"/>
    <s v="WA"/>
    <s v="United States"/>
  </r>
  <r>
    <s v="ORD0000272"/>
    <x v="253"/>
    <s v="CUST042540"/>
    <s v="Sahil Kapoor"/>
    <x v="17"/>
    <x v="1"/>
    <s v="CoreTech"/>
    <n v="3"/>
    <n v="476.94"/>
    <n v="0.15"/>
    <n v="60.81"/>
    <n v="5.78"/>
    <n v="1282.79"/>
    <s v="UPI"/>
    <s v="Shipped"/>
    <s v="Columbus"/>
    <s v="OH"/>
    <s v="India"/>
  </r>
  <r>
    <s v="ORD0000273"/>
    <x v="254"/>
    <s v="CUST044529"/>
    <s v="Anjali Joshi"/>
    <x v="40"/>
    <x v="2"/>
    <s v="CoreTech"/>
    <n v="3"/>
    <n v="85.54"/>
    <n v="0"/>
    <n v="12.83"/>
    <n v="13.79"/>
    <n v="283.24"/>
    <s v="Cash on Delivery"/>
    <s v="Delivered"/>
    <s v="Philadelphia"/>
    <s v="PA"/>
    <s v="United States"/>
  </r>
  <r>
    <s v="ORD0000274"/>
    <x v="111"/>
    <s v="CUST037954"/>
    <s v="Kabir Reddy"/>
    <x v="40"/>
    <x v="1"/>
    <s v="UrbanStyle"/>
    <n v="4"/>
    <n v="312.92"/>
    <n v="0.15"/>
    <n v="127.67"/>
    <n v="6.21"/>
    <n v="1197.81"/>
    <s v="Credit Card"/>
    <s v="Delivered"/>
    <s v="Washington"/>
    <s v="DC"/>
    <s v="India"/>
  </r>
  <r>
    <s v="ORD0000275"/>
    <x v="255"/>
    <s v="CUST035117"/>
    <s v="Karan Reddy"/>
    <x v="32"/>
    <x v="5"/>
    <s v="FitLife"/>
    <n v="2"/>
    <n v="493.21"/>
    <n v="0.1"/>
    <n v="44.39"/>
    <n v="14.27"/>
    <n v="946.44"/>
    <s v="Net Banking"/>
    <s v="Delivered"/>
    <s v="Los Angeles"/>
    <s v="CA"/>
    <s v="United States"/>
  </r>
  <r>
    <s v="ORD0000276"/>
    <x v="92"/>
    <s v="CUST046611"/>
    <s v="Simran Singh"/>
    <x v="6"/>
    <x v="3"/>
    <s v="BrightLux"/>
    <n v="5"/>
    <n v="486.32"/>
    <n v="0"/>
    <n v="121.58"/>
    <n v="10.96"/>
    <n v="2564.14"/>
    <s v="Debit Card"/>
    <s v="Delivered"/>
    <s v="Phoenix"/>
    <s v="AZ"/>
    <s v="United States"/>
  </r>
  <r>
    <s v="ORD0000277"/>
    <x v="229"/>
    <s v="CUST044280"/>
    <s v="Neha Joshi"/>
    <x v="39"/>
    <x v="5"/>
    <s v="BrightLux"/>
    <n v="1"/>
    <n v="232.43"/>
    <n v="0.15"/>
    <n v="9.8800000000000008"/>
    <n v="10.44"/>
    <n v="217.89"/>
    <s v="Credit Card"/>
    <s v="Delivered"/>
    <s v="Columbus"/>
    <s v="OH"/>
    <s v="United States"/>
  </r>
  <r>
    <s v="ORD0000278"/>
    <x v="256"/>
    <s v="CUST033284"/>
    <s v="Pooja Kumar"/>
    <x v="36"/>
    <x v="4"/>
    <s v="HomeEase"/>
    <n v="3"/>
    <n v="171.64"/>
    <n v="0"/>
    <n v="41.19"/>
    <n v="1.74"/>
    <n v="557.85"/>
    <s v="Debit Card"/>
    <s v="Delivered"/>
    <s v="Philadelphia"/>
    <s v="PA"/>
    <s v="United States"/>
  </r>
  <r>
    <s v="ORD0000279"/>
    <x v="257"/>
    <s v="CUST036194"/>
    <s v="Pooja Reddy"/>
    <x v="7"/>
    <x v="5"/>
    <s v="ReadMore"/>
    <n v="5"/>
    <n v="436.76"/>
    <n v="0"/>
    <n v="174.7"/>
    <n v="4.1100000000000003"/>
    <n v="2362.61"/>
    <s v="Cash on Delivery"/>
    <s v="Delivered"/>
    <s v="Dallas"/>
    <s v="TX"/>
    <s v="India"/>
  </r>
  <r>
    <s v="ORD0000280"/>
    <x v="258"/>
    <s v="CUST023648"/>
    <s v="Neha Kumar"/>
    <x v="2"/>
    <x v="0"/>
    <s v="HomeEase"/>
    <n v="5"/>
    <n v="152.56"/>
    <n v="0"/>
    <n v="61.02"/>
    <n v="10.29"/>
    <n v="834.11"/>
    <s v="Credit Card"/>
    <s v="Shipped"/>
    <s v="Fort Worth"/>
    <s v="TX"/>
    <s v="Canada"/>
  </r>
  <r>
    <s v="ORD0000281"/>
    <x v="259"/>
    <s v="CUST001746"/>
    <s v="Pooja Joshi"/>
    <x v="29"/>
    <x v="0"/>
    <s v="NexPro"/>
    <n v="2"/>
    <n v="217.88"/>
    <n v="0.25"/>
    <n v="26.15"/>
    <n v="3.94"/>
    <n v="356.91"/>
    <s v="Net Banking"/>
    <s v="Delivered"/>
    <s v="San Francisco"/>
    <s v="CA"/>
    <s v="India"/>
  </r>
  <r>
    <s v="ORD0000282"/>
    <x v="260"/>
    <s v="CUST034953"/>
    <s v="Aditya Gupta"/>
    <x v="27"/>
    <x v="4"/>
    <s v="KiddoFun"/>
    <n v="3"/>
    <n v="349.83"/>
    <n v="0"/>
    <n v="52.47"/>
    <n v="9.06"/>
    <n v="1111.02"/>
    <s v="Amazon Pay"/>
    <s v="Delivered"/>
    <s v="Indianapolis"/>
    <s v="IN"/>
    <s v="India"/>
  </r>
  <r>
    <s v="ORD0000283"/>
    <x v="261"/>
    <s v="CUST036197"/>
    <s v="Sneha Gupta"/>
    <x v="39"/>
    <x v="4"/>
    <s v="HomeEase"/>
    <n v="1"/>
    <n v="25.8"/>
    <n v="0.15"/>
    <n v="1.75"/>
    <n v="2.16"/>
    <n v="25.84"/>
    <s v="UPI"/>
    <s v="Shipped"/>
    <s v="Chicago"/>
    <s v="IL"/>
    <s v="United Kingdom"/>
  </r>
  <r>
    <s v="ORD0000284"/>
    <x v="262"/>
    <s v="CUST001072"/>
    <s v="Anjali Patel"/>
    <x v="7"/>
    <x v="3"/>
    <s v="FitLife"/>
    <n v="4"/>
    <n v="235.08"/>
    <n v="0.05"/>
    <n v="71.459999999999994"/>
    <n v="13.48"/>
    <n v="978.24"/>
    <s v="Amazon Pay"/>
    <s v="Delivered"/>
    <s v="San Jose"/>
    <s v="CA"/>
    <s v="United States"/>
  </r>
  <r>
    <s v="ORD0000285"/>
    <x v="263"/>
    <s v="CUST001188"/>
    <s v="Sahil Verma"/>
    <x v="32"/>
    <x v="3"/>
    <s v="ReadMore"/>
    <n v="1"/>
    <n v="485.49"/>
    <n v="0"/>
    <n v="58.26"/>
    <n v="13.38"/>
    <n v="557.13"/>
    <s v="Credit Card"/>
    <s v="Delivered"/>
    <s v="San Diego"/>
    <s v="CA"/>
    <s v="Canada"/>
  </r>
  <r>
    <s v="ORD0000286"/>
    <x v="264"/>
    <s v="CUST016884"/>
    <s v="Arjun Singh"/>
    <x v="47"/>
    <x v="0"/>
    <s v="Zenith"/>
    <n v="5"/>
    <n v="126.21"/>
    <n v="0.2"/>
    <n v="40.39"/>
    <n v="11.32"/>
    <n v="556.54999999999995"/>
    <s v="Credit Card"/>
    <s v="Delivered"/>
    <s v="Chicago"/>
    <s v="IL"/>
    <s v="United States"/>
  </r>
  <r>
    <s v="ORD0000287"/>
    <x v="164"/>
    <s v="CUST043203"/>
    <s v="Sneha Mehta"/>
    <x v="9"/>
    <x v="3"/>
    <s v="UrbanStyle"/>
    <n v="3"/>
    <n v="436.44"/>
    <n v="0.1"/>
    <n v="94.27"/>
    <n v="14.18"/>
    <n v="1286.8399999999999"/>
    <s v="Cash on Delivery"/>
    <s v="Delivered"/>
    <s v="Washington"/>
    <s v="DC"/>
    <s v="United States"/>
  </r>
  <r>
    <s v="ORD0000288"/>
    <x v="265"/>
    <s v="CUST012562"/>
    <s v="Arjun Kumar"/>
    <x v="40"/>
    <x v="3"/>
    <s v="KiddoFun"/>
    <n v="1"/>
    <n v="465.84"/>
    <n v="0.05"/>
    <n v="22.13"/>
    <n v="2.2599999999999998"/>
    <n v="466.94"/>
    <s v="Debit Card"/>
    <s v="Delivered"/>
    <s v="Dallas"/>
    <s v="TX"/>
    <s v="United States"/>
  </r>
  <r>
    <s v="ORD0000289"/>
    <x v="266"/>
    <s v="CUST030504"/>
    <s v="Aditya Mehta"/>
    <x v="13"/>
    <x v="0"/>
    <s v="Apex"/>
    <n v="4"/>
    <n v="41.51"/>
    <n v="0"/>
    <n v="19.920000000000002"/>
    <n v="5.9"/>
    <n v="191.86"/>
    <s v="UPI"/>
    <s v="Shipped"/>
    <s v="Jacksonville"/>
    <s v="FL"/>
    <s v="United States"/>
  </r>
  <r>
    <s v="ORD0000290"/>
    <x v="267"/>
    <s v="CUST002550"/>
    <s v="Karan Patel"/>
    <x v="45"/>
    <x v="4"/>
    <s v="Zenith"/>
    <n v="2"/>
    <n v="57.26"/>
    <n v="0.2"/>
    <n v="10.99"/>
    <n v="1.1100000000000001"/>
    <n v="103.72"/>
    <s v="Credit Card"/>
    <s v="Delivered"/>
    <s v="Washington"/>
    <s v="DC"/>
    <s v="United States"/>
  </r>
  <r>
    <s v="ORD0000291"/>
    <x v="268"/>
    <s v="CUST006082"/>
    <s v="Sahil Joshi"/>
    <x v="42"/>
    <x v="1"/>
    <s v="NexPro"/>
    <n v="3"/>
    <n v="432.19"/>
    <n v="0.05"/>
    <n v="98.54"/>
    <n v="1.1399999999999999"/>
    <n v="1331.42"/>
    <s v="Net Banking"/>
    <s v="Returned"/>
    <s v="Columbus"/>
    <s v="OH"/>
    <s v="United States"/>
  </r>
  <r>
    <s v="ORD0000292"/>
    <x v="269"/>
    <s v="CUST007148"/>
    <s v="Karan Sharma"/>
    <x v="17"/>
    <x v="5"/>
    <s v="FitLife"/>
    <n v="1"/>
    <n v="402.92"/>
    <n v="0.15"/>
    <n v="27.4"/>
    <n v="11.53"/>
    <n v="381.41"/>
    <s v="Net Banking"/>
    <s v="Pending"/>
    <s v="Columbus"/>
    <s v="OH"/>
    <s v="United States"/>
  </r>
  <r>
    <s v="ORD0000293"/>
    <x v="270"/>
    <s v="CUST014657"/>
    <s v="Rohit Mehta"/>
    <x v="0"/>
    <x v="1"/>
    <s v="KiddoFun"/>
    <n v="5"/>
    <n v="541.67999999999995"/>
    <n v="0"/>
    <n v="135.41999999999999"/>
    <n v="13.07"/>
    <n v="2856.89"/>
    <s v="UPI"/>
    <s v="Delivered"/>
    <s v="New York"/>
    <s v="NY"/>
    <s v="India"/>
  </r>
  <r>
    <s v="ORD0000294"/>
    <x v="271"/>
    <s v="CUST049112"/>
    <s v="Sunita Kapoor"/>
    <x v="4"/>
    <x v="5"/>
    <s v="Apex"/>
    <n v="5"/>
    <n v="276.60000000000002"/>
    <n v="0.15"/>
    <n v="94.04"/>
    <n v="10.28"/>
    <n v="1279.8699999999999"/>
    <s v="Amazon Pay"/>
    <s v="Delivered"/>
    <s v="Denver"/>
    <s v="CO"/>
    <s v="India"/>
  </r>
  <r>
    <s v="ORD0000295"/>
    <x v="272"/>
    <s v="CUST029592"/>
    <s v="Aarav Kapoor"/>
    <x v="22"/>
    <x v="0"/>
    <s v="Apex"/>
    <n v="3"/>
    <n v="466.02"/>
    <n v="0"/>
    <n v="69.900000000000006"/>
    <n v="12.53"/>
    <n v="1480.49"/>
    <s v="Debit Card"/>
    <s v="Delivered"/>
    <s v="Philadelphia"/>
    <s v="PA"/>
    <s v="Canada"/>
  </r>
  <r>
    <s v="ORD0000296"/>
    <x v="273"/>
    <s v="CUST014517"/>
    <s v="Sunita Joshi"/>
    <x v="26"/>
    <x v="3"/>
    <s v="Apex"/>
    <n v="2"/>
    <n v="464.46"/>
    <n v="0.05"/>
    <n v="105.9"/>
    <n v="13.46"/>
    <n v="1001.83"/>
    <s v="UPI"/>
    <s v="Delivered"/>
    <s v="San Diego"/>
    <s v="CA"/>
    <s v="United States"/>
  </r>
  <r>
    <s v="ORD0000297"/>
    <x v="274"/>
    <s v="CUST005746"/>
    <s v="Aarav Patel"/>
    <x v="49"/>
    <x v="5"/>
    <s v="CoreTech"/>
    <n v="3"/>
    <n v="331.2"/>
    <n v="0.05"/>
    <n v="47.2"/>
    <n v="0.11"/>
    <n v="991.23"/>
    <s v="Debit Card"/>
    <s v="Delivered"/>
    <s v="San Diego"/>
    <s v="CA"/>
    <s v="United States"/>
  </r>
  <r>
    <s v="ORD0000298"/>
    <x v="275"/>
    <s v="CUST027050"/>
    <s v="Priya Mehta"/>
    <x v="49"/>
    <x v="2"/>
    <s v="Zenith"/>
    <n v="4"/>
    <n v="97.45"/>
    <n v="0.1"/>
    <n v="17.54"/>
    <n v="0.02"/>
    <n v="368.38"/>
    <s v="Amazon Pay"/>
    <s v="Delivered"/>
    <s v="Columbus"/>
    <s v="OH"/>
    <s v="United States"/>
  </r>
  <r>
    <s v="ORD0000299"/>
    <x v="276"/>
    <s v="CUST017205"/>
    <s v="Karan Reddy"/>
    <x v="13"/>
    <x v="5"/>
    <s v="UrbanStyle"/>
    <n v="1"/>
    <n v="540.72"/>
    <n v="0.05"/>
    <n v="25.68"/>
    <n v="7.52"/>
    <n v="546.88"/>
    <s v="Amazon Pay"/>
    <s v="Delivered"/>
    <s v="New York"/>
    <s v="NY"/>
    <s v="India"/>
  </r>
  <r>
    <s v="ORD0000300"/>
    <x v="277"/>
    <s v="CUST009192"/>
    <s v="Sahil Kapoor"/>
    <x v="9"/>
    <x v="0"/>
    <s v="ReadMore"/>
    <n v="2"/>
    <n v="308.26"/>
    <n v="0.15"/>
    <n v="94.33"/>
    <n v="9.57"/>
    <n v="627.94000000000005"/>
    <s v="Amazon Pay"/>
    <s v="Delivered"/>
    <s v="Charlotte"/>
    <s v="NC"/>
    <s v="United States"/>
  </r>
  <r>
    <s v="ORD0000301"/>
    <x v="278"/>
    <s v="CUST008766"/>
    <s v="Sneha Joshi"/>
    <x v="3"/>
    <x v="4"/>
    <s v="Apex"/>
    <n v="2"/>
    <n v="41.57"/>
    <n v="0.25"/>
    <n v="7.48"/>
    <n v="12.91"/>
    <n v="82.74"/>
    <s v="Amazon Pay"/>
    <s v="Delivered"/>
    <s v="New York"/>
    <s v="NY"/>
    <s v="United States"/>
  </r>
  <r>
    <s v="ORD0000302"/>
    <x v="279"/>
    <s v="CUST001699"/>
    <s v="Sneha Gupta"/>
    <x v="18"/>
    <x v="5"/>
    <s v="CoreTech"/>
    <n v="3"/>
    <n v="213.75"/>
    <n v="0.05"/>
    <n v="48.74"/>
    <n v="2.76"/>
    <n v="660.69"/>
    <s v="UPI"/>
    <s v="Delivered"/>
    <s v="Washington"/>
    <s v="DC"/>
    <s v="United States"/>
  </r>
  <r>
    <s v="ORD0000303"/>
    <x v="280"/>
    <s v="CUST019427"/>
    <s v="Karan Joshi"/>
    <x v="6"/>
    <x v="5"/>
    <s v="BrightLux"/>
    <n v="5"/>
    <n v="113.48"/>
    <n v="0"/>
    <n v="28.37"/>
    <n v="0.78"/>
    <n v="596.54999999999995"/>
    <s v="Debit Card"/>
    <s v="Cancelled"/>
    <s v="Chicago"/>
    <s v="IL"/>
    <s v="United States"/>
  </r>
  <r>
    <s v="ORD0000304"/>
    <x v="281"/>
    <s v="CUST003257"/>
    <s v="Aarav Mehta"/>
    <x v="31"/>
    <x v="3"/>
    <s v="BrightLux"/>
    <n v="2"/>
    <n v="518.09"/>
    <n v="0"/>
    <n v="0"/>
    <n v="4.03"/>
    <n v="1040.21"/>
    <s v="Amazon Pay"/>
    <s v="Shipped"/>
    <s v="Chicago"/>
    <s v="IL"/>
    <s v="United States"/>
  </r>
  <r>
    <s v="ORD0000305"/>
    <x v="282"/>
    <s v="CUST002188"/>
    <s v="Anjali Mehta"/>
    <x v="28"/>
    <x v="5"/>
    <s v="KiddoFun"/>
    <n v="1"/>
    <n v="169.12"/>
    <n v="0"/>
    <n v="8.4600000000000009"/>
    <n v="13.27"/>
    <n v="190.85"/>
    <s v="Credit Card"/>
    <s v="Shipped"/>
    <s v="Charlotte"/>
    <s v="NC"/>
    <s v="United Kingdom"/>
  </r>
  <r>
    <s v="ORD0000306"/>
    <x v="114"/>
    <s v="CUST001779"/>
    <s v="Mohit Joshi"/>
    <x v="17"/>
    <x v="1"/>
    <s v="Apex"/>
    <n v="4"/>
    <n v="476.83"/>
    <n v="0.1"/>
    <n v="85.83"/>
    <n v="8.41"/>
    <n v="1810.83"/>
    <s v="Cash on Delivery"/>
    <s v="Delivered"/>
    <s v="New York"/>
    <s v="NY"/>
    <s v="Australia"/>
  </r>
  <r>
    <s v="ORD0000307"/>
    <x v="283"/>
    <s v="CUST032817"/>
    <s v="Arjun Kapoor"/>
    <x v="6"/>
    <x v="2"/>
    <s v="Apex"/>
    <n v="1"/>
    <n v="560.82000000000005"/>
    <n v="0.05"/>
    <n v="63.93"/>
    <n v="1.48"/>
    <n v="598.19000000000005"/>
    <s v="Net Banking"/>
    <s v="Delivered"/>
    <s v="New York"/>
    <s v="NY"/>
    <s v="United States"/>
  </r>
  <r>
    <s v="ORD0000308"/>
    <x v="284"/>
    <s v="CUST034263"/>
    <s v="Sahil Sharma"/>
    <x v="8"/>
    <x v="3"/>
    <s v="UrbanStyle"/>
    <n v="2"/>
    <n v="573.92999999999995"/>
    <n v="0.1"/>
    <n v="185.95"/>
    <n v="2.97"/>
    <n v="1221.99"/>
    <s v="Amazon Pay"/>
    <s v="Cancelled"/>
    <s v="Denver"/>
    <s v="CO"/>
    <s v="United States"/>
  </r>
  <r>
    <s v="ORD0000309"/>
    <x v="68"/>
    <s v="CUST047601"/>
    <s v="Sunita Kapoor"/>
    <x v="32"/>
    <x v="3"/>
    <s v="Apex"/>
    <n v="4"/>
    <n v="179.25"/>
    <n v="0.1"/>
    <n v="32.270000000000003"/>
    <n v="0.94"/>
    <n v="678.51"/>
    <s v="UPI"/>
    <s v="Returned"/>
    <s v="Houston"/>
    <s v="TX"/>
    <s v="United States"/>
  </r>
  <r>
    <s v="ORD0000310"/>
    <x v="271"/>
    <s v="CUST042134"/>
    <s v="Ritika Sharma"/>
    <x v="37"/>
    <x v="5"/>
    <s v="Zenith"/>
    <n v="5"/>
    <n v="400.83"/>
    <n v="0"/>
    <n v="100.21"/>
    <n v="0.32"/>
    <n v="2104.6799999999998"/>
    <s v="UPI"/>
    <s v="Shipped"/>
    <s v="San Jose"/>
    <s v="CA"/>
    <s v="United States"/>
  </r>
  <r>
    <s v="ORD0000311"/>
    <x v="285"/>
    <s v="CUST013914"/>
    <s v="Aditya Mehta"/>
    <x v="49"/>
    <x v="3"/>
    <s v="ReadMore"/>
    <n v="3"/>
    <n v="319.07"/>
    <n v="0.25"/>
    <n v="57.43"/>
    <n v="2.13"/>
    <n v="777.47"/>
    <s v="Credit Card"/>
    <s v="Delivered"/>
    <s v="Denver"/>
    <s v="CO"/>
    <s v="United States"/>
  </r>
  <r>
    <s v="ORD0000312"/>
    <x v="286"/>
    <s v="CUST039236"/>
    <s v="Arjun Joshi"/>
    <x v="11"/>
    <x v="0"/>
    <s v="BrightLux"/>
    <n v="3"/>
    <n v="582.15"/>
    <n v="0"/>
    <n v="87.32"/>
    <n v="6.71"/>
    <n v="1840.48"/>
    <s v="Debit Card"/>
    <s v="Pending"/>
    <s v="Washington"/>
    <s v="DC"/>
    <s v="India"/>
  </r>
  <r>
    <s v="ORD0000313"/>
    <x v="176"/>
    <s v="CUST025927"/>
    <s v="Mohit Sharma"/>
    <x v="39"/>
    <x v="0"/>
    <s v="BrightLux"/>
    <n v="4"/>
    <n v="458.05"/>
    <n v="0.1"/>
    <n v="82.45"/>
    <n v="10.199999999999999"/>
    <n v="1741.63"/>
    <s v="UPI"/>
    <s v="Shipped"/>
    <s v="Indianapolis"/>
    <s v="IN"/>
    <s v="India"/>
  </r>
  <r>
    <s v="ORD0000314"/>
    <x v="287"/>
    <s v="CUST000351"/>
    <s v="Pooja Mehta"/>
    <x v="32"/>
    <x v="3"/>
    <s v="NexPro"/>
    <n v="3"/>
    <n v="33.869999999999997"/>
    <n v="0.1"/>
    <n v="10.97"/>
    <n v="1.29"/>
    <n v="103.71"/>
    <s v="Amazon Pay"/>
    <s v="Cancelled"/>
    <s v="Los Angeles"/>
    <s v="CA"/>
    <s v="India"/>
  </r>
  <r>
    <s v="ORD0000315"/>
    <x v="288"/>
    <s v="CUST034695"/>
    <s v="Anjali Kumar"/>
    <x v="13"/>
    <x v="4"/>
    <s v="NexPro"/>
    <n v="1"/>
    <n v="528.48"/>
    <n v="0"/>
    <n v="0"/>
    <n v="8.7899999999999991"/>
    <n v="537.27"/>
    <s v="Credit Card"/>
    <s v="Delivered"/>
    <s v="Indianapolis"/>
    <s v="IN"/>
    <s v="United States"/>
  </r>
  <r>
    <s v="ORD0000316"/>
    <x v="289"/>
    <s v="CUST034686"/>
    <s v="Simran Patel"/>
    <x v="33"/>
    <x v="5"/>
    <s v="CoreTech"/>
    <n v="4"/>
    <n v="539.52"/>
    <n v="0"/>
    <n v="172.65"/>
    <n v="6.53"/>
    <n v="2337.2600000000002"/>
    <s v="Amazon Pay"/>
    <s v="Delivered"/>
    <s v="Fort Worth"/>
    <s v="TX"/>
    <s v="United States"/>
  </r>
  <r>
    <s v="ORD0000317"/>
    <x v="205"/>
    <s v="CUST028950"/>
    <s v="Anjali Mehta"/>
    <x v="5"/>
    <x v="2"/>
    <s v="ReadMore"/>
    <n v="4"/>
    <n v="155.41"/>
    <n v="0"/>
    <n v="31.08"/>
    <n v="6.79"/>
    <n v="659.51"/>
    <s v="Debit Card"/>
    <s v="Shipped"/>
    <s v="Phoenix"/>
    <s v="AZ"/>
    <s v="United States"/>
  </r>
  <r>
    <s v="ORD0000318"/>
    <x v="290"/>
    <s v="CUST012442"/>
    <s v="Pooja Mehta"/>
    <x v="49"/>
    <x v="3"/>
    <s v="CoreTech"/>
    <n v="2"/>
    <n v="487.41"/>
    <n v="0"/>
    <n v="48.74"/>
    <n v="7.26"/>
    <n v="1030.82"/>
    <s v="Amazon Pay"/>
    <s v="Delivered"/>
    <s v="Austin"/>
    <s v="TX"/>
    <s v="United States"/>
  </r>
  <r>
    <s v="ORD0000319"/>
    <x v="109"/>
    <s v="CUST038779"/>
    <s v="Pooja Verma"/>
    <x v="41"/>
    <x v="0"/>
    <s v="Apex"/>
    <n v="1"/>
    <n v="595.34"/>
    <n v="0"/>
    <n v="47.63"/>
    <n v="12.41"/>
    <n v="655.38"/>
    <s v="Amazon Pay"/>
    <s v="Delivered"/>
    <s v="Dallas"/>
    <s v="TX"/>
    <s v="United States"/>
  </r>
  <r>
    <s v="ORD0000320"/>
    <x v="17"/>
    <s v="CUST012713"/>
    <s v="Neha Sharma"/>
    <x v="30"/>
    <x v="1"/>
    <s v="ReadMore"/>
    <n v="2"/>
    <n v="274.82"/>
    <n v="0.05"/>
    <n v="26.11"/>
    <n v="11.71"/>
    <n v="559.98"/>
    <s v="UPI"/>
    <s v="Delivered"/>
    <s v="San Francisco"/>
    <s v="CA"/>
    <s v="United States"/>
  </r>
  <r>
    <s v="ORD0000321"/>
    <x v="291"/>
    <s v="CUST020344"/>
    <s v="Sahil Sharma"/>
    <x v="8"/>
    <x v="3"/>
    <s v="Apex"/>
    <n v="4"/>
    <n v="426.38"/>
    <n v="0.05"/>
    <n v="81.010000000000005"/>
    <n v="9.49"/>
    <n v="1710.74"/>
    <s v="Cash on Delivery"/>
    <s v="Delivered"/>
    <s v="Columbus"/>
    <s v="OH"/>
    <s v="United States"/>
  </r>
  <r>
    <s v="ORD0000322"/>
    <x v="292"/>
    <s v="CUST005270"/>
    <s v="Vikas Kumar"/>
    <x v="48"/>
    <x v="1"/>
    <s v="Zenith"/>
    <n v="1"/>
    <n v="412.78"/>
    <n v="0"/>
    <n v="0"/>
    <n v="13.23"/>
    <n v="426.01"/>
    <s v="Net Banking"/>
    <s v="Delivered"/>
    <s v="Seattle"/>
    <s v="WA"/>
    <s v="United States"/>
  </r>
  <r>
    <s v="ORD0000323"/>
    <x v="293"/>
    <s v="CUST023625"/>
    <s v="Aditya Sharma"/>
    <x v="48"/>
    <x v="3"/>
    <s v="BrightLux"/>
    <n v="4"/>
    <n v="153.06"/>
    <n v="0"/>
    <n v="48.98"/>
    <n v="4.38"/>
    <n v="665.6"/>
    <s v="Net Banking"/>
    <s v="Shipped"/>
    <s v="Charlotte"/>
    <s v="NC"/>
    <s v="United States"/>
  </r>
  <r>
    <s v="ORD0000324"/>
    <x v="294"/>
    <s v="CUST010542"/>
    <s v="Aarav Kumar"/>
    <x v="25"/>
    <x v="1"/>
    <s v="FitLife"/>
    <n v="5"/>
    <n v="234.78"/>
    <n v="0.1"/>
    <n v="126.78"/>
    <n v="13.1"/>
    <n v="1196.3900000000001"/>
    <s v="Debit Card"/>
    <s v="Delivered"/>
    <s v="Columbus"/>
    <s v="OH"/>
    <s v="United States"/>
  </r>
  <r>
    <s v="ORD0000325"/>
    <x v="295"/>
    <s v="CUST021562"/>
    <s v="Rohit Sharma"/>
    <x v="22"/>
    <x v="4"/>
    <s v="NexPro"/>
    <n v="3"/>
    <n v="120.94"/>
    <n v="0.2"/>
    <n v="14.51"/>
    <n v="5.34"/>
    <n v="310.11"/>
    <s v="Amazon Pay"/>
    <s v="Delivered"/>
    <s v="San Jose"/>
    <s v="CA"/>
    <s v="United States"/>
  </r>
  <r>
    <s v="ORD0000326"/>
    <x v="296"/>
    <s v="CUST031261"/>
    <s v="Kabir Singh"/>
    <x v="32"/>
    <x v="3"/>
    <s v="UrbanStyle"/>
    <n v="2"/>
    <n v="161.85"/>
    <n v="0.1"/>
    <n v="52.44"/>
    <n v="14.19"/>
    <n v="357.96"/>
    <s v="UPI"/>
    <s v="Delivered"/>
    <s v="Indianapolis"/>
    <s v="IN"/>
    <s v="United States"/>
  </r>
  <r>
    <s v="ORD0000327"/>
    <x v="297"/>
    <s v="CUST024288"/>
    <s v="Sneha Singh"/>
    <x v="43"/>
    <x v="4"/>
    <s v="Apex"/>
    <n v="5"/>
    <n v="246.53"/>
    <n v="0"/>
    <n v="61.63"/>
    <n v="14.46"/>
    <n v="1308.74"/>
    <s v="UPI"/>
    <s v="Delivered"/>
    <s v="San Antonio"/>
    <s v="TX"/>
    <s v="United States"/>
  </r>
  <r>
    <s v="ORD0000328"/>
    <x v="298"/>
    <s v="CUST015925"/>
    <s v="Neha Verma"/>
    <x v="47"/>
    <x v="3"/>
    <s v="CoreTech"/>
    <n v="1"/>
    <n v="152.22"/>
    <n v="0.05"/>
    <n v="11.57"/>
    <n v="13.19"/>
    <n v="169.37"/>
    <s v="Credit Card"/>
    <s v="Delivered"/>
    <s v="Dallas"/>
    <s v="TX"/>
    <s v="India"/>
  </r>
  <r>
    <s v="ORD0000329"/>
    <x v="299"/>
    <s v="CUST011154"/>
    <s v="Ritika Kumar"/>
    <x v="16"/>
    <x v="0"/>
    <s v="HomeEase"/>
    <n v="4"/>
    <n v="489.79"/>
    <n v="0.2"/>
    <n v="282.12"/>
    <n v="9.8800000000000008"/>
    <n v="1859.33"/>
    <s v="Debit Card"/>
    <s v="Delivered"/>
    <s v="Chicago"/>
    <s v="IL"/>
    <s v="India"/>
  </r>
  <r>
    <s v="ORD0000330"/>
    <x v="273"/>
    <s v="CUST023840"/>
    <s v="Simran Gupta"/>
    <x v="12"/>
    <x v="1"/>
    <s v="FitLife"/>
    <n v="3"/>
    <n v="94.03"/>
    <n v="0.05"/>
    <n v="13.4"/>
    <n v="8.6199999999999992"/>
    <n v="290.01"/>
    <s v="Credit Card"/>
    <s v="Delivered"/>
    <s v="Columbus"/>
    <s v="OH"/>
    <s v="United States"/>
  </r>
  <r>
    <s v="ORD0000331"/>
    <x v="300"/>
    <s v="CUST004105"/>
    <s v="Vikas Singh"/>
    <x v="39"/>
    <x v="3"/>
    <s v="Zenith"/>
    <n v="1"/>
    <n v="295.94"/>
    <n v="0.05"/>
    <n v="33.74"/>
    <n v="5.01"/>
    <n v="319.89"/>
    <s v="Amazon Pay"/>
    <s v="Delivered"/>
    <s v="Chicago"/>
    <s v="IL"/>
    <s v="United States"/>
  </r>
  <r>
    <s v="ORD0000332"/>
    <x v="301"/>
    <s v="CUST034270"/>
    <s v="Kabir Kapoor"/>
    <x v="34"/>
    <x v="4"/>
    <s v="HomeEase"/>
    <n v="1"/>
    <n v="352.82"/>
    <n v="0"/>
    <n v="28.23"/>
    <n v="6.11"/>
    <n v="387.16"/>
    <s v="Amazon Pay"/>
    <s v="Delivered"/>
    <s v="Philadelphia"/>
    <s v="PA"/>
    <s v="United States"/>
  </r>
  <r>
    <s v="ORD0000333"/>
    <x v="103"/>
    <s v="CUST031200"/>
    <s v="Vihaan Singh"/>
    <x v="48"/>
    <x v="3"/>
    <s v="HomeEase"/>
    <n v="1"/>
    <n v="240.55"/>
    <n v="0.1"/>
    <n v="10.82"/>
    <n v="14.14"/>
    <n v="241.46"/>
    <s v="Credit Card"/>
    <s v="Cancelled"/>
    <s v="Indianapolis"/>
    <s v="IN"/>
    <s v="United States"/>
  </r>
  <r>
    <s v="ORD0000334"/>
    <x v="302"/>
    <s v="CUST002824"/>
    <s v="Priya Verma"/>
    <x v="39"/>
    <x v="3"/>
    <s v="CoreTech"/>
    <n v="3"/>
    <n v="389.23"/>
    <n v="0"/>
    <n v="140.12"/>
    <n v="7.57"/>
    <n v="1315.38"/>
    <s v="Credit Card"/>
    <s v="Delivered"/>
    <s v="Indianapolis"/>
    <s v="IN"/>
    <s v="United States"/>
  </r>
  <r>
    <s v="ORD0000335"/>
    <x v="303"/>
    <s v="CUST046488"/>
    <s v="Ritika Sharma"/>
    <x v="9"/>
    <x v="1"/>
    <s v="KiddoFun"/>
    <n v="3"/>
    <n v="400.38"/>
    <n v="0"/>
    <n v="216.21"/>
    <n v="8.35"/>
    <n v="1425.7"/>
    <s v="UPI"/>
    <s v="Delivered"/>
    <s v="Indianapolis"/>
    <s v="IN"/>
    <s v="India"/>
  </r>
  <r>
    <s v="ORD0000336"/>
    <x v="245"/>
    <s v="CUST000068"/>
    <s v="Priya Kapoor"/>
    <x v="46"/>
    <x v="5"/>
    <s v="ReadMore"/>
    <n v="1"/>
    <n v="501.07"/>
    <n v="0"/>
    <n v="25.05"/>
    <n v="1.54"/>
    <n v="527.66"/>
    <s v="Amazon Pay"/>
    <s v="Delivered"/>
    <s v="San Francisco"/>
    <s v="CA"/>
    <s v="United States"/>
  </r>
  <r>
    <s v="ORD0000337"/>
    <x v="304"/>
    <s v="CUST025908"/>
    <s v="Sunita Mehta"/>
    <x v="14"/>
    <x v="2"/>
    <s v="UrbanStyle"/>
    <n v="1"/>
    <n v="296.93"/>
    <n v="0.05"/>
    <n v="33.85"/>
    <n v="5.35"/>
    <n v="321.27999999999997"/>
    <s v="Amazon Pay"/>
    <s v="Delivered"/>
    <s v="Houston"/>
    <s v="TX"/>
    <s v="United States"/>
  </r>
  <r>
    <s v="ORD0000338"/>
    <x v="305"/>
    <s v="CUST012590"/>
    <s v="Rohit Verma"/>
    <x v="40"/>
    <x v="1"/>
    <s v="CoreTech"/>
    <n v="2"/>
    <n v="30.67"/>
    <n v="0.05"/>
    <n v="2.91"/>
    <n v="6.88"/>
    <n v="68.06"/>
    <s v="Credit Card"/>
    <s v="Shipped"/>
    <s v="Fort Worth"/>
    <s v="TX"/>
    <s v="United States"/>
  </r>
  <r>
    <s v="ORD0000339"/>
    <x v="306"/>
    <s v="CUST043281"/>
    <s v="Ritika Kumar"/>
    <x v="40"/>
    <x v="0"/>
    <s v="UrbanStyle"/>
    <n v="2"/>
    <n v="559.24"/>
    <n v="0"/>
    <n v="134.22"/>
    <n v="11.03"/>
    <n v="1263.73"/>
    <s v="Debit Card"/>
    <s v="Delivered"/>
    <s v="Denver"/>
    <s v="CO"/>
    <s v="United States"/>
  </r>
  <r>
    <s v="ORD0000340"/>
    <x v="307"/>
    <s v="CUST023061"/>
    <s v="Vihaan Gupta"/>
    <x v="18"/>
    <x v="3"/>
    <s v="KiddoFun"/>
    <n v="3"/>
    <n v="72.83"/>
    <n v="0.1"/>
    <n v="15.73"/>
    <n v="0.49"/>
    <n v="212.86"/>
    <s v="Credit Card"/>
    <s v="Delivered"/>
    <s v="New York"/>
    <s v="NY"/>
    <s v="United States"/>
  </r>
  <r>
    <s v="ORD0000341"/>
    <x v="308"/>
    <s v="CUST024329"/>
    <s v="Kabir Verma"/>
    <x v="13"/>
    <x v="3"/>
    <s v="KiddoFun"/>
    <n v="3"/>
    <n v="94.51"/>
    <n v="0.2"/>
    <n v="11.34"/>
    <n v="5.78"/>
    <n v="243.94"/>
    <s v="Debit Card"/>
    <s v="Delivered"/>
    <s v="Phoenix"/>
    <s v="AZ"/>
    <s v="United States"/>
  </r>
  <r>
    <s v="ORD0000342"/>
    <x v="309"/>
    <s v="CUST049916"/>
    <s v="Ritika Sharma"/>
    <x v="0"/>
    <x v="0"/>
    <s v="HomeEase"/>
    <n v="2"/>
    <n v="487.8"/>
    <n v="0.05"/>
    <n v="74.150000000000006"/>
    <n v="14.57"/>
    <n v="1015.54"/>
    <s v="Amazon Pay"/>
    <s v="Delivered"/>
    <s v="Chicago"/>
    <s v="IL"/>
    <s v="United States"/>
  </r>
  <r>
    <s v="ORD0000343"/>
    <x v="191"/>
    <s v="CUST005573"/>
    <s v="Vikas Reddy"/>
    <x v="1"/>
    <x v="3"/>
    <s v="KiddoFun"/>
    <n v="3"/>
    <n v="203.88"/>
    <n v="0"/>
    <n v="48.93"/>
    <n v="1.71"/>
    <n v="662.28"/>
    <s v="UPI"/>
    <s v="Delivered"/>
    <s v="Indianapolis"/>
    <s v="IN"/>
    <s v="United States"/>
  </r>
  <r>
    <s v="ORD0000344"/>
    <x v="310"/>
    <s v="CUST041438"/>
    <s v="Karan Patel"/>
    <x v="14"/>
    <x v="0"/>
    <s v="Zenith"/>
    <n v="5"/>
    <n v="39.9"/>
    <n v="0.1"/>
    <n v="8.98"/>
    <n v="9.41"/>
    <n v="197.94"/>
    <s v="Amazon Pay"/>
    <s v="Pending"/>
    <s v="Seattle"/>
    <s v="WA"/>
    <s v="United States"/>
  </r>
  <r>
    <s v="ORD0000345"/>
    <x v="311"/>
    <s v="CUST027366"/>
    <s v="Aditya Reddy"/>
    <x v="0"/>
    <x v="0"/>
    <s v="HomeEase"/>
    <n v="1"/>
    <n v="56.87"/>
    <n v="0.1"/>
    <n v="4.09"/>
    <n v="3.54"/>
    <n v="58.81"/>
    <s v="Net Banking"/>
    <s v="Delivered"/>
    <s v="Philadelphia"/>
    <s v="PA"/>
    <s v="Australia"/>
  </r>
  <r>
    <s v="ORD0000346"/>
    <x v="231"/>
    <s v="CUST013256"/>
    <s v="Anjali Sharma"/>
    <x v="36"/>
    <x v="4"/>
    <s v="Apex"/>
    <n v="1"/>
    <n v="369.08"/>
    <n v="0"/>
    <n v="18.45"/>
    <n v="1.59"/>
    <n v="389.12"/>
    <s v="UPI"/>
    <s v="Delivered"/>
    <s v="San Jose"/>
    <s v="CA"/>
    <s v="United States"/>
  </r>
  <r>
    <s v="ORD0000347"/>
    <x v="312"/>
    <s v="CUST037808"/>
    <s v="Karan Joshi"/>
    <x v="9"/>
    <x v="1"/>
    <s v="NexPro"/>
    <n v="5"/>
    <n v="410.33"/>
    <n v="0"/>
    <n v="164.13"/>
    <n v="4.18"/>
    <n v="2219.96"/>
    <s v="Debit Card"/>
    <s v="Delivered"/>
    <s v="Philadelphia"/>
    <s v="PA"/>
    <s v="United States"/>
  </r>
  <r>
    <s v="ORD0000348"/>
    <x v="313"/>
    <s v="CUST012334"/>
    <s v="Vihaan Mehta"/>
    <x v="48"/>
    <x v="1"/>
    <s v="Apex"/>
    <n v="2"/>
    <n v="29.1"/>
    <n v="0.2"/>
    <n v="2.33"/>
    <n v="3.83"/>
    <n v="52.72"/>
    <s v="Amazon Pay"/>
    <s v="Delivered"/>
    <s v="San Francisco"/>
    <s v="CA"/>
    <s v="United States"/>
  </r>
  <r>
    <s v="ORD0000349"/>
    <x v="98"/>
    <s v="CUST046689"/>
    <s v="Vikas Joshi"/>
    <x v="36"/>
    <x v="0"/>
    <s v="FitLife"/>
    <n v="2"/>
    <n v="116.97"/>
    <n v="0"/>
    <n v="18.72"/>
    <n v="8.01"/>
    <n v="260.67"/>
    <s v="UPI"/>
    <s v="Delivered"/>
    <s v="Denver"/>
    <s v="CO"/>
    <s v="India"/>
  </r>
  <r>
    <s v="ORD0000350"/>
    <x v="314"/>
    <s v="CUST017408"/>
    <s v="Arjun Mehta"/>
    <x v="29"/>
    <x v="4"/>
    <s v="Apex"/>
    <n v="5"/>
    <n v="548.98"/>
    <n v="0"/>
    <n v="219.59"/>
    <n v="11.56"/>
    <n v="2976.05"/>
    <s v="Amazon Pay"/>
    <s v="Delivered"/>
    <s v="Fort Worth"/>
    <s v="TX"/>
    <s v="United States"/>
  </r>
  <r>
    <s v="ORD0000351"/>
    <x v="55"/>
    <s v="CUST014960"/>
    <s v="Mohit Reddy"/>
    <x v="23"/>
    <x v="0"/>
    <s v="BrightLux"/>
    <n v="5"/>
    <n v="578.85"/>
    <n v="0"/>
    <n v="144.71"/>
    <n v="12.07"/>
    <n v="3051.03"/>
    <s v="Credit Card"/>
    <s v="Delivered"/>
    <s v="Chicago"/>
    <s v="IL"/>
    <s v="United States"/>
  </r>
  <r>
    <s v="ORD0000352"/>
    <x v="315"/>
    <s v="CUST010085"/>
    <s v="Pooja Kapoor"/>
    <x v="1"/>
    <x v="3"/>
    <s v="ReadMore"/>
    <n v="3"/>
    <n v="366.04"/>
    <n v="0"/>
    <n v="87.85"/>
    <n v="4.55"/>
    <n v="1190.52"/>
    <s v="Debit Card"/>
    <s v="Shipped"/>
    <s v="San Jose"/>
    <s v="CA"/>
    <s v="United Kingdom"/>
  </r>
  <r>
    <s v="ORD0000353"/>
    <x v="316"/>
    <s v="CUST021961"/>
    <s v="Sahil Joshi"/>
    <x v="12"/>
    <x v="5"/>
    <s v="HomeEase"/>
    <n v="4"/>
    <n v="400.22"/>
    <n v="0"/>
    <n v="0"/>
    <n v="5.53"/>
    <n v="1606.41"/>
    <s v="UPI"/>
    <s v="Shipped"/>
    <s v="Dallas"/>
    <s v="TX"/>
    <s v="United States"/>
  </r>
  <r>
    <s v="ORD0000354"/>
    <x v="317"/>
    <s v="CUST029119"/>
    <s v="Simran Mehta"/>
    <x v="1"/>
    <x v="3"/>
    <s v="Apex"/>
    <n v="2"/>
    <n v="597.49"/>
    <n v="0.25"/>
    <n v="0"/>
    <n v="3.29"/>
    <n v="899.52"/>
    <s v="UPI"/>
    <s v="Delivered"/>
    <s v="San Francisco"/>
    <s v="CA"/>
    <s v="India"/>
  </r>
  <r>
    <s v="ORD0000355"/>
    <x v="318"/>
    <s v="CUST037507"/>
    <s v="Ritika Gupta"/>
    <x v="9"/>
    <x v="4"/>
    <s v="HomeEase"/>
    <n v="2"/>
    <n v="57.37"/>
    <n v="0"/>
    <n v="5.74"/>
    <n v="0.48"/>
    <n v="120.96"/>
    <s v="Cash on Delivery"/>
    <s v="Shipped"/>
    <s v="Indianapolis"/>
    <s v="IN"/>
    <s v="United States"/>
  </r>
  <r>
    <s v="ORD0000356"/>
    <x v="319"/>
    <s v="CUST006815"/>
    <s v="Anjali Kumar"/>
    <x v="40"/>
    <x v="1"/>
    <s v="BrightLux"/>
    <n v="2"/>
    <n v="327.8"/>
    <n v="0.1"/>
    <n v="70.8"/>
    <n v="13.68"/>
    <n v="674.52"/>
    <s v="UPI"/>
    <s v="Delivered"/>
    <s v="New York"/>
    <s v="NY"/>
    <s v="United Kingdom"/>
  </r>
  <r>
    <s v="ORD0000357"/>
    <x v="215"/>
    <s v="CUST039527"/>
    <s v="Aditya Gupta"/>
    <x v="42"/>
    <x v="2"/>
    <s v="UrbanStyle"/>
    <n v="5"/>
    <n v="453.11"/>
    <n v="0.15"/>
    <n v="96.29"/>
    <n v="14.15"/>
    <n v="2036.16"/>
    <s v="Debit Card"/>
    <s v="Delivered"/>
    <s v="New York"/>
    <s v="NY"/>
    <s v="United States"/>
  </r>
  <r>
    <s v="ORD0000358"/>
    <x v="320"/>
    <s v="CUST021127"/>
    <s v="Simran Kumar"/>
    <x v="30"/>
    <x v="5"/>
    <s v="BrightLux"/>
    <n v="2"/>
    <n v="138.19"/>
    <n v="0.1"/>
    <n v="29.85"/>
    <n v="3.32"/>
    <n v="281.91000000000003"/>
    <s v="Amazon Pay"/>
    <s v="Delivered"/>
    <s v="San Diego"/>
    <s v="CA"/>
    <s v="United States"/>
  </r>
  <r>
    <s v="ORD0000359"/>
    <x v="241"/>
    <s v="CUST034300"/>
    <s v="Simran Kapoor"/>
    <x v="47"/>
    <x v="0"/>
    <s v="FitLife"/>
    <n v="2"/>
    <n v="569.77"/>
    <n v="0.05"/>
    <n v="86.61"/>
    <n v="9.56"/>
    <n v="1178.73"/>
    <s v="Debit Card"/>
    <s v="Pending"/>
    <s v="Washington"/>
    <s v="DC"/>
    <s v="United States"/>
  </r>
  <r>
    <s v="ORD0000360"/>
    <x v="321"/>
    <s v="CUST021084"/>
    <s v="Kabir Mehta"/>
    <x v="8"/>
    <x v="1"/>
    <s v="FitLife"/>
    <n v="3"/>
    <n v="392.25"/>
    <n v="0.15"/>
    <n v="80.02"/>
    <n v="5.31"/>
    <n v="1085.57"/>
    <s v="Credit Card"/>
    <s v="Delivered"/>
    <s v="Phoenix"/>
    <s v="AZ"/>
    <s v="United States"/>
  </r>
  <r>
    <s v="ORD0000361"/>
    <x v="322"/>
    <s v="CUST005859"/>
    <s v="Anjali Sharma"/>
    <x v="42"/>
    <x v="3"/>
    <s v="ReadMore"/>
    <n v="5"/>
    <n v="131.34"/>
    <n v="0.05"/>
    <n v="49.91"/>
    <n v="1.64"/>
    <n v="675.42"/>
    <s v="Amazon Pay"/>
    <s v="Pending"/>
    <s v="Fort Worth"/>
    <s v="TX"/>
    <s v="United States"/>
  </r>
  <r>
    <s v="ORD0000362"/>
    <x v="323"/>
    <s v="CUST049807"/>
    <s v="Neha Patel"/>
    <x v="30"/>
    <x v="2"/>
    <s v="BrightLux"/>
    <n v="5"/>
    <n v="530.30999999999995"/>
    <n v="0"/>
    <n v="212.12"/>
    <n v="14.86"/>
    <n v="2878.53"/>
    <s v="Credit Card"/>
    <s v="Cancelled"/>
    <s v="San Francisco"/>
    <s v="CA"/>
    <s v="Australia"/>
  </r>
  <r>
    <s v="ORD0000363"/>
    <x v="306"/>
    <s v="CUST041735"/>
    <s v="Mohit Joshi"/>
    <x v="44"/>
    <x v="1"/>
    <s v="KiddoFun"/>
    <n v="3"/>
    <n v="62.04"/>
    <n v="0"/>
    <n v="22.33"/>
    <n v="4.3600000000000003"/>
    <n v="212.81"/>
    <s v="UPI"/>
    <s v="Cancelled"/>
    <s v="San Jose"/>
    <s v="CA"/>
    <s v="Canada"/>
  </r>
  <r>
    <s v="ORD0000364"/>
    <x v="324"/>
    <s v="CUST014691"/>
    <s v="Rohit Patel"/>
    <x v="25"/>
    <x v="0"/>
    <s v="HomeEase"/>
    <n v="4"/>
    <n v="591.4"/>
    <n v="0"/>
    <n v="283.87"/>
    <n v="6.44"/>
    <n v="2655.91"/>
    <s v="Credit Card"/>
    <s v="Delivered"/>
    <s v="Phoenix"/>
    <s v="AZ"/>
    <s v="United States"/>
  </r>
  <r>
    <s v="ORD0000365"/>
    <x v="325"/>
    <s v="CUST028272"/>
    <s v="Pooja Patel"/>
    <x v="22"/>
    <x v="4"/>
    <s v="CoreTech"/>
    <n v="5"/>
    <n v="104.87"/>
    <n v="0.05"/>
    <n v="39.85"/>
    <n v="10.01"/>
    <n v="547.99"/>
    <s v="Debit Card"/>
    <s v="Cancelled"/>
    <s v="Fort Worth"/>
    <s v="TX"/>
    <s v="India"/>
  </r>
  <r>
    <s v="ORD0000366"/>
    <x v="326"/>
    <s v="CUST006623"/>
    <s v="Pooja Kapoor"/>
    <x v="42"/>
    <x v="0"/>
    <s v="HomeEase"/>
    <n v="3"/>
    <n v="436.37"/>
    <n v="0.05"/>
    <n v="99.49"/>
    <n v="0.63"/>
    <n v="1343.77"/>
    <s v="Debit Card"/>
    <s v="Shipped"/>
    <s v="Los Angeles"/>
    <s v="CA"/>
    <s v="United Kingdom"/>
  </r>
  <r>
    <s v="ORD0000367"/>
    <x v="208"/>
    <s v="CUST038822"/>
    <s v="Pooja Reddy"/>
    <x v="46"/>
    <x v="5"/>
    <s v="UrbanStyle"/>
    <n v="1"/>
    <n v="172.84"/>
    <n v="0"/>
    <n v="13.83"/>
    <n v="1.67"/>
    <n v="188.34"/>
    <s v="Credit Card"/>
    <s v="Shipped"/>
    <s v="Phoenix"/>
    <s v="AZ"/>
    <s v="United States"/>
  </r>
  <r>
    <s v="ORD0000368"/>
    <x v="153"/>
    <s v="CUST005512"/>
    <s v="Aarav Reddy"/>
    <x v="34"/>
    <x v="4"/>
    <s v="Zenith"/>
    <n v="3"/>
    <n v="43.51"/>
    <n v="0"/>
    <n v="15.66"/>
    <n v="12.06"/>
    <n v="158.25"/>
    <s v="Credit Card"/>
    <s v="Delivered"/>
    <s v="Columbus"/>
    <s v="OH"/>
    <s v="United States"/>
  </r>
  <r>
    <s v="ORD0000369"/>
    <x v="327"/>
    <s v="CUST011448"/>
    <s v="Rohit Verma"/>
    <x v="14"/>
    <x v="5"/>
    <s v="NexPro"/>
    <n v="1"/>
    <n v="275.24"/>
    <n v="0.25"/>
    <n v="10.32"/>
    <n v="11.03"/>
    <n v="227.78"/>
    <s v="Credit Card"/>
    <s v="Shipped"/>
    <s v="Washington"/>
    <s v="DC"/>
    <s v="United States"/>
  </r>
  <r>
    <s v="ORD0000370"/>
    <x v="328"/>
    <s v="CUST045030"/>
    <s v="Sneha Mehta"/>
    <x v="44"/>
    <x v="4"/>
    <s v="ReadMore"/>
    <n v="4"/>
    <n v="575.92999999999995"/>
    <n v="0.15"/>
    <n v="97.91"/>
    <n v="14.12"/>
    <n v="2070.19"/>
    <s v="Cash on Delivery"/>
    <s v="Returned"/>
    <s v="Dallas"/>
    <s v="TX"/>
    <s v="United States"/>
  </r>
  <r>
    <s v="ORD0000371"/>
    <x v="329"/>
    <s v="CUST040400"/>
    <s v="Neha Reddy"/>
    <x v="41"/>
    <x v="2"/>
    <s v="UrbanStyle"/>
    <n v="3"/>
    <n v="156.91999999999999"/>
    <n v="0.15"/>
    <n v="20.010000000000002"/>
    <n v="10.53"/>
    <n v="430.69"/>
    <s v="Debit Card"/>
    <s v="Delivered"/>
    <s v="Jacksonville"/>
    <s v="FL"/>
    <s v="United States"/>
  </r>
  <r>
    <s v="ORD0000372"/>
    <x v="109"/>
    <s v="CUST008802"/>
    <s v="Sneha Joshi"/>
    <x v="1"/>
    <x v="5"/>
    <s v="Zenith"/>
    <n v="5"/>
    <n v="210.04"/>
    <n v="0"/>
    <n v="126.02"/>
    <n v="0.49"/>
    <n v="1176.71"/>
    <s v="Amazon Pay"/>
    <s v="Shipped"/>
    <s v="Austin"/>
    <s v="TX"/>
    <s v="United States"/>
  </r>
  <r>
    <s v="ORD0000373"/>
    <x v="330"/>
    <s v="CUST049537"/>
    <s v="Neha Joshi"/>
    <x v="6"/>
    <x v="3"/>
    <s v="UrbanStyle"/>
    <n v="5"/>
    <n v="591.47"/>
    <n v="0"/>
    <n v="0"/>
    <n v="9.52"/>
    <n v="2966.87"/>
    <s v="Debit Card"/>
    <s v="Delivered"/>
    <s v="Los Angeles"/>
    <s v="CA"/>
    <s v="United States"/>
  </r>
  <r>
    <s v="ORD0000374"/>
    <x v="331"/>
    <s v="CUST047635"/>
    <s v="Aarav Verma"/>
    <x v="35"/>
    <x v="3"/>
    <s v="BrightLux"/>
    <n v="1"/>
    <n v="345.41"/>
    <n v="0.05"/>
    <n v="16.41"/>
    <n v="2.0299999999999998"/>
    <n v="346.58"/>
    <s v="Net Banking"/>
    <s v="Shipped"/>
    <s v="San Francisco"/>
    <s v="CA"/>
    <s v="India"/>
  </r>
  <r>
    <s v="ORD0000375"/>
    <x v="332"/>
    <s v="CUST014084"/>
    <s v="Priya Kumar"/>
    <x v="26"/>
    <x v="2"/>
    <s v="KiddoFun"/>
    <n v="3"/>
    <n v="426.35"/>
    <n v="0.25"/>
    <n v="47.96"/>
    <n v="2.41"/>
    <n v="1009.66"/>
    <s v="UPI"/>
    <s v="Delivered"/>
    <s v="Washington"/>
    <s v="DC"/>
    <s v="United States"/>
  </r>
  <r>
    <s v="ORD0000376"/>
    <x v="333"/>
    <s v="CUST000192"/>
    <s v="Sunita Kumar"/>
    <x v="32"/>
    <x v="1"/>
    <s v="NexPro"/>
    <n v="4"/>
    <n v="100.2"/>
    <n v="0.2"/>
    <n v="38.479999999999997"/>
    <n v="12.41"/>
    <n v="371.53"/>
    <s v="Debit Card"/>
    <s v="Returned"/>
    <s v="San Diego"/>
    <s v="CA"/>
    <s v="United States"/>
  </r>
  <r>
    <s v="ORD0000377"/>
    <x v="334"/>
    <s v="CUST040930"/>
    <s v="Priya Kapoor"/>
    <x v="11"/>
    <x v="4"/>
    <s v="HomeEase"/>
    <n v="2"/>
    <n v="317.20999999999998"/>
    <n v="0.2"/>
    <n v="25.38"/>
    <n v="2.14"/>
    <n v="535.05999999999995"/>
    <s v="Amazon Pay"/>
    <s v="Delivered"/>
    <s v="San Diego"/>
    <s v="CA"/>
    <s v="United States"/>
  </r>
  <r>
    <s v="ORD0000378"/>
    <x v="335"/>
    <s v="CUST006786"/>
    <s v="Vikas Joshi"/>
    <x v="8"/>
    <x v="4"/>
    <s v="UrbanStyle"/>
    <n v="3"/>
    <n v="430.49"/>
    <n v="0"/>
    <n v="64.569999999999993"/>
    <n v="7.48"/>
    <n v="1363.52"/>
    <s v="Amazon Pay"/>
    <s v="Delivered"/>
    <s v="Jacksonville"/>
    <s v="FL"/>
    <s v="India"/>
  </r>
  <r>
    <s v="ORD0000379"/>
    <x v="336"/>
    <s v="CUST044236"/>
    <s v="Sahil Reddy"/>
    <x v="46"/>
    <x v="3"/>
    <s v="Zenith"/>
    <n v="3"/>
    <n v="47.17"/>
    <n v="0.3"/>
    <n v="7.92"/>
    <n v="0.96"/>
    <n v="107.94"/>
    <s v="Debit Card"/>
    <s v="Delivered"/>
    <s v="San Francisco"/>
    <s v="CA"/>
    <s v="United Kingdom"/>
  </r>
  <r>
    <s v="ORD0000380"/>
    <x v="337"/>
    <s v="CUST035512"/>
    <s v="Vikas Mehta"/>
    <x v="0"/>
    <x v="5"/>
    <s v="Zenith"/>
    <n v="2"/>
    <n v="427.06"/>
    <n v="0.15"/>
    <n v="0"/>
    <n v="2.99"/>
    <n v="728.99"/>
    <s v="UPI"/>
    <s v="Shipped"/>
    <s v="Houston"/>
    <s v="TX"/>
    <s v="India"/>
  </r>
  <r>
    <s v="ORD0000381"/>
    <x v="338"/>
    <s v="CUST044533"/>
    <s v="Sahil Patel"/>
    <x v="46"/>
    <x v="1"/>
    <s v="Zenith"/>
    <n v="4"/>
    <n v="40.92"/>
    <n v="0.15"/>
    <n v="11.13"/>
    <n v="3.59"/>
    <n v="153.85"/>
    <s v="Cash on Delivery"/>
    <s v="Delivered"/>
    <s v="Phoenix"/>
    <s v="AZ"/>
    <s v="United States"/>
  </r>
  <r>
    <s v="ORD0000382"/>
    <x v="165"/>
    <s v="CUST015840"/>
    <s v="Vikas Joshi"/>
    <x v="22"/>
    <x v="3"/>
    <s v="ReadMore"/>
    <n v="3"/>
    <n v="106.51"/>
    <n v="0"/>
    <n v="38.340000000000003"/>
    <n v="12.83"/>
    <n v="370.7"/>
    <s v="Cash on Delivery"/>
    <s v="Delivered"/>
    <s v="Charlotte"/>
    <s v="NC"/>
    <s v="United States"/>
  </r>
  <r>
    <s v="ORD0000383"/>
    <x v="339"/>
    <s v="CUST012211"/>
    <s v="Pooja Gupta"/>
    <x v="30"/>
    <x v="2"/>
    <s v="NexPro"/>
    <n v="2"/>
    <n v="281.89"/>
    <n v="0"/>
    <n v="28.19"/>
    <n v="7.13"/>
    <n v="599.1"/>
    <s v="Cash on Delivery"/>
    <s v="Returned"/>
    <s v="Phoenix"/>
    <s v="AZ"/>
    <s v="India"/>
  </r>
  <r>
    <s v="ORD0000384"/>
    <x v="98"/>
    <s v="CUST041119"/>
    <s v="Pooja Kumar"/>
    <x v="16"/>
    <x v="0"/>
    <s v="HomeEase"/>
    <n v="2"/>
    <n v="413.76"/>
    <n v="0.05"/>
    <n v="39.31"/>
    <n v="12.8"/>
    <n v="838.25"/>
    <s v="Credit Card"/>
    <s v="Delivered"/>
    <s v="Philadelphia"/>
    <s v="PA"/>
    <s v="India"/>
  </r>
  <r>
    <s v="ORD0000385"/>
    <x v="340"/>
    <s v="CUST019770"/>
    <s v="Vihaan Kumar"/>
    <x v="21"/>
    <x v="1"/>
    <s v="UrbanStyle"/>
    <n v="2"/>
    <n v="175.99"/>
    <n v="0.05"/>
    <n v="16.72"/>
    <n v="3.99"/>
    <n v="355.09"/>
    <s v="Credit Card"/>
    <s v="Shipped"/>
    <s v="Washington"/>
    <s v="DC"/>
    <s v="Australia"/>
  </r>
  <r>
    <s v="ORD0000386"/>
    <x v="341"/>
    <s v="CUST014244"/>
    <s v="Anjali Verma"/>
    <x v="20"/>
    <x v="3"/>
    <s v="Apex"/>
    <n v="4"/>
    <n v="13.87"/>
    <n v="0.15"/>
    <n v="3.77"/>
    <n v="0.21"/>
    <n v="51.14"/>
    <s v="Debit Card"/>
    <s v="Delivered"/>
    <s v="Washington"/>
    <s v="DC"/>
    <s v="India"/>
  </r>
  <r>
    <s v="ORD0000387"/>
    <x v="342"/>
    <s v="CUST039927"/>
    <s v="Sahil Singh"/>
    <x v="16"/>
    <x v="1"/>
    <s v="KiddoFun"/>
    <n v="3"/>
    <n v="555.21"/>
    <n v="0.2"/>
    <n v="106.6"/>
    <n v="5.69"/>
    <n v="1444.79"/>
    <s v="Net Banking"/>
    <s v="Delivered"/>
    <s v="Seattle"/>
    <s v="WA"/>
    <s v="Canada"/>
  </r>
  <r>
    <s v="ORD0000388"/>
    <x v="343"/>
    <s v="CUST018394"/>
    <s v="Rohit Kumar"/>
    <x v="11"/>
    <x v="3"/>
    <s v="Apex"/>
    <n v="4"/>
    <n v="172.46"/>
    <n v="0.25"/>
    <n v="41.39"/>
    <n v="8.42"/>
    <n v="567.19000000000005"/>
    <s v="Amazon Pay"/>
    <s v="Delivered"/>
    <s v="San Diego"/>
    <s v="CA"/>
    <s v="United States"/>
  </r>
  <r>
    <s v="ORD0000389"/>
    <x v="264"/>
    <s v="CUST030988"/>
    <s v="Neha Gupta"/>
    <x v="32"/>
    <x v="1"/>
    <s v="HomeEase"/>
    <n v="4"/>
    <n v="291.26"/>
    <n v="0"/>
    <n v="93.2"/>
    <n v="3.56"/>
    <n v="1261.8"/>
    <s v="Credit Card"/>
    <s v="Delivered"/>
    <s v="Chicago"/>
    <s v="IL"/>
    <s v="United States"/>
  </r>
  <r>
    <s v="ORD0000390"/>
    <x v="344"/>
    <s v="CUST019107"/>
    <s v="Ritika Reddy"/>
    <x v="5"/>
    <x v="3"/>
    <s v="CoreTech"/>
    <n v="5"/>
    <n v="44.09"/>
    <n v="0"/>
    <n v="26.45"/>
    <n v="5.14"/>
    <n v="252.04"/>
    <s v="Amazon Pay"/>
    <s v="Delivered"/>
    <s v="Charlotte"/>
    <s v="NC"/>
    <s v="India"/>
  </r>
  <r>
    <s v="ORD0000391"/>
    <x v="146"/>
    <s v="CUST037892"/>
    <s v="Kabir Gupta"/>
    <x v="15"/>
    <x v="0"/>
    <s v="Apex"/>
    <n v="3"/>
    <n v="412.81"/>
    <n v="0.3"/>
    <n v="69.349999999999994"/>
    <n v="6.62"/>
    <n v="942.87"/>
    <s v="Debit Card"/>
    <s v="Delivered"/>
    <s v="Denver"/>
    <s v="CO"/>
    <s v="United States"/>
  </r>
  <r>
    <s v="ORD0000392"/>
    <x v="345"/>
    <s v="CUST023324"/>
    <s v="Vihaan Kumar"/>
    <x v="36"/>
    <x v="5"/>
    <s v="KiddoFun"/>
    <n v="5"/>
    <n v="477.24"/>
    <n v="0"/>
    <n v="286.33999999999997"/>
    <n v="10.06"/>
    <n v="2682.6"/>
    <s v="Amazon Pay"/>
    <s v="Delivered"/>
    <s v="Charlotte"/>
    <s v="NC"/>
    <s v="United Kingdom"/>
  </r>
  <r>
    <s v="ORD0000393"/>
    <x v="32"/>
    <s v="CUST030181"/>
    <s v="Priya Kumar"/>
    <x v="34"/>
    <x v="3"/>
    <s v="UrbanStyle"/>
    <n v="3"/>
    <n v="278.87"/>
    <n v="0"/>
    <n v="66.930000000000007"/>
    <n v="9.7899999999999991"/>
    <n v="913.33"/>
    <s v="Net Banking"/>
    <s v="Delivered"/>
    <s v="Indianapolis"/>
    <s v="IN"/>
    <s v="United States"/>
  </r>
  <r>
    <s v="ORD0000394"/>
    <x v="283"/>
    <s v="CUST013642"/>
    <s v="Vikas Singh"/>
    <x v="3"/>
    <x v="5"/>
    <s v="NexPro"/>
    <n v="1"/>
    <n v="99.56"/>
    <n v="0.05"/>
    <n v="7.57"/>
    <n v="7.42"/>
    <n v="109.57"/>
    <s v="Debit Card"/>
    <s v="Delivered"/>
    <s v="Philadelphia"/>
    <s v="PA"/>
    <s v="India"/>
  </r>
  <r>
    <s v="ORD0000395"/>
    <x v="346"/>
    <s v="CUST009422"/>
    <s v="Priya Sharma"/>
    <x v="31"/>
    <x v="0"/>
    <s v="BrightLux"/>
    <n v="3"/>
    <n v="77.650000000000006"/>
    <n v="0.25"/>
    <n v="8.74"/>
    <n v="9.43"/>
    <n v="192.88"/>
    <s v="Amazon Pay"/>
    <s v="Delivered"/>
    <s v="Chicago"/>
    <s v="IL"/>
    <s v="India"/>
  </r>
  <r>
    <s v="ORD0000396"/>
    <x v="347"/>
    <s v="CUST048133"/>
    <s v="Sahil Singh"/>
    <x v="43"/>
    <x v="1"/>
    <s v="BrightLux"/>
    <n v="3"/>
    <n v="567.89"/>
    <n v="0"/>
    <n v="85.18"/>
    <n v="13.57"/>
    <n v="1802.42"/>
    <s v="Debit Card"/>
    <s v="Delivered"/>
    <s v="Fort Worth"/>
    <s v="TX"/>
    <s v="United States"/>
  </r>
  <r>
    <s v="ORD0000397"/>
    <x v="348"/>
    <s v="CUST036618"/>
    <s v="Pooja Sharma"/>
    <x v="12"/>
    <x v="1"/>
    <s v="Zenith"/>
    <n v="2"/>
    <n v="436.96"/>
    <n v="0.25"/>
    <n v="52.44"/>
    <n v="9.2799999999999994"/>
    <n v="717.16"/>
    <s v="Credit Card"/>
    <s v="Delivered"/>
    <s v="Indianapolis"/>
    <s v="IN"/>
    <s v="United States"/>
  </r>
  <r>
    <s v="ORD0000398"/>
    <x v="349"/>
    <s v="CUST011417"/>
    <s v="Vivaan Reddy"/>
    <x v="3"/>
    <x v="2"/>
    <s v="Zenith"/>
    <n v="3"/>
    <n v="236.65"/>
    <n v="0"/>
    <n v="56.8"/>
    <n v="3.2"/>
    <n v="769.95"/>
    <s v="Net Banking"/>
    <s v="Delivered"/>
    <s v="Houston"/>
    <s v="TX"/>
    <s v="India"/>
  </r>
  <r>
    <s v="ORD0000399"/>
    <x v="350"/>
    <s v="CUST034217"/>
    <s v="Priya Singh"/>
    <x v="17"/>
    <x v="5"/>
    <s v="UrbanStyle"/>
    <n v="4"/>
    <n v="124.35"/>
    <n v="0"/>
    <n v="24.87"/>
    <n v="12.79"/>
    <n v="535.05999999999995"/>
    <s v="Debit Card"/>
    <s v="Shipped"/>
    <s v="Los Angeles"/>
    <s v="CA"/>
    <s v="Canada"/>
  </r>
  <r>
    <s v="ORD0000400"/>
    <x v="351"/>
    <s v="CUST033773"/>
    <s v="Neha Verma"/>
    <x v="32"/>
    <x v="4"/>
    <s v="CoreTech"/>
    <n v="4"/>
    <n v="388.55"/>
    <n v="0"/>
    <n v="77.709999999999994"/>
    <n v="1.1499999999999999"/>
    <n v="1633.06"/>
    <s v="Cash on Delivery"/>
    <s v="Shipped"/>
    <s v="Philadelphia"/>
    <s v="PA"/>
    <s v="United States"/>
  </r>
  <r>
    <s v="ORD0000401"/>
    <x v="352"/>
    <s v="CUST009971"/>
    <s v="Aarav Kapoor"/>
    <x v="16"/>
    <x v="0"/>
    <s v="Apex"/>
    <n v="2"/>
    <n v="409.25"/>
    <n v="0.05"/>
    <n v="0"/>
    <n v="13.68"/>
    <n v="791.25"/>
    <s v="Credit Card"/>
    <s v="Delivered"/>
    <s v="Washington"/>
    <s v="DC"/>
    <s v="United States"/>
  </r>
  <r>
    <s v="ORD0000402"/>
    <x v="353"/>
    <s v="CUST016596"/>
    <s v="Priya Joshi"/>
    <x v="41"/>
    <x v="1"/>
    <s v="HomeEase"/>
    <n v="2"/>
    <n v="466.29"/>
    <n v="0.3"/>
    <n v="52.22"/>
    <n v="7.92"/>
    <n v="712.95"/>
    <s v="Debit Card"/>
    <s v="Shipped"/>
    <s v="San Antonio"/>
    <s v="TX"/>
    <s v="United Kingdom"/>
  </r>
  <r>
    <s v="ORD0000403"/>
    <x v="50"/>
    <s v="CUST022332"/>
    <s v="Neha Joshi"/>
    <x v="31"/>
    <x v="1"/>
    <s v="FitLife"/>
    <n v="3"/>
    <n v="321.01"/>
    <n v="0"/>
    <n v="115.56"/>
    <n v="9.7200000000000006"/>
    <n v="1088.31"/>
    <s v="Amazon Pay"/>
    <s v="Delivered"/>
    <s v="Seattle"/>
    <s v="WA"/>
    <s v="Australia"/>
  </r>
  <r>
    <s v="ORD0000404"/>
    <x v="354"/>
    <s v="CUST027937"/>
    <s v="Anjali Singh"/>
    <x v="14"/>
    <x v="3"/>
    <s v="Apex"/>
    <n v="4"/>
    <n v="145.75"/>
    <n v="0.15"/>
    <n v="59.47"/>
    <n v="9.7799999999999994"/>
    <n v="564.79999999999995"/>
    <s v="Credit Card"/>
    <s v="Delivered"/>
    <s v="Houston"/>
    <s v="TX"/>
    <s v="India"/>
  </r>
  <r>
    <s v="ORD0000405"/>
    <x v="355"/>
    <s v="CUST030345"/>
    <s v="Vivaan Gupta"/>
    <x v="48"/>
    <x v="0"/>
    <s v="Apex"/>
    <n v="3"/>
    <n v="557.97"/>
    <n v="0.05"/>
    <n v="190.83"/>
    <n v="13.16"/>
    <n v="1794.2"/>
    <s v="Debit Card"/>
    <s v="Delivered"/>
    <s v="Los Angeles"/>
    <s v="CA"/>
    <s v="India"/>
  </r>
  <r>
    <s v="ORD0000406"/>
    <x v="213"/>
    <s v="CUST008370"/>
    <s v="Neha Verma"/>
    <x v="21"/>
    <x v="5"/>
    <s v="HomeEase"/>
    <n v="2"/>
    <n v="353.9"/>
    <n v="0"/>
    <n v="56.62"/>
    <n v="6.24"/>
    <n v="770.66"/>
    <s v="Credit Card"/>
    <s v="Delivered"/>
    <s v="Denver"/>
    <s v="CO"/>
    <s v="United States"/>
  </r>
  <r>
    <s v="ORD0000407"/>
    <x v="356"/>
    <s v="CUST044703"/>
    <s v="Aditya Mehta"/>
    <x v="39"/>
    <x v="4"/>
    <s v="FitLife"/>
    <n v="5"/>
    <n v="7.14"/>
    <n v="0.1"/>
    <n v="0"/>
    <n v="4.57"/>
    <n v="36.700000000000003"/>
    <s v="Net Banking"/>
    <s v="Delivered"/>
    <s v="San Francisco"/>
    <s v="CA"/>
    <s v="United States"/>
  </r>
  <r>
    <s v="ORD0000408"/>
    <x v="357"/>
    <s v="CUST030597"/>
    <s v="Neha Verma"/>
    <x v="15"/>
    <x v="0"/>
    <s v="Apex"/>
    <n v="5"/>
    <n v="237.5"/>
    <n v="0"/>
    <n v="95"/>
    <n v="7.08"/>
    <n v="1289.58"/>
    <s v="Debit Card"/>
    <s v="Delivered"/>
    <s v="Austin"/>
    <s v="TX"/>
    <s v="United States"/>
  </r>
  <r>
    <s v="ORD0000409"/>
    <x v="339"/>
    <s v="CUST045230"/>
    <s v="Ritika Sharma"/>
    <x v="39"/>
    <x v="4"/>
    <s v="FitLife"/>
    <n v="4"/>
    <n v="133.38999999999999"/>
    <n v="0"/>
    <n v="96.04"/>
    <n v="5.4"/>
    <n v="635"/>
    <s v="Cash on Delivery"/>
    <s v="Returned"/>
    <s v="San Jose"/>
    <s v="CA"/>
    <s v="United States"/>
  </r>
  <r>
    <s v="ORD0000410"/>
    <x v="358"/>
    <s v="CUST022493"/>
    <s v="Arjun Singh"/>
    <x v="18"/>
    <x v="4"/>
    <s v="KiddoFun"/>
    <n v="5"/>
    <n v="262.89999999999998"/>
    <n v="0"/>
    <n v="65.73"/>
    <n v="12.41"/>
    <n v="1392.64"/>
    <s v="Credit Card"/>
    <s v="Delivered"/>
    <s v="Charlotte"/>
    <s v="NC"/>
    <s v="India"/>
  </r>
  <r>
    <s v="ORD0000411"/>
    <x v="359"/>
    <s v="CUST045811"/>
    <s v="Ritika Gupta"/>
    <x v="22"/>
    <x v="1"/>
    <s v="FitLife"/>
    <n v="3"/>
    <n v="446.18"/>
    <n v="0"/>
    <n v="160.62"/>
    <n v="0.96"/>
    <n v="1500.12"/>
    <s v="Amazon Pay"/>
    <s v="Delivered"/>
    <s v="Houston"/>
    <s v="TX"/>
    <s v="United States"/>
  </r>
  <r>
    <s v="ORD0000412"/>
    <x v="360"/>
    <s v="CUST041583"/>
    <s v="Aditya Kumar"/>
    <x v="34"/>
    <x v="2"/>
    <s v="NexPro"/>
    <n v="5"/>
    <n v="187.2"/>
    <n v="0.25"/>
    <n v="35.1"/>
    <n v="9.8699999999999992"/>
    <n v="746.97"/>
    <s v="Credit Card"/>
    <s v="Delivered"/>
    <s v="San Antonio"/>
    <s v="TX"/>
    <s v="United States"/>
  </r>
  <r>
    <s v="ORD0000413"/>
    <x v="110"/>
    <s v="CUST049796"/>
    <s v="Vihaan Reddy"/>
    <x v="3"/>
    <x v="2"/>
    <s v="CoreTech"/>
    <n v="1"/>
    <n v="52.83"/>
    <n v="0"/>
    <n v="2.64"/>
    <n v="5.48"/>
    <n v="60.95"/>
    <s v="Credit Card"/>
    <s v="Delivered"/>
    <s v="Jacksonville"/>
    <s v="FL"/>
    <s v="India"/>
  </r>
  <r>
    <s v="ORD0000414"/>
    <x v="361"/>
    <s v="CUST000031"/>
    <s v="Karan Kapoor"/>
    <x v="33"/>
    <x v="5"/>
    <s v="Apex"/>
    <n v="3"/>
    <n v="451.4"/>
    <n v="0.25"/>
    <n v="121.88"/>
    <n v="3.69"/>
    <n v="1141.22"/>
    <s v="Debit Card"/>
    <s v="Shipped"/>
    <s v="Seattle"/>
    <s v="WA"/>
    <s v="United States"/>
  </r>
  <r>
    <s v="ORD0000415"/>
    <x v="362"/>
    <s v="CUST008196"/>
    <s v="Kabir Kapoor"/>
    <x v="45"/>
    <x v="1"/>
    <s v="UrbanStyle"/>
    <n v="3"/>
    <n v="532.69000000000005"/>
    <n v="0"/>
    <n v="287.64999999999998"/>
    <n v="10.38"/>
    <n v="1896.1"/>
    <s v="Amazon Pay"/>
    <s v="Cancelled"/>
    <s v="Washington"/>
    <s v="DC"/>
    <s v="India"/>
  </r>
  <r>
    <s v="ORD0000416"/>
    <x v="308"/>
    <s v="CUST013179"/>
    <s v="Sneha Reddy"/>
    <x v="27"/>
    <x v="2"/>
    <s v="UrbanStyle"/>
    <n v="1"/>
    <n v="52.02"/>
    <n v="0"/>
    <n v="9.36"/>
    <n v="11.07"/>
    <n v="72.45"/>
    <s v="Debit Card"/>
    <s v="Delivered"/>
    <s v="San Francisco"/>
    <s v="CA"/>
    <s v="United States"/>
  </r>
  <r>
    <s v="ORD0000417"/>
    <x v="363"/>
    <s v="CUST000018"/>
    <s v="Sunita Joshi"/>
    <x v="19"/>
    <x v="0"/>
    <s v="KiddoFun"/>
    <n v="4"/>
    <n v="514.98"/>
    <n v="0.05"/>
    <n v="0"/>
    <n v="3.55"/>
    <n v="1960.47"/>
    <s v="Credit Card"/>
    <s v="Delivered"/>
    <s v="Philadelphia"/>
    <s v="PA"/>
    <s v="United States"/>
  </r>
  <r>
    <s v="ORD0000418"/>
    <x v="98"/>
    <s v="CUST025938"/>
    <s v="Simran Gupta"/>
    <x v="6"/>
    <x v="5"/>
    <s v="ReadMore"/>
    <n v="4"/>
    <n v="557.57000000000005"/>
    <n v="0.15"/>
    <n v="151.66"/>
    <n v="11.32"/>
    <n v="2058.7199999999998"/>
    <s v="Credit Card"/>
    <s v="Delivered"/>
    <s v="Washington"/>
    <s v="DC"/>
    <s v="United States"/>
  </r>
  <r>
    <s v="ORD0000419"/>
    <x v="364"/>
    <s v="CUST037096"/>
    <s v="Ritika Mehta"/>
    <x v="46"/>
    <x v="1"/>
    <s v="Zenith"/>
    <n v="3"/>
    <n v="495.51"/>
    <n v="0.3"/>
    <n v="124.87"/>
    <n v="4.78"/>
    <n v="1170.22"/>
    <s v="Net Banking"/>
    <s v="Pending"/>
    <s v="San Diego"/>
    <s v="CA"/>
    <s v="United States"/>
  </r>
  <r>
    <s v="ORD0000420"/>
    <x v="365"/>
    <s v="CUST001826"/>
    <s v="Priya Kapoor"/>
    <x v="21"/>
    <x v="1"/>
    <s v="Zenith"/>
    <n v="4"/>
    <n v="26.26"/>
    <n v="0.1"/>
    <n v="4.7300000000000004"/>
    <n v="4.1399999999999997"/>
    <n v="103.41"/>
    <s v="Amazon Pay"/>
    <s v="Shipped"/>
    <s v="Denver"/>
    <s v="CO"/>
    <s v="United States"/>
  </r>
  <r>
    <s v="ORD0000421"/>
    <x v="366"/>
    <s v="CUST024624"/>
    <s v="Kabir Sharma"/>
    <x v="24"/>
    <x v="5"/>
    <s v="CoreTech"/>
    <n v="3"/>
    <n v="177.18"/>
    <n v="0"/>
    <n v="63.78"/>
    <n v="9.18"/>
    <n v="604.5"/>
    <s v="Cash on Delivery"/>
    <s v="Delivered"/>
    <s v="Dallas"/>
    <s v="TX"/>
    <s v="United States"/>
  </r>
  <r>
    <s v="ORD0000422"/>
    <x v="28"/>
    <s v="CUST006207"/>
    <s v="Kabir Verma"/>
    <x v="47"/>
    <x v="0"/>
    <s v="NexPro"/>
    <n v="3"/>
    <n v="168.62"/>
    <n v="0.05"/>
    <n v="24.03"/>
    <n v="14.43"/>
    <n v="519.03"/>
    <s v="UPI"/>
    <s v="Delivered"/>
    <s v="San Antonio"/>
    <s v="TX"/>
    <s v="United States"/>
  </r>
  <r>
    <s v="ORD0000423"/>
    <x v="367"/>
    <s v="CUST019546"/>
    <s v="Rohit Kumar"/>
    <x v="13"/>
    <x v="1"/>
    <s v="KiddoFun"/>
    <n v="2"/>
    <n v="254.34"/>
    <n v="0"/>
    <n v="40.69"/>
    <n v="2.34"/>
    <n v="551.71"/>
    <s v="Net Banking"/>
    <s v="Shipped"/>
    <s v="Austin"/>
    <s v="TX"/>
    <s v="United States"/>
  </r>
  <r>
    <s v="ORD0000424"/>
    <x v="368"/>
    <s v="CUST034816"/>
    <s v="Pooja Verma"/>
    <x v="24"/>
    <x v="4"/>
    <s v="Apex"/>
    <n v="5"/>
    <n v="125.23"/>
    <n v="0.15"/>
    <n v="26.61"/>
    <n v="2.11"/>
    <n v="560.95000000000005"/>
    <s v="UPI"/>
    <s v="Delivered"/>
    <s v="Los Angeles"/>
    <s v="CA"/>
    <s v="United Kingdom"/>
  </r>
  <r>
    <s v="ORD0000425"/>
    <x v="369"/>
    <s v="CUST007767"/>
    <s v="Mohit Kumar"/>
    <x v="32"/>
    <x v="1"/>
    <s v="CoreTech"/>
    <n v="5"/>
    <n v="556.34"/>
    <n v="0"/>
    <n v="333.8"/>
    <n v="5.55"/>
    <n v="3121.05"/>
    <s v="Debit Card"/>
    <s v="Shipped"/>
    <s v="San Francisco"/>
    <s v="CA"/>
    <s v="India"/>
  </r>
  <r>
    <s v="ORD0000426"/>
    <x v="370"/>
    <s v="CUST024865"/>
    <s v="Mohit Reddy"/>
    <x v="1"/>
    <x v="5"/>
    <s v="BrightLux"/>
    <n v="1"/>
    <n v="124.17"/>
    <n v="0.25"/>
    <n v="4.66"/>
    <n v="3.04"/>
    <n v="100.83"/>
    <s v="Credit Card"/>
    <s v="Delivered"/>
    <s v="Chicago"/>
    <s v="IL"/>
    <s v="United States"/>
  </r>
  <r>
    <s v="ORD0000427"/>
    <x v="371"/>
    <s v="CUST007249"/>
    <s v="Aditya Singh"/>
    <x v="5"/>
    <x v="4"/>
    <s v="BrightLux"/>
    <n v="3"/>
    <n v="234.48"/>
    <n v="0"/>
    <n v="35.17"/>
    <n v="4.3099999999999996"/>
    <n v="742.92"/>
    <s v="Net Banking"/>
    <s v="Delivered"/>
    <s v="Denver"/>
    <s v="CO"/>
    <s v="United States"/>
  </r>
  <r>
    <s v="ORD0000428"/>
    <x v="372"/>
    <s v="CUST024746"/>
    <s v="Aarav Mehta"/>
    <x v="28"/>
    <x v="4"/>
    <s v="FitLife"/>
    <n v="5"/>
    <n v="326.45999999999998"/>
    <n v="0"/>
    <n v="293.81"/>
    <n v="6.8"/>
    <n v="1932.91"/>
    <s v="Debit Card"/>
    <s v="Delivered"/>
    <s v="Fort Worth"/>
    <s v="TX"/>
    <s v="United States"/>
  </r>
  <r>
    <s v="ORD0000429"/>
    <x v="373"/>
    <s v="CUST016032"/>
    <s v="Simran Kapoor"/>
    <x v="0"/>
    <x v="3"/>
    <s v="NexPro"/>
    <n v="4"/>
    <n v="147"/>
    <n v="0.05"/>
    <n v="27.93"/>
    <n v="7.9"/>
    <n v="594.42999999999995"/>
    <s v="Credit Card"/>
    <s v="Delivered"/>
    <s v="San Francisco"/>
    <s v="CA"/>
    <s v="United States"/>
  </r>
  <r>
    <s v="ORD0000430"/>
    <x v="374"/>
    <s v="CUST028771"/>
    <s v="Neha Gupta"/>
    <x v="1"/>
    <x v="3"/>
    <s v="FitLife"/>
    <n v="4"/>
    <n v="238.49"/>
    <n v="0"/>
    <n v="114.48"/>
    <n v="3.1"/>
    <n v="1071.54"/>
    <s v="Amazon Pay"/>
    <s v="Shipped"/>
    <s v="Washington"/>
    <s v="DC"/>
    <s v="United States"/>
  </r>
  <r>
    <s v="ORD0000431"/>
    <x v="15"/>
    <s v="CUST023411"/>
    <s v="Vivaan Kumar"/>
    <x v="37"/>
    <x v="3"/>
    <s v="HomeEase"/>
    <n v="5"/>
    <n v="464.26"/>
    <n v="0.25"/>
    <n v="87.05"/>
    <n v="4.41"/>
    <n v="1832.44"/>
    <s v="Credit Card"/>
    <s v="Delivered"/>
    <s v="San Jose"/>
    <s v="CA"/>
    <s v="United States"/>
  </r>
  <r>
    <s v="ORD0000432"/>
    <x v="375"/>
    <s v="CUST040414"/>
    <s v="Priya Gupta"/>
    <x v="19"/>
    <x v="5"/>
    <s v="CoreTech"/>
    <n v="3"/>
    <n v="162.19"/>
    <n v="0"/>
    <n v="38.93"/>
    <n v="13.08"/>
    <n v="538.58000000000004"/>
    <s v="Net Banking"/>
    <s v="Delivered"/>
    <s v="Columbus"/>
    <s v="OH"/>
    <s v="Australia"/>
  </r>
  <r>
    <s v="ORD0000433"/>
    <x v="153"/>
    <s v="CUST018575"/>
    <s v="Simran Verma"/>
    <x v="37"/>
    <x v="4"/>
    <s v="Zenith"/>
    <n v="4"/>
    <n v="416.04"/>
    <n v="0"/>
    <n v="0"/>
    <n v="3.76"/>
    <n v="1667.92"/>
    <s v="Credit Card"/>
    <s v="Shipped"/>
    <s v="Los Angeles"/>
    <s v="CA"/>
    <s v="United States"/>
  </r>
  <r>
    <s v="ORD0000434"/>
    <x v="217"/>
    <s v="CUST039284"/>
    <s v="Sneha Gupta"/>
    <x v="31"/>
    <x v="5"/>
    <s v="KiddoFun"/>
    <n v="5"/>
    <n v="446.28"/>
    <n v="0"/>
    <n v="178.51"/>
    <n v="14.42"/>
    <n v="2424.33"/>
    <s v="UPI"/>
    <s v="Shipped"/>
    <s v="San Jose"/>
    <s v="CA"/>
    <s v="United States"/>
  </r>
  <r>
    <s v="ORD0000435"/>
    <x v="309"/>
    <s v="CUST044787"/>
    <s v="Ritika Kumar"/>
    <x v="31"/>
    <x v="1"/>
    <s v="FitLife"/>
    <n v="1"/>
    <n v="34.57"/>
    <n v="0"/>
    <n v="1.73"/>
    <n v="5.7"/>
    <n v="42"/>
    <s v="Cash on Delivery"/>
    <s v="Delivered"/>
    <s v="Denver"/>
    <s v="CO"/>
    <s v="United States"/>
  </r>
  <r>
    <s v="ORD0000436"/>
    <x v="266"/>
    <s v="CUST013895"/>
    <s v="Karan Verma"/>
    <x v="36"/>
    <x v="3"/>
    <s v="CoreTech"/>
    <n v="2"/>
    <n v="281.76"/>
    <n v="0.15"/>
    <n v="57.48"/>
    <n v="6.97"/>
    <n v="543.44000000000005"/>
    <s v="Net Banking"/>
    <s v="Delivered"/>
    <s v="Austin"/>
    <s v="TX"/>
    <s v="United States"/>
  </r>
  <r>
    <s v="ORD0000437"/>
    <x v="280"/>
    <s v="CUST047497"/>
    <s v="Sahil Kumar"/>
    <x v="16"/>
    <x v="1"/>
    <s v="Zenith"/>
    <n v="5"/>
    <n v="36.14"/>
    <n v="0.05"/>
    <n v="8.58"/>
    <n v="11.65"/>
    <n v="191.9"/>
    <s v="Debit Card"/>
    <s v="Shipped"/>
    <s v="Indianapolis"/>
    <s v="IN"/>
    <s v="United Kingdom"/>
  </r>
  <r>
    <s v="ORD0000438"/>
    <x v="376"/>
    <s v="CUST032397"/>
    <s v="Arjun Gupta"/>
    <x v="37"/>
    <x v="2"/>
    <s v="ReadMore"/>
    <n v="5"/>
    <n v="589.23"/>
    <n v="0.15"/>
    <n v="0"/>
    <n v="0.03"/>
    <n v="2504.2600000000002"/>
    <s v="UPI"/>
    <s v="Delivered"/>
    <s v="Phoenix"/>
    <s v="AZ"/>
    <s v="United Kingdom"/>
  </r>
  <r>
    <s v="ORD0000439"/>
    <x v="377"/>
    <s v="CUST021608"/>
    <s v="Arjun Verma"/>
    <x v="44"/>
    <x v="4"/>
    <s v="NexPro"/>
    <n v="3"/>
    <n v="108.48"/>
    <n v="0.05"/>
    <n v="37.1"/>
    <n v="14.17"/>
    <n v="360.44"/>
    <s v="Debit Card"/>
    <s v="Delivered"/>
    <s v="Phoenix"/>
    <s v="AZ"/>
    <s v="United States"/>
  </r>
  <r>
    <s v="ORD0000440"/>
    <x v="378"/>
    <s v="CUST042130"/>
    <s v="Vivaan Singh"/>
    <x v="8"/>
    <x v="3"/>
    <s v="UrbanStyle"/>
    <n v="5"/>
    <n v="446.24"/>
    <n v="0"/>
    <n v="111.56"/>
    <n v="9.36"/>
    <n v="2352.12"/>
    <s v="Credit Card"/>
    <s v="Delivered"/>
    <s v="Phoenix"/>
    <s v="AZ"/>
    <s v="United States"/>
  </r>
  <r>
    <s v="ORD0000441"/>
    <x v="379"/>
    <s v="CUST011939"/>
    <s v="Priya Kapoor"/>
    <x v="8"/>
    <x v="5"/>
    <s v="NexPro"/>
    <n v="5"/>
    <n v="439.14"/>
    <n v="0.2"/>
    <n v="140.52000000000001"/>
    <n v="3.78"/>
    <n v="1900.86"/>
    <s v="Credit Card"/>
    <s v="Delivered"/>
    <s v="Columbus"/>
    <s v="OH"/>
    <s v="United States"/>
  </r>
  <r>
    <s v="ORD0000442"/>
    <x v="312"/>
    <s v="CUST032769"/>
    <s v="Ritika Gupta"/>
    <x v="44"/>
    <x v="2"/>
    <s v="ReadMore"/>
    <n v="4"/>
    <n v="225.16"/>
    <n v="0"/>
    <n v="72.05"/>
    <n v="0.92"/>
    <n v="973.61"/>
    <s v="Credit Card"/>
    <s v="Delivered"/>
    <s v="Columbus"/>
    <s v="OH"/>
    <s v="United States"/>
  </r>
  <r>
    <s v="ORD0000443"/>
    <x v="44"/>
    <s v="CUST039640"/>
    <s v="Simran Verma"/>
    <x v="40"/>
    <x v="1"/>
    <s v="ReadMore"/>
    <n v="2"/>
    <n v="430.44"/>
    <n v="0.15"/>
    <n v="87.81"/>
    <n v="0.26"/>
    <n v="819.82"/>
    <s v="Debit Card"/>
    <s v="Delivered"/>
    <s v="Philadelphia"/>
    <s v="PA"/>
    <s v="United States"/>
  </r>
  <r>
    <s v="ORD0000444"/>
    <x v="380"/>
    <s v="CUST005245"/>
    <s v="Simran Gupta"/>
    <x v="42"/>
    <x v="3"/>
    <s v="CoreTech"/>
    <n v="4"/>
    <n v="197.15"/>
    <n v="0.05"/>
    <n v="134.85"/>
    <n v="3.07"/>
    <n v="887.09"/>
    <s v="Net Banking"/>
    <s v="Returned"/>
    <s v="San Jose"/>
    <s v="CA"/>
    <s v="United Kingdom"/>
  </r>
  <r>
    <s v="ORD0000445"/>
    <x v="381"/>
    <s v="CUST029042"/>
    <s v="Sunita Gupta"/>
    <x v="10"/>
    <x v="1"/>
    <s v="NexPro"/>
    <n v="1"/>
    <n v="68.55"/>
    <n v="0"/>
    <n v="3.43"/>
    <n v="1.06"/>
    <n v="73.040000000000006"/>
    <s v="Amazon Pay"/>
    <s v="Delivered"/>
    <s v="San Diego"/>
    <s v="CA"/>
    <s v="United States"/>
  </r>
  <r>
    <s v="ORD0000446"/>
    <x v="382"/>
    <s v="CUST007204"/>
    <s v="Aman Reddy"/>
    <x v="41"/>
    <x v="0"/>
    <s v="Zenith"/>
    <n v="1"/>
    <n v="565.14"/>
    <n v="0.2"/>
    <n v="22.61"/>
    <n v="14.44"/>
    <n v="489.16"/>
    <s v="Net Banking"/>
    <s v="Delivered"/>
    <s v="Chicago"/>
    <s v="IL"/>
    <s v="Canada"/>
  </r>
  <r>
    <s v="ORD0000447"/>
    <x v="35"/>
    <s v="CUST049394"/>
    <s v="Neha Joshi"/>
    <x v="8"/>
    <x v="1"/>
    <s v="UrbanStyle"/>
    <n v="4"/>
    <n v="380.51"/>
    <n v="0"/>
    <n v="76.099999999999994"/>
    <n v="6.78"/>
    <n v="1604.92"/>
    <s v="Amazon Pay"/>
    <s v="Delivered"/>
    <s v="New York"/>
    <s v="NY"/>
    <s v="United States"/>
  </r>
  <r>
    <s v="ORD0000448"/>
    <x v="383"/>
    <s v="CUST032464"/>
    <s v="Aditya Kapoor"/>
    <x v="44"/>
    <x v="4"/>
    <s v="Apex"/>
    <n v="5"/>
    <n v="73.63"/>
    <n v="0.2"/>
    <n v="14.73"/>
    <n v="1.28"/>
    <n v="310.52999999999997"/>
    <s v="UPI"/>
    <s v="Delivered"/>
    <s v="Phoenix"/>
    <s v="AZ"/>
    <s v="United States"/>
  </r>
  <r>
    <s v="ORD0000449"/>
    <x v="384"/>
    <s v="CUST021458"/>
    <s v="Vivaan Mehta"/>
    <x v="0"/>
    <x v="1"/>
    <s v="FitLife"/>
    <n v="5"/>
    <n v="126.64"/>
    <n v="0.25"/>
    <n v="0"/>
    <n v="7.13"/>
    <n v="482.03"/>
    <s v="Debit Card"/>
    <s v="Delivered"/>
    <s v="Houston"/>
    <s v="TX"/>
    <s v="India"/>
  </r>
  <r>
    <s v="ORD0000450"/>
    <x v="31"/>
    <s v="CUST044799"/>
    <s v="Anjali Kapoor"/>
    <x v="30"/>
    <x v="5"/>
    <s v="FitLife"/>
    <n v="1"/>
    <n v="81.66"/>
    <n v="0.1"/>
    <n v="5.88"/>
    <n v="0.62"/>
    <n v="79.989999999999995"/>
    <s v="Credit Card"/>
    <s v="Delivered"/>
    <s v="Fort Worth"/>
    <s v="TX"/>
    <s v="India"/>
  </r>
  <r>
    <s v="ORD0000451"/>
    <x v="385"/>
    <s v="CUST011203"/>
    <s v="Pooja Sharma"/>
    <x v="12"/>
    <x v="1"/>
    <s v="CoreTech"/>
    <n v="3"/>
    <n v="32.950000000000003"/>
    <n v="0.1"/>
    <n v="10.68"/>
    <n v="10.47"/>
    <n v="110.12"/>
    <s v="Net Banking"/>
    <s v="Shipped"/>
    <s v="Fort Worth"/>
    <s v="TX"/>
    <s v="United Kingdom"/>
  </r>
  <r>
    <s v="ORD0000452"/>
    <x v="386"/>
    <s v="CUST048942"/>
    <s v="Aditya Kumar"/>
    <x v="5"/>
    <x v="3"/>
    <s v="HomeEase"/>
    <n v="1"/>
    <n v="481.52"/>
    <n v="0.1"/>
    <n v="0"/>
    <n v="5.9"/>
    <n v="439.27"/>
    <s v="Credit Card"/>
    <s v="Delivered"/>
    <s v="San Antonio"/>
    <s v="TX"/>
    <s v="United States"/>
  </r>
  <r>
    <s v="ORD0000453"/>
    <x v="387"/>
    <s v="CUST021245"/>
    <s v="Ritika Kapoor"/>
    <x v="0"/>
    <x v="4"/>
    <s v="ReadMore"/>
    <n v="1"/>
    <n v="30.73"/>
    <n v="0.05"/>
    <n v="1.46"/>
    <n v="2.2999999999999998"/>
    <n v="32.950000000000003"/>
    <s v="UPI"/>
    <s v="Delivered"/>
    <s v="Denver"/>
    <s v="CO"/>
    <s v="United States"/>
  </r>
  <r>
    <s v="ORD0000454"/>
    <x v="388"/>
    <s v="CUST021669"/>
    <s v="Aarav Gupta"/>
    <x v="2"/>
    <x v="0"/>
    <s v="CoreTech"/>
    <n v="1"/>
    <n v="425.5"/>
    <n v="0.05"/>
    <n v="20.21"/>
    <n v="9.18"/>
    <n v="433.61"/>
    <s v="Credit Card"/>
    <s v="Shipped"/>
    <s v="Fort Worth"/>
    <s v="TX"/>
    <s v="United States"/>
  </r>
  <r>
    <s v="ORD0000455"/>
    <x v="389"/>
    <s v="CUST012286"/>
    <s v="Ritika Sharma"/>
    <x v="15"/>
    <x v="4"/>
    <s v="NexPro"/>
    <n v="4"/>
    <n v="456.47"/>
    <n v="0.15"/>
    <n v="77.599999999999994"/>
    <n v="0.88"/>
    <n v="1630.48"/>
    <s v="Credit Card"/>
    <s v="Delivered"/>
    <s v="Charlotte"/>
    <s v="NC"/>
    <s v="United States"/>
  </r>
  <r>
    <s v="ORD0000456"/>
    <x v="390"/>
    <s v="CUST027621"/>
    <s v="Mohit Joshi"/>
    <x v="47"/>
    <x v="1"/>
    <s v="KiddoFun"/>
    <n v="3"/>
    <n v="129.68"/>
    <n v="0.05"/>
    <n v="29.57"/>
    <n v="10.42"/>
    <n v="409.58"/>
    <s v="Cash on Delivery"/>
    <s v="Delivered"/>
    <s v="Fort Worth"/>
    <s v="TX"/>
    <s v="India"/>
  </r>
  <r>
    <s v="ORD0000457"/>
    <x v="86"/>
    <s v="CUST049115"/>
    <s v="Aman Joshi"/>
    <x v="46"/>
    <x v="2"/>
    <s v="BrightLux"/>
    <n v="4"/>
    <n v="436.19"/>
    <n v="0.2"/>
    <n v="111.66"/>
    <n v="9.43"/>
    <n v="1516.9"/>
    <s v="Credit Card"/>
    <s v="Delivered"/>
    <s v="Fort Worth"/>
    <s v="TX"/>
    <s v="Australia"/>
  </r>
  <r>
    <s v="ORD0000458"/>
    <x v="391"/>
    <s v="CUST018220"/>
    <s v="Pooja Singh"/>
    <x v="39"/>
    <x v="4"/>
    <s v="CoreTech"/>
    <n v="4"/>
    <n v="406.52"/>
    <n v="0.2"/>
    <n v="65.040000000000006"/>
    <n v="5.64"/>
    <n v="1371.54"/>
    <s v="Amazon Pay"/>
    <s v="Delivered"/>
    <s v="Indianapolis"/>
    <s v="IN"/>
    <s v="United States"/>
  </r>
  <r>
    <s v="ORD0000459"/>
    <x v="386"/>
    <s v="CUST016196"/>
    <s v="Ritika Mehta"/>
    <x v="41"/>
    <x v="1"/>
    <s v="CoreTech"/>
    <n v="4"/>
    <n v="533.72"/>
    <n v="0.05"/>
    <n v="0"/>
    <n v="0.17"/>
    <n v="2028.31"/>
    <s v="UPI"/>
    <s v="Delivered"/>
    <s v="Indianapolis"/>
    <s v="IN"/>
    <s v="United States"/>
  </r>
  <r>
    <s v="ORD0000460"/>
    <x v="392"/>
    <s v="CUST005196"/>
    <s v="Neha Verma"/>
    <x v="15"/>
    <x v="5"/>
    <s v="FitLife"/>
    <n v="1"/>
    <n v="93.25"/>
    <n v="0"/>
    <n v="7.46"/>
    <n v="3.43"/>
    <n v="104.14"/>
    <s v="Credit Card"/>
    <s v="Delivered"/>
    <s v="San Antonio"/>
    <s v="TX"/>
    <s v="United States"/>
  </r>
  <r>
    <s v="ORD0000461"/>
    <x v="393"/>
    <s v="CUST020302"/>
    <s v="Neha Patel"/>
    <x v="48"/>
    <x v="0"/>
    <s v="CoreTech"/>
    <n v="3"/>
    <n v="445.46"/>
    <n v="0.1"/>
    <n v="96.22"/>
    <n v="12.49"/>
    <n v="1311.45"/>
    <s v="Net Banking"/>
    <s v="Delivered"/>
    <s v="San Diego"/>
    <s v="CA"/>
    <s v="India"/>
  </r>
  <r>
    <s v="ORD0000462"/>
    <x v="394"/>
    <s v="CUST003763"/>
    <s v="Karan Patel"/>
    <x v="21"/>
    <x v="0"/>
    <s v="NexPro"/>
    <n v="2"/>
    <n v="197.42"/>
    <n v="0"/>
    <n v="47.38"/>
    <n v="5.37"/>
    <n v="447.59"/>
    <s v="UPI"/>
    <s v="Delivered"/>
    <s v="San Antonio"/>
    <s v="TX"/>
    <s v="Canada"/>
  </r>
  <r>
    <s v="ORD0000463"/>
    <x v="395"/>
    <s v="CUST015050"/>
    <s v="Anjali Verma"/>
    <x v="7"/>
    <x v="1"/>
    <s v="Zenith"/>
    <n v="3"/>
    <n v="15.36"/>
    <n v="0"/>
    <n v="3.69"/>
    <n v="7.65"/>
    <n v="57.42"/>
    <s v="UPI"/>
    <s v="Delivered"/>
    <s v="Columbus"/>
    <s v="OH"/>
    <s v="United States"/>
  </r>
  <r>
    <s v="ORD0000464"/>
    <x v="396"/>
    <s v="CUST041737"/>
    <s v="Mohit Patel"/>
    <x v="29"/>
    <x v="4"/>
    <s v="BrightLux"/>
    <n v="3"/>
    <n v="204.5"/>
    <n v="0.05"/>
    <n v="29.14"/>
    <n v="13.05"/>
    <n v="625.01"/>
    <s v="Cash on Delivery"/>
    <s v="Delivered"/>
    <s v="Indianapolis"/>
    <s v="IN"/>
    <s v="United States"/>
  </r>
  <r>
    <s v="ORD0000465"/>
    <x v="397"/>
    <s v="CUST026072"/>
    <s v="Karan Joshi"/>
    <x v="1"/>
    <x v="2"/>
    <s v="Apex"/>
    <n v="4"/>
    <n v="220.98"/>
    <n v="0"/>
    <n v="44.2"/>
    <n v="9.39"/>
    <n v="937.51"/>
    <s v="Amazon Pay"/>
    <s v="Delivered"/>
    <s v="Seattle"/>
    <s v="WA"/>
    <s v="United States"/>
  </r>
  <r>
    <s v="ORD0000466"/>
    <x v="398"/>
    <s v="CUST049522"/>
    <s v="Priya Mehta"/>
    <x v="48"/>
    <x v="1"/>
    <s v="FitLife"/>
    <n v="3"/>
    <n v="336"/>
    <n v="0"/>
    <n v="50.4"/>
    <n v="5.81"/>
    <n v="1064.21"/>
    <s v="Net Banking"/>
    <s v="Delivered"/>
    <s v="Washington"/>
    <s v="DC"/>
    <s v="India"/>
  </r>
  <r>
    <s v="ORD0000467"/>
    <x v="399"/>
    <s v="CUST022865"/>
    <s v="Sahil Sharma"/>
    <x v="17"/>
    <x v="4"/>
    <s v="BrightLux"/>
    <n v="3"/>
    <n v="533.12"/>
    <n v="0"/>
    <n v="79.97"/>
    <n v="6.18"/>
    <n v="1685.51"/>
    <s v="Credit Card"/>
    <s v="Shipped"/>
    <s v="Seattle"/>
    <s v="WA"/>
    <s v="India"/>
  </r>
  <r>
    <s v="ORD0000468"/>
    <x v="400"/>
    <s v="CUST049733"/>
    <s v="Simran Verma"/>
    <x v="39"/>
    <x v="1"/>
    <s v="BrightLux"/>
    <n v="4"/>
    <n v="346.72"/>
    <n v="0"/>
    <n v="69.34"/>
    <n v="12.25"/>
    <n v="1468.47"/>
    <s v="Net Banking"/>
    <s v="Delivered"/>
    <s v="Fort Worth"/>
    <s v="TX"/>
    <s v="United States"/>
  </r>
  <r>
    <s v="ORD0000469"/>
    <x v="401"/>
    <s v="CUST031650"/>
    <s v="Anjali Gupta"/>
    <x v="15"/>
    <x v="3"/>
    <s v="BrightLux"/>
    <n v="2"/>
    <n v="54.96"/>
    <n v="0"/>
    <n v="19.79"/>
    <n v="5.73"/>
    <n v="135.44"/>
    <s v="Debit Card"/>
    <s v="Delivered"/>
    <s v="Chicago"/>
    <s v="IL"/>
    <s v="United States"/>
  </r>
  <r>
    <s v="ORD0000470"/>
    <x v="238"/>
    <s v="CUST013377"/>
    <s v="Anjali Verma"/>
    <x v="39"/>
    <x v="3"/>
    <s v="Apex"/>
    <n v="3"/>
    <n v="398.54"/>
    <n v="0.05"/>
    <n v="204.45"/>
    <n v="9.0500000000000007"/>
    <n v="1349.34"/>
    <s v="Debit Card"/>
    <s v="Delivered"/>
    <s v="Los Angeles"/>
    <s v="CA"/>
    <s v="United States"/>
  </r>
  <r>
    <s v="ORD0000471"/>
    <x v="402"/>
    <s v="CUST034331"/>
    <s v="Sunita Reddy"/>
    <x v="24"/>
    <x v="4"/>
    <s v="UrbanStyle"/>
    <n v="4"/>
    <n v="237.92"/>
    <n v="0.15"/>
    <n v="64.709999999999994"/>
    <n v="13.11"/>
    <n v="886.75"/>
    <s v="Debit Card"/>
    <s v="Delivered"/>
    <s v="Austin"/>
    <s v="TX"/>
    <s v="United States"/>
  </r>
  <r>
    <s v="ORD0000472"/>
    <x v="403"/>
    <s v="CUST013224"/>
    <s v="Aarav Reddy"/>
    <x v="38"/>
    <x v="5"/>
    <s v="ReadMore"/>
    <n v="1"/>
    <n v="197.91"/>
    <n v="0.1"/>
    <n v="32.06"/>
    <n v="13.59"/>
    <n v="223.77"/>
    <s v="UPI"/>
    <s v="Delivered"/>
    <s v="San Francisco"/>
    <s v="CA"/>
    <s v="Australia"/>
  </r>
  <r>
    <s v="ORD0000473"/>
    <x v="404"/>
    <s v="CUST034822"/>
    <s v="Simran Mehta"/>
    <x v="30"/>
    <x v="1"/>
    <s v="FitLife"/>
    <n v="5"/>
    <n v="132.25"/>
    <n v="0.1"/>
    <n v="47.61"/>
    <n v="10.62"/>
    <n v="653.36"/>
    <s v="Amazon Pay"/>
    <s v="Shipped"/>
    <s v="Los Angeles"/>
    <s v="CA"/>
    <s v="United Kingdom"/>
  </r>
  <r>
    <s v="ORD0000474"/>
    <x v="405"/>
    <s v="CUST042805"/>
    <s v="Vivaan Kumar"/>
    <x v="7"/>
    <x v="4"/>
    <s v="FitLife"/>
    <n v="5"/>
    <n v="361.27"/>
    <n v="0.1"/>
    <n v="195.09"/>
    <n v="7.04"/>
    <n v="1827.84"/>
    <s v="Credit Card"/>
    <s v="Delivered"/>
    <s v="Seattle"/>
    <s v="WA"/>
    <s v="United States"/>
  </r>
  <r>
    <s v="ORD0000475"/>
    <x v="406"/>
    <s v="CUST008630"/>
    <s v="Aman Patel"/>
    <x v="33"/>
    <x v="1"/>
    <s v="FitLife"/>
    <n v="1"/>
    <n v="225.88"/>
    <n v="0"/>
    <n v="18.07"/>
    <n v="8.59"/>
    <n v="252.54"/>
    <s v="UPI"/>
    <s v="Delivered"/>
    <s v="Denver"/>
    <s v="CO"/>
    <s v="India"/>
  </r>
  <r>
    <s v="ORD0000476"/>
    <x v="407"/>
    <s v="CUST034759"/>
    <s v="Kabir Joshi"/>
    <x v="46"/>
    <x v="2"/>
    <s v="KiddoFun"/>
    <n v="2"/>
    <n v="595.48"/>
    <n v="0.2"/>
    <n v="47.64"/>
    <n v="5.69"/>
    <n v="1006.1"/>
    <s v="UPI"/>
    <s v="Delivered"/>
    <s v="Denver"/>
    <s v="CO"/>
    <s v="United States"/>
  </r>
  <r>
    <s v="ORD0000477"/>
    <x v="89"/>
    <s v="CUST036736"/>
    <s v="Simran Sharma"/>
    <x v="22"/>
    <x v="4"/>
    <s v="NexPro"/>
    <n v="1"/>
    <n v="443.67"/>
    <n v="0.2"/>
    <n v="17.75"/>
    <n v="13.76"/>
    <n v="386.45"/>
    <s v="Net Banking"/>
    <s v="Shipped"/>
    <s v="Fort Worth"/>
    <s v="TX"/>
    <s v="United Kingdom"/>
  </r>
  <r>
    <s v="ORD0000478"/>
    <x v="42"/>
    <s v="CUST036150"/>
    <s v="Rohit Gupta"/>
    <x v="36"/>
    <x v="3"/>
    <s v="KiddoFun"/>
    <n v="5"/>
    <n v="71.95"/>
    <n v="0.3"/>
    <n v="20.149999999999999"/>
    <n v="6.15"/>
    <n v="278.12"/>
    <s v="UPI"/>
    <s v="Delivered"/>
    <s v="Chicago"/>
    <s v="IL"/>
    <s v="United States"/>
  </r>
  <r>
    <s v="ORD0000479"/>
    <x v="408"/>
    <s v="CUST039074"/>
    <s v="Sahil Singh"/>
    <x v="1"/>
    <x v="1"/>
    <s v="FitLife"/>
    <n v="3"/>
    <n v="132.25"/>
    <n v="0"/>
    <n v="0"/>
    <n v="12.37"/>
    <n v="409.12"/>
    <s v="Credit Card"/>
    <s v="Delivered"/>
    <s v="San Antonio"/>
    <s v="TX"/>
    <s v="United States"/>
  </r>
  <r>
    <s v="ORD0000480"/>
    <x v="409"/>
    <s v="CUST007456"/>
    <s v="Priya Joshi"/>
    <x v="43"/>
    <x v="1"/>
    <s v="HomeEase"/>
    <n v="1"/>
    <n v="196.79"/>
    <n v="0"/>
    <n v="9.84"/>
    <n v="12.51"/>
    <n v="219.14"/>
    <s v="Amazon Pay"/>
    <s v="Delivered"/>
    <s v="Philadelphia"/>
    <s v="PA"/>
    <s v="United States"/>
  </r>
  <r>
    <s v="ORD0000481"/>
    <x v="410"/>
    <s v="CUST016193"/>
    <s v="Neha Verma"/>
    <x v="21"/>
    <x v="0"/>
    <s v="BrightLux"/>
    <n v="1"/>
    <n v="521.70000000000005"/>
    <n v="0.1"/>
    <n v="0"/>
    <n v="7.95"/>
    <n v="477.48"/>
    <s v="UPI"/>
    <s v="Delivered"/>
    <s v="San Francisco"/>
    <s v="CA"/>
    <s v="India"/>
  </r>
  <r>
    <s v="ORD0000482"/>
    <x v="411"/>
    <s v="CUST022270"/>
    <s v="Aarav Kapoor"/>
    <x v="28"/>
    <x v="3"/>
    <s v="UrbanStyle"/>
    <n v="1"/>
    <n v="19.59"/>
    <n v="0.1"/>
    <n v="0.88"/>
    <n v="1.9"/>
    <n v="20.41"/>
    <s v="Credit Card"/>
    <s v="Returned"/>
    <s v="Jacksonville"/>
    <s v="FL"/>
    <s v="Canada"/>
  </r>
  <r>
    <s v="ORD0000483"/>
    <x v="190"/>
    <s v="CUST023893"/>
    <s v="Sneha Singh"/>
    <x v="6"/>
    <x v="1"/>
    <s v="Zenith"/>
    <n v="3"/>
    <n v="570.89"/>
    <n v="0.05"/>
    <n v="81.349999999999994"/>
    <n v="8.56"/>
    <n v="1716.95"/>
    <s v="Net Banking"/>
    <s v="Delivered"/>
    <s v="Charlotte"/>
    <s v="NC"/>
    <s v="United States"/>
  </r>
  <r>
    <s v="ORD0000484"/>
    <x v="412"/>
    <s v="CUST013837"/>
    <s v="Priya Reddy"/>
    <x v="35"/>
    <x v="4"/>
    <s v="Apex"/>
    <n v="2"/>
    <n v="173.59"/>
    <n v="0"/>
    <n v="27.77"/>
    <n v="5.12"/>
    <n v="380.07"/>
    <s v="Credit Card"/>
    <s v="Delivered"/>
    <s v="San Francisco"/>
    <s v="CA"/>
    <s v="United States"/>
  </r>
  <r>
    <s v="ORD0000485"/>
    <x v="206"/>
    <s v="CUST045576"/>
    <s v="Aarav Reddy"/>
    <x v="30"/>
    <x v="0"/>
    <s v="FitLife"/>
    <n v="2"/>
    <n v="421.75"/>
    <n v="0.05"/>
    <n v="64.11"/>
    <n v="12.2"/>
    <n v="877.64"/>
    <s v="Net Banking"/>
    <s v="Delivered"/>
    <s v="San Francisco"/>
    <s v="CA"/>
    <s v="United States"/>
  </r>
  <r>
    <s v="ORD0000486"/>
    <x v="413"/>
    <s v="CUST027038"/>
    <s v="Karan Verma"/>
    <x v="48"/>
    <x v="0"/>
    <s v="Apex"/>
    <n v="2"/>
    <n v="167.15"/>
    <n v="0"/>
    <n v="26.74"/>
    <n v="1.77"/>
    <n v="362.81"/>
    <s v="Credit Card"/>
    <s v="Delivered"/>
    <s v="San Antonio"/>
    <s v="TX"/>
    <s v="United Kingdom"/>
  </r>
  <r>
    <s v="ORD0000487"/>
    <x v="414"/>
    <s v="CUST005384"/>
    <s v="Sneha Verma"/>
    <x v="12"/>
    <x v="1"/>
    <s v="CoreTech"/>
    <n v="1"/>
    <n v="88.21"/>
    <n v="0.2"/>
    <n v="3.53"/>
    <n v="10.93"/>
    <n v="85.03"/>
    <s v="Debit Card"/>
    <s v="Delivered"/>
    <s v="New York"/>
    <s v="NY"/>
    <s v="United States"/>
  </r>
  <r>
    <s v="ORD0000488"/>
    <x v="415"/>
    <s v="CUST049978"/>
    <s v="Simran Verma"/>
    <x v="25"/>
    <x v="4"/>
    <s v="HomeEase"/>
    <n v="4"/>
    <n v="178.94"/>
    <n v="0"/>
    <n v="128.84"/>
    <n v="10.83"/>
    <n v="855.43"/>
    <s v="Credit Card"/>
    <s v="Delivered"/>
    <s v="Washington"/>
    <s v="DC"/>
    <s v="United States"/>
  </r>
  <r>
    <s v="ORD0000489"/>
    <x v="416"/>
    <s v="CUST017276"/>
    <s v="Arjun Joshi"/>
    <x v="8"/>
    <x v="5"/>
    <s v="NexPro"/>
    <n v="3"/>
    <n v="12.33"/>
    <n v="0"/>
    <n v="0"/>
    <n v="4.63"/>
    <n v="41.62"/>
    <s v="Credit Card"/>
    <s v="Delivered"/>
    <s v="Chicago"/>
    <s v="IL"/>
    <s v="United States"/>
  </r>
  <r>
    <s v="ORD0000490"/>
    <x v="417"/>
    <s v="CUST036187"/>
    <s v="Priya Reddy"/>
    <x v="47"/>
    <x v="0"/>
    <s v="CoreTech"/>
    <n v="3"/>
    <n v="381.52"/>
    <n v="0"/>
    <n v="57.23"/>
    <n v="4.1900000000000004"/>
    <n v="1205.98"/>
    <s v="Credit Card"/>
    <s v="Cancelled"/>
    <s v="Columbus"/>
    <s v="OH"/>
    <s v="United States"/>
  </r>
  <r>
    <s v="ORD0000491"/>
    <x v="355"/>
    <s v="CUST028007"/>
    <s v="Pooja Mehta"/>
    <x v="22"/>
    <x v="2"/>
    <s v="FitLife"/>
    <n v="5"/>
    <n v="475.22"/>
    <n v="0.1"/>
    <n v="256.62"/>
    <n v="11.58"/>
    <n v="2406.69"/>
    <s v="Credit Card"/>
    <s v="Shipped"/>
    <s v="Philadelphia"/>
    <s v="PA"/>
    <s v="Australia"/>
  </r>
  <r>
    <s v="ORD0000492"/>
    <x v="418"/>
    <s v="CUST032599"/>
    <s v="Neha Joshi"/>
    <x v="3"/>
    <x v="0"/>
    <s v="NexPro"/>
    <n v="3"/>
    <n v="5.3"/>
    <n v="0.05"/>
    <n v="0.76"/>
    <n v="4.6100000000000003"/>
    <n v="20.47"/>
    <s v="Debit Card"/>
    <s v="Delivered"/>
    <s v="Chicago"/>
    <s v="IL"/>
    <s v="United States"/>
  </r>
  <r>
    <s v="ORD0000493"/>
    <x v="419"/>
    <s v="CUST013448"/>
    <s v="Sneha Joshi"/>
    <x v="15"/>
    <x v="3"/>
    <s v="NexPro"/>
    <n v="2"/>
    <n v="348.26"/>
    <n v="0.2"/>
    <n v="66.87"/>
    <n v="1.02"/>
    <n v="625.11"/>
    <s v="Debit Card"/>
    <s v="Delivered"/>
    <s v="Washington"/>
    <s v="DC"/>
    <s v="United States"/>
  </r>
  <r>
    <s v="ORD0000494"/>
    <x v="420"/>
    <s v="CUST033085"/>
    <s v="Sahil Singh"/>
    <x v="13"/>
    <x v="5"/>
    <s v="CoreTech"/>
    <n v="2"/>
    <n v="247.81"/>
    <n v="0.15"/>
    <n v="21.06"/>
    <n v="1.38"/>
    <n v="443.72"/>
    <s v="Debit Card"/>
    <s v="Delivered"/>
    <s v="Seattle"/>
    <s v="WA"/>
    <s v="United States"/>
  </r>
  <r>
    <s v="ORD0000495"/>
    <x v="421"/>
    <s v="CUST014799"/>
    <s v="Sunita Kumar"/>
    <x v="11"/>
    <x v="1"/>
    <s v="NexPro"/>
    <n v="2"/>
    <n v="442.68"/>
    <n v="0"/>
    <n v="0"/>
    <n v="8.41"/>
    <n v="893.77"/>
    <s v="Credit Card"/>
    <s v="Delivered"/>
    <s v="Indianapolis"/>
    <s v="IN"/>
    <s v="United States"/>
  </r>
  <r>
    <s v="ORD0000496"/>
    <x v="422"/>
    <s v="CUST041982"/>
    <s v="Kabir Reddy"/>
    <x v="38"/>
    <x v="1"/>
    <s v="FitLife"/>
    <n v="4"/>
    <n v="99.57"/>
    <n v="0.1"/>
    <n v="28.68"/>
    <n v="0.28000000000000003"/>
    <n v="387.41"/>
    <s v="Credit Card"/>
    <s v="Delivered"/>
    <s v="Houston"/>
    <s v="TX"/>
    <s v="India"/>
  </r>
  <r>
    <s v="ORD0000497"/>
    <x v="423"/>
    <s v="CUST017484"/>
    <s v="Arjun Verma"/>
    <x v="40"/>
    <x v="0"/>
    <s v="CoreTech"/>
    <n v="4"/>
    <n v="231.07"/>
    <n v="0"/>
    <n v="73.94"/>
    <n v="4.72"/>
    <n v="1002.94"/>
    <s v="Debit Card"/>
    <s v="Delivered"/>
    <s v="Denver"/>
    <s v="CO"/>
    <s v="United States"/>
  </r>
  <r>
    <s v="ORD0000498"/>
    <x v="424"/>
    <s v="CUST018852"/>
    <s v="Pooja Mehta"/>
    <x v="1"/>
    <x v="0"/>
    <s v="NexPro"/>
    <n v="3"/>
    <n v="514.01"/>
    <n v="0.05"/>
    <n v="117.19"/>
    <n v="5.0599999999999996"/>
    <n v="1587.18"/>
    <s v="Net Banking"/>
    <s v="Delivered"/>
    <s v="Charlotte"/>
    <s v="NC"/>
    <s v="United States"/>
  </r>
  <r>
    <s v="ORD0000499"/>
    <x v="425"/>
    <s v="CUST023915"/>
    <s v="Anjali Reddy"/>
    <x v="32"/>
    <x v="5"/>
    <s v="UrbanStyle"/>
    <n v="5"/>
    <n v="181.03"/>
    <n v="0.05"/>
    <n v="68.790000000000006"/>
    <n v="8.75"/>
    <n v="937.43"/>
    <s v="Net Banking"/>
    <s v="Delivered"/>
    <s v="Jacksonville"/>
    <s v="FL"/>
    <s v="United States"/>
  </r>
  <r>
    <s v="ORD0000500"/>
    <x v="426"/>
    <s v="CUST011710"/>
    <s v="Pooja Sharma"/>
    <x v="48"/>
    <x v="4"/>
    <s v="UrbanStyle"/>
    <n v="5"/>
    <n v="214.2"/>
    <n v="0.2"/>
    <n v="154.22"/>
    <n v="8.69"/>
    <n v="1019.71"/>
    <s v="Credit Card"/>
    <s v="Delivered"/>
    <s v="Washington"/>
    <s v="DC"/>
    <s v="United States"/>
  </r>
  <r>
    <s v="ORD0000501"/>
    <x v="427"/>
    <s v="CUST042668"/>
    <s v="Priya Gupta"/>
    <x v="18"/>
    <x v="4"/>
    <s v="HomeEase"/>
    <n v="2"/>
    <n v="512.67999999999995"/>
    <n v="0"/>
    <n v="123.04"/>
    <n v="2.95"/>
    <n v="1151.3499999999999"/>
    <s v="Debit Card"/>
    <s v="Delivered"/>
    <s v="New York"/>
    <s v="NY"/>
    <s v="India"/>
  </r>
  <r>
    <s v="ORD0000502"/>
    <x v="428"/>
    <s v="CUST010609"/>
    <s v="Ritika Kapoor"/>
    <x v="20"/>
    <x v="5"/>
    <s v="FitLife"/>
    <n v="5"/>
    <n v="385.04"/>
    <n v="0"/>
    <n v="96.26"/>
    <n v="1.42"/>
    <n v="2022.88"/>
    <s v="Debit Card"/>
    <s v="Shipped"/>
    <s v="New York"/>
    <s v="NY"/>
    <s v="United States"/>
  </r>
  <r>
    <s v="ORD0000503"/>
    <x v="396"/>
    <s v="CUST035476"/>
    <s v="Neha Singh"/>
    <x v="16"/>
    <x v="3"/>
    <s v="KiddoFun"/>
    <n v="2"/>
    <n v="342.87"/>
    <n v="0.05"/>
    <n v="52.12"/>
    <n v="1.57"/>
    <n v="705.14"/>
    <s v="Net Banking"/>
    <s v="Delivered"/>
    <s v="Dallas"/>
    <s v="TX"/>
    <s v="United States"/>
  </r>
  <r>
    <s v="ORD0000504"/>
    <x v="429"/>
    <s v="CUST000030"/>
    <s v="Simran Reddy"/>
    <x v="7"/>
    <x v="4"/>
    <s v="FitLife"/>
    <n v="2"/>
    <n v="14.71"/>
    <n v="0"/>
    <n v="2.35"/>
    <n v="4.47"/>
    <n v="36.24"/>
    <s v="UPI"/>
    <s v="Delivered"/>
    <s v="Washington"/>
    <s v="DC"/>
    <s v="United States"/>
  </r>
  <r>
    <s v="ORD0000505"/>
    <x v="430"/>
    <s v="CUST000435"/>
    <s v="Neha Patel"/>
    <x v="20"/>
    <x v="2"/>
    <s v="HomeEase"/>
    <n v="4"/>
    <n v="95.35"/>
    <n v="0"/>
    <n v="19.07"/>
    <n v="9.8000000000000007"/>
    <n v="410.27"/>
    <s v="Debit Card"/>
    <s v="Delivered"/>
    <s v="Seattle"/>
    <s v="WA"/>
    <s v="Australia"/>
  </r>
  <r>
    <s v="ORD0000506"/>
    <x v="431"/>
    <s v="CUST025772"/>
    <s v="Anjali Reddy"/>
    <x v="30"/>
    <x v="1"/>
    <s v="ReadMore"/>
    <n v="4"/>
    <n v="128.54"/>
    <n v="0"/>
    <n v="25.71"/>
    <n v="7.28"/>
    <n v="547.15"/>
    <s v="Cash on Delivery"/>
    <s v="Delivered"/>
    <s v="Austin"/>
    <s v="TX"/>
    <s v="United States"/>
  </r>
  <r>
    <s v="ORD0000507"/>
    <x v="432"/>
    <s v="CUST044282"/>
    <s v="Sahil Mehta"/>
    <x v="15"/>
    <x v="3"/>
    <s v="ReadMore"/>
    <n v="1"/>
    <n v="345.37"/>
    <n v="0.05"/>
    <n v="26.25"/>
    <n v="7.68"/>
    <n v="362.03"/>
    <s v="Debit Card"/>
    <s v="Pending"/>
    <s v="New York"/>
    <s v="NY"/>
    <s v="India"/>
  </r>
  <r>
    <s v="ORD0000508"/>
    <x v="433"/>
    <s v="CUST013803"/>
    <s v="Simran Patel"/>
    <x v="16"/>
    <x v="2"/>
    <s v="HomeEase"/>
    <n v="1"/>
    <n v="478.42"/>
    <n v="0"/>
    <n v="57.41"/>
    <n v="3.92"/>
    <n v="539.75"/>
    <s v="Amazon Pay"/>
    <s v="Delivered"/>
    <s v="Austin"/>
    <s v="TX"/>
    <s v="United States"/>
  </r>
  <r>
    <s v="ORD0000509"/>
    <x v="434"/>
    <s v="CUST049199"/>
    <s v="Rohit Kumar"/>
    <x v="45"/>
    <x v="3"/>
    <s v="NexPro"/>
    <n v="1"/>
    <n v="127.81"/>
    <n v="0"/>
    <n v="10.220000000000001"/>
    <n v="4.1100000000000003"/>
    <n v="142.13999999999999"/>
    <s v="Amazon Pay"/>
    <s v="Delivered"/>
    <s v="Houston"/>
    <s v="TX"/>
    <s v="United States"/>
  </r>
  <r>
    <s v="ORD0000510"/>
    <x v="435"/>
    <s v="CUST042507"/>
    <s v="Ritika Mehta"/>
    <x v="14"/>
    <x v="1"/>
    <s v="UrbanStyle"/>
    <n v="3"/>
    <n v="86.48"/>
    <n v="0.05"/>
    <n v="12.32"/>
    <n v="3.55"/>
    <n v="262.33999999999997"/>
    <s v="Net Banking"/>
    <s v="Delivered"/>
    <s v="San Jose"/>
    <s v="CA"/>
    <s v="United States"/>
  </r>
  <r>
    <s v="ORD0000511"/>
    <x v="436"/>
    <s v="CUST019926"/>
    <s v="Sneha Mehta"/>
    <x v="17"/>
    <x v="3"/>
    <s v="ReadMore"/>
    <n v="5"/>
    <n v="96.58"/>
    <n v="0"/>
    <n v="38.630000000000003"/>
    <n v="6.68"/>
    <n v="528.21"/>
    <s v="Debit Card"/>
    <s v="Delivered"/>
    <s v="San Antonio"/>
    <s v="TX"/>
    <s v="Australia"/>
  </r>
  <r>
    <s v="ORD0000512"/>
    <x v="391"/>
    <s v="CUST026026"/>
    <s v="Vivaan Patel"/>
    <x v="14"/>
    <x v="4"/>
    <s v="BrightLux"/>
    <n v="1"/>
    <n v="169.23"/>
    <n v="0.05"/>
    <n v="8.0399999999999991"/>
    <n v="2.9"/>
    <n v="171.71"/>
    <s v="Credit Card"/>
    <s v="Shipped"/>
    <s v="Los Angeles"/>
    <s v="CA"/>
    <s v="United States"/>
  </r>
  <r>
    <s v="ORD0000513"/>
    <x v="437"/>
    <s v="CUST020867"/>
    <s v="Neha Mehta"/>
    <x v="44"/>
    <x v="5"/>
    <s v="KiddoFun"/>
    <n v="2"/>
    <n v="145.09"/>
    <n v="0.3"/>
    <n v="16.25"/>
    <n v="9.67"/>
    <n v="229.05"/>
    <s v="Debit Card"/>
    <s v="Delivered"/>
    <s v="Fort Worth"/>
    <s v="TX"/>
    <s v="United States"/>
  </r>
  <r>
    <s v="ORD0000514"/>
    <x v="438"/>
    <s v="CUST013828"/>
    <s v="Sunita Singh"/>
    <x v="14"/>
    <x v="2"/>
    <s v="NexPro"/>
    <n v="3"/>
    <n v="313.08"/>
    <n v="0"/>
    <n v="46.96"/>
    <n v="2.29"/>
    <n v="988.49"/>
    <s v="UPI"/>
    <s v="Shipped"/>
    <s v="Los Angeles"/>
    <s v="CA"/>
    <s v="United States"/>
  </r>
  <r>
    <s v="ORD0000515"/>
    <x v="232"/>
    <s v="CUST003555"/>
    <s v="Neha Sharma"/>
    <x v="31"/>
    <x v="4"/>
    <s v="BrightLux"/>
    <n v="5"/>
    <n v="210.72"/>
    <n v="0.05"/>
    <n v="180.17"/>
    <n v="2.68"/>
    <n v="1183.77"/>
    <s v="Amazon Pay"/>
    <s v="Delivered"/>
    <s v="Columbus"/>
    <s v="OH"/>
    <s v="United States"/>
  </r>
  <r>
    <s v="ORD0000516"/>
    <x v="197"/>
    <s v="CUST023407"/>
    <s v="Arjun Reddy"/>
    <x v="32"/>
    <x v="5"/>
    <s v="CoreTech"/>
    <n v="1"/>
    <n v="147.57"/>
    <n v="0.1"/>
    <n v="6.64"/>
    <n v="1.35"/>
    <n v="140.80000000000001"/>
    <s v="Debit Card"/>
    <s v="Delivered"/>
    <s v="Washington"/>
    <s v="DC"/>
    <s v="United States"/>
  </r>
  <r>
    <s v="ORD0000517"/>
    <x v="439"/>
    <s v="CUST010953"/>
    <s v="Ritika Patel"/>
    <x v="35"/>
    <x v="4"/>
    <s v="NexPro"/>
    <n v="5"/>
    <n v="77.319999999999993"/>
    <n v="0.05"/>
    <n v="18.36"/>
    <n v="14.21"/>
    <n v="399.84"/>
    <s v="Credit Card"/>
    <s v="Delivered"/>
    <s v="Columbus"/>
    <s v="OH"/>
    <s v="India"/>
  </r>
  <r>
    <s v="ORD0000518"/>
    <x v="46"/>
    <s v="CUST010696"/>
    <s v="Vihaan Joshi"/>
    <x v="12"/>
    <x v="1"/>
    <s v="KiddoFun"/>
    <n v="1"/>
    <n v="379.07"/>
    <n v="0"/>
    <n v="0"/>
    <n v="10.43"/>
    <n v="389.5"/>
    <s v="Debit Card"/>
    <s v="Delivered"/>
    <s v="Philadelphia"/>
    <s v="PA"/>
    <s v="United States"/>
  </r>
  <r>
    <s v="ORD0000519"/>
    <x v="440"/>
    <s v="CUST004258"/>
    <s v="Vihaan Reddy"/>
    <x v="31"/>
    <x v="0"/>
    <s v="Apex"/>
    <n v="2"/>
    <n v="232.39"/>
    <n v="0.1"/>
    <n v="75.290000000000006"/>
    <n v="11.76"/>
    <n v="505.35"/>
    <s v="Debit Card"/>
    <s v="Delivered"/>
    <s v="Jacksonville"/>
    <s v="FL"/>
    <s v="India"/>
  </r>
  <r>
    <s v="ORD0000520"/>
    <x v="441"/>
    <s v="CUST019763"/>
    <s v="Simran Sharma"/>
    <x v="16"/>
    <x v="2"/>
    <s v="KiddoFun"/>
    <n v="4"/>
    <n v="452.96"/>
    <n v="0.3"/>
    <n v="63.41"/>
    <n v="7.04"/>
    <n v="1338.74"/>
    <s v="Debit Card"/>
    <s v="Delivered"/>
    <s v="Columbus"/>
    <s v="OH"/>
    <s v="United States"/>
  </r>
  <r>
    <s v="ORD0000521"/>
    <x v="442"/>
    <s v="CUST027375"/>
    <s v="Arjun Mehta"/>
    <x v="34"/>
    <x v="3"/>
    <s v="FitLife"/>
    <n v="5"/>
    <n v="550.04"/>
    <n v="0.25"/>
    <n v="0"/>
    <n v="8.27"/>
    <n v="2070.92"/>
    <s v="Amazon Pay"/>
    <s v="Shipped"/>
    <s v="Jacksonville"/>
    <s v="FL"/>
    <s v="United States"/>
  </r>
  <r>
    <s v="ORD0000522"/>
    <x v="159"/>
    <s v="CUST026015"/>
    <s v="Arjun Verma"/>
    <x v="12"/>
    <x v="1"/>
    <s v="Apex"/>
    <n v="4"/>
    <n v="222.81"/>
    <n v="0.1"/>
    <n v="64.17"/>
    <n v="7.89"/>
    <n v="874.18"/>
    <s v="Credit Card"/>
    <s v="Delivered"/>
    <s v="Chicago"/>
    <s v="IL"/>
    <s v="Canada"/>
  </r>
  <r>
    <s v="ORD0000523"/>
    <x v="380"/>
    <s v="CUST029288"/>
    <s v="Neha Gupta"/>
    <x v="17"/>
    <x v="5"/>
    <s v="BrightLux"/>
    <n v="4"/>
    <n v="463.05"/>
    <n v="0"/>
    <n v="0"/>
    <n v="14.83"/>
    <n v="1867.03"/>
    <s v="Amazon Pay"/>
    <s v="Shipped"/>
    <s v="Seattle"/>
    <s v="WA"/>
    <s v="India"/>
  </r>
  <r>
    <s v="ORD0000524"/>
    <x v="443"/>
    <s v="CUST033107"/>
    <s v="Anjali Kapoor"/>
    <x v="1"/>
    <x v="2"/>
    <s v="CoreTech"/>
    <n v="2"/>
    <n v="226.3"/>
    <n v="0"/>
    <n v="36.21"/>
    <n v="14.7"/>
    <n v="503.51"/>
    <s v="Amazon Pay"/>
    <s v="Returned"/>
    <s v="San Francisco"/>
    <s v="CA"/>
    <s v="United States"/>
  </r>
  <r>
    <s v="ORD0000525"/>
    <x v="111"/>
    <s v="CUST046117"/>
    <s v="Sunita Verma"/>
    <x v="29"/>
    <x v="4"/>
    <s v="HomeEase"/>
    <n v="4"/>
    <n v="562.49"/>
    <n v="0.05"/>
    <n v="106.87"/>
    <n v="10.79"/>
    <n v="2255.12"/>
    <s v="Debit Card"/>
    <s v="Pending"/>
    <s v="Phoenix"/>
    <s v="AZ"/>
    <s v="United States"/>
  </r>
  <r>
    <s v="ORD0000526"/>
    <x v="302"/>
    <s v="CUST038971"/>
    <s v="Anjali Reddy"/>
    <x v="16"/>
    <x v="5"/>
    <s v="CoreTech"/>
    <n v="5"/>
    <n v="176.63"/>
    <n v="0.1"/>
    <n v="95.38"/>
    <n v="14.05"/>
    <n v="904.26"/>
    <s v="Credit Card"/>
    <s v="Delivered"/>
    <s v="San Diego"/>
    <s v="CA"/>
    <s v="Australia"/>
  </r>
  <r>
    <s v="ORD0000527"/>
    <x v="444"/>
    <s v="CUST011116"/>
    <s v="Sunita Patel"/>
    <x v="43"/>
    <x v="4"/>
    <s v="Apex"/>
    <n v="3"/>
    <n v="300.62"/>
    <n v="0"/>
    <n v="72.150000000000006"/>
    <n v="5.26"/>
    <n v="979.27"/>
    <s v="Credit Card"/>
    <s v="Delivered"/>
    <s v="Fort Worth"/>
    <s v="TX"/>
    <s v="United States"/>
  </r>
  <r>
    <s v="ORD0000528"/>
    <x v="202"/>
    <s v="CUST005340"/>
    <s v="Neha Reddy"/>
    <x v="13"/>
    <x v="2"/>
    <s v="NexPro"/>
    <n v="5"/>
    <n v="9.07"/>
    <n v="0.1"/>
    <n v="4.9000000000000004"/>
    <n v="2.42"/>
    <n v="48.14"/>
    <s v="Amazon Pay"/>
    <s v="Shipped"/>
    <s v="Fort Worth"/>
    <s v="TX"/>
    <s v="United States"/>
  </r>
  <r>
    <s v="ORD0000529"/>
    <x v="445"/>
    <s v="CUST002409"/>
    <s v="Vivaan Kapoor"/>
    <x v="47"/>
    <x v="3"/>
    <s v="HomeEase"/>
    <n v="1"/>
    <n v="148.63999999999999"/>
    <n v="0.25"/>
    <n v="8.92"/>
    <n v="6.7"/>
    <n v="127.1"/>
    <s v="Credit Card"/>
    <s v="Delivered"/>
    <s v="Indianapolis"/>
    <s v="IN"/>
    <s v="Canada"/>
  </r>
  <r>
    <s v="ORD0000530"/>
    <x v="0"/>
    <s v="CUST011026"/>
    <s v="Aditya Kumar"/>
    <x v="49"/>
    <x v="3"/>
    <s v="Zenith"/>
    <n v="1"/>
    <n v="95.29"/>
    <n v="0"/>
    <n v="4.76"/>
    <n v="10.99"/>
    <n v="111.04"/>
    <s v="Credit Card"/>
    <s v="Delivered"/>
    <s v="Charlotte"/>
    <s v="NC"/>
    <s v="United States"/>
  </r>
  <r>
    <s v="ORD0000531"/>
    <x v="446"/>
    <s v="CUST006169"/>
    <s v="Priya Kumar"/>
    <x v="43"/>
    <x v="2"/>
    <s v="HomeEase"/>
    <n v="1"/>
    <n v="430.27"/>
    <n v="0.2"/>
    <n v="27.54"/>
    <n v="3.66"/>
    <n v="375.42"/>
    <s v="UPI"/>
    <s v="Shipped"/>
    <s v="San Jose"/>
    <s v="CA"/>
    <s v="United States"/>
  </r>
  <r>
    <s v="ORD0000532"/>
    <x v="447"/>
    <s v="CUST018314"/>
    <s v="Aditya Mehta"/>
    <x v="40"/>
    <x v="0"/>
    <s v="Apex"/>
    <n v="5"/>
    <n v="46.86"/>
    <n v="0.05"/>
    <n v="0"/>
    <n v="13.63"/>
    <n v="236.22"/>
    <s v="Debit Card"/>
    <s v="Shipped"/>
    <s v="San Antonio"/>
    <s v="TX"/>
    <s v="United States"/>
  </r>
  <r>
    <s v="ORD0000533"/>
    <x v="448"/>
    <s v="CUST018885"/>
    <s v="Vihaan Verma"/>
    <x v="39"/>
    <x v="3"/>
    <s v="BrightLux"/>
    <n v="5"/>
    <n v="362.31"/>
    <n v="0"/>
    <n v="90.58"/>
    <n v="3.51"/>
    <n v="1905.64"/>
    <s v="UPI"/>
    <s v="Cancelled"/>
    <s v="Jacksonville"/>
    <s v="FL"/>
    <s v="United States"/>
  </r>
  <r>
    <s v="ORD0000534"/>
    <x v="449"/>
    <s v="CUST023759"/>
    <s v="Simran Singh"/>
    <x v="12"/>
    <x v="3"/>
    <s v="Zenith"/>
    <n v="4"/>
    <n v="117.96"/>
    <n v="0.05"/>
    <n v="22.41"/>
    <n v="12.41"/>
    <n v="483.07"/>
    <s v="Debit Card"/>
    <s v="Pending"/>
    <s v="Jacksonville"/>
    <s v="FL"/>
    <s v="United States"/>
  </r>
  <r>
    <s v="ORD0000535"/>
    <x v="267"/>
    <s v="CUST026649"/>
    <s v="Priya Sharma"/>
    <x v="18"/>
    <x v="1"/>
    <s v="HomeEase"/>
    <n v="4"/>
    <n v="469.66"/>
    <n v="0"/>
    <n v="0"/>
    <n v="7.48"/>
    <n v="1886.12"/>
    <s v="Cash on Delivery"/>
    <s v="Delivered"/>
    <s v="Denver"/>
    <s v="CO"/>
    <s v="India"/>
  </r>
  <r>
    <s v="ORD0000536"/>
    <x v="450"/>
    <s v="CUST009300"/>
    <s v="Vivaan Patel"/>
    <x v="7"/>
    <x v="0"/>
    <s v="BrightLux"/>
    <n v="5"/>
    <n v="397.96"/>
    <n v="0"/>
    <n v="159.18"/>
    <n v="6.39"/>
    <n v="2155.37"/>
    <s v="Credit Card"/>
    <s v="Delivered"/>
    <s v="New York"/>
    <s v="NY"/>
    <s v="United States"/>
  </r>
  <r>
    <s v="ORD0000537"/>
    <x v="451"/>
    <s v="CUST018680"/>
    <s v="Vivaan Gupta"/>
    <x v="29"/>
    <x v="1"/>
    <s v="HomeEase"/>
    <n v="3"/>
    <n v="476.51"/>
    <n v="0"/>
    <n v="114.36"/>
    <n v="13.08"/>
    <n v="1556.97"/>
    <s v="Credit Card"/>
    <s v="Delivered"/>
    <s v="San Jose"/>
    <s v="CA"/>
    <s v="United States"/>
  </r>
  <r>
    <s v="ORD0000538"/>
    <x v="452"/>
    <s v="CUST007416"/>
    <s v="Vikas Patel"/>
    <x v="19"/>
    <x v="1"/>
    <s v="BrightLux"/>
    <n v="2"/>
    <n v="67.33"/>
    <n v="0.05"/>
    <n v="6.4"/>
    <n v="3.61"/>
    <n v="137.94"/>
    <s v="Credit Card"/>
    <s v="Delivered"/>
    <s v="Jacksonville"/>
    <s v="FL"/>
    <s v="United States"/>
  </r>
  <r>
    <s v="ORD0000539"/>
    <x v="453"/>
    <s v="CUST007219"/>
    <s v="Karan Singh"/>
    <x v="3"/>
    <x v="3"/>
    <s v="HomeEase"/>
    <n v="4"/>
    <n v="446.49"/>
    <n v="0"/>
    <n v="142.88"/>
    <n v="9.2200000000000006"/>
    <n v="1938.06"/>
    <s v="UPI"/>
    <s v="Delivered"/>
    <s v="Los Angeles"/>
    <s v="CA"/>
    <s v="Canada"/>
  </r>
  <r>
    <s v="ORD0000540"/>
    <x v="454"/>
    <s v="CUST007093"/>
    <s v="Sneha Reddy"/>
    <x v="11"/>
    <x v="1"/>
    <s v="HomeEase"/>
    <n v="4"/>
    <n v="238.18"/>
    <n v="0.05"/>
    <n v="0"/>
    <n v="0.62"/>
    <n v="905.7"/>
    <s v="Credit Card"/>
    <s v="Delivered"/>
    <s v="Chicago"/>
    <s v="IL"/>
    <s v="Canada"/>
  </r>
  <r>
    <s v="ORD0000541"/>
    <x v="455"/>
    <s v="CUST042506"/>
    <s v="Karan Kapoor"/>
    <x v="2"/>
    <x v="5"/>
    <s v="BrightLux"/>
    <n v="5"/>
    <n v="351.03"/>
    <n v="0.3"/>
    <n v="98.29"/>
    <n v="6.7"/>
    <n v="1333.59"/>
    <s v="Debit Card"/>
    <s v="Delivered"/>
    <s v="Washington"/>
    <s v="DC"/>
    <s v="United States"/>
  </r>
  <r>
    <s v="ORD0000542"/>
    <x v="456"/>
    <s v="CUST018609"/>
    <s v="Mohit Singh"/>
    <x v="4"/>
    <x v="3"/>
    <s v="FitLife"/>
    <n v="3"/>
    <n v="40.4"/>
    <n v="0.1"/>
    <n v="8.73"/>
    <n v="2.81"/>
    <n v="120.62"/>
    <s v="Amazon Pay"/>
    <s v="Delivered"/>
    <s v="Phoenix"/>
    <s v="AZ"/>
    <s v="United States"/>
  </r>
  <r>
    <s v="ORD0000543"/>
    <x v="457"/>
    <s v="CUST006269"/>
    <s v="Mohit Verma"/>
    <x v="24"/>
    <x v="3"/>
    <s v="CoreTech"/>
    <n v="4"/>
    <n v="346.01"/>
    <n v="0.2"/>
    <n v="55.36"/>
    <n v="2.74"/>
    <n v="1165.33"/>
    <s v="UPI"/>
    <s v="Delivered"/>
    <s v="Los Angeles"/>
    <s v="CA"/>
    <s v="Canada"/>
  </r>
  <r>
    <s v="ORD0000544"/>
    <x v="458"/>
    <s v="CUST024742"/>
    <s v="Kabir Mehta"/>
    <x v="49"/>
    <x v="1"/>
    <s v="Apex"/>
    <n v="1"/>
    <n v="404.79"/>
    <n v="0"/>
    <n v="20.239999999999998"/>
    <n v="12.05"/>
    <n v="437.08"/>
    <s v="Credit Card"/>
    <s v="Delivered"/>
    <s v="New York"/>
    <s v="NY"/>
    <s v="United States"/>
  </r>
  <r>
    <s v="ORD0000545"/>
    <x v="87"/>
    <s v="CUST011612"/>
    <s v="Kabir Kumar"/>
    <x v="8"/>
    <x v="2"/>
    <s v="KiddoFun"/>
    <n v="1"/>
    <n v="597.54"/>
    <n v="0.25"/>
    <n v="35.85"/>
    <n v="9.35"/>
    <n v="493.36"/>
    <s v="Debit Card"/>
    <s v="Delivered"/>
    <s v="Austin"/>
    <s v="TX"/>
    <s v="United States"/>
  </r>
  <r>
    <s v="ORD0000546"/>
    <x v="350"/>
    <s v="CUST036209"/>
    <s v="Neha Kapoor"/>
    <x v="29"/>
    <x v="1"/>
    <s v="CoreTech"/>
    <n v="4"/>
    <n v="538.96"/>
    <n v="0"/>
    <n v="0"/>
    <n v="2.7"/>
    <n v="2158.54"/>
    <s v="UPI"/>
    <s v="Delivered"/>
    <s v="Chicago"/>
    <s v="IL"/>
    <s v="India"/>
  </r>
  <r>
    <s v="ORD0000547"/>
    <x v="313"/>
    <s v="CUST017266"/>
    <s v="Arjun Kumar"/>
    <x v="27"/>
    <x v="0"/>
    <s v="HomeEase"/>
    <n v="5"/>
    <n v="291.5"/>
    <n v="0.05"/>
    <n v="166.16"/>
    <n v="5.25"/>
    <n v="1556.04"/>
    <s v="Credit Card"/>
    <s v="Delivered"/>
    <s v="Jacksonville"/>
    <s v="FL"/>
    <s v="United States"/>
  </r>
  <r>
    <s v="ORD0000548"/>
    <x v="459"/>
    <s v="CUST005934"/>
    <s v="Simran Gupta"/>
    <x v="36"/>
    <x v="3"/>
    <s v="Zenith"/>
    <n v="5"/>
    <n v="166.38"/>
    <n v="0"/>
    <n v="41.6"/>
    <n v="6.6"/>
    <n v="880.1"/>
    <s v="Cash on Delivery"/>
    <s v="Delivered"/>
    <s v="New York"/>
    <s v="NY"/>
    <s v="India"/>
  </r>
  <r>
    <s v="ORD0000549"/>
    <x v="460"/>
    <s v="CUST007415"/>
    <s v="Simran Gupta"/>
    <x v="36"/>
    <x v="3"/>
    <s v="Apex"/>
    <n v="5"/>
    <n v="91.91"/>
    <n v="0.25"/>
    <n v="41.36"/>
    <n v="0.28999999999999998"/>
    <n v="386.31"/>
    <s v="Credit Card"/>
    <s v="Delivered"/>
    <s v="Austin"/>
    <s v="TX"/>
    <s v="United States"/>
  </r>
  <r>
    <s v="ORD0000550"/>
    <x v="461"/>
    <s v="CUST004166"/>
    <s v="Aarav Joshi"/>
    <x v="45"/>
    <x v="0"/>
    <s v="FitLife"/>
    <n v="3"/>
    <n v="344.01"/>
    <n v="0.05"/>
    <n v="78.430000000000007"/>
    <n v="13.55"/>
    <n v="1072.4100000000001"/>
    <s v="Amazon Pay"/>
    <s v="Delivered"/>
    <s v="San Francisco"/>
    <s v="CA"/>
    <s v="United States"/>
  </r>
  <r>
    <s v="ORD0000551"/>
    <x v="462"/>
    <s v="CUST006138"/>
    <s v="Priya Reddy"/>
    <x v="38"/>
    <x v="0"/>
    <s v="FitLife"/>
    <n v="1"/>
    <n v="278.83999999999997"/>
    <n v="0.05"/>
    <n v="13.24"/>
    <n v="3.53"/>
    <n v="281.67"/>
    <s v="Debit Card"/>
    <s v="Delivered"/>
    <s v="Washington"/>
    <s v="DC"/>
    <s v="United States"/>
  </r>
  <r>
    <s v="ORD0000552"/>
    <x v="463"/>
    <s v="CUST033291"/>
    <s v="Mohit Verma"/>
    <x v="16"/>
    <x v="0"/>
    <s v="KiddoFun"/>
    <n v="2"/>
    <n v="331.31"/>
    <n v="0.15"/>
    <n v="45.06"/>
    <n v="13.05"/>
    <n v="621.34"/>
    <s v="Debit Card"/>
    <s v="Shipped"/>
    <s v="Phoenix"/>
    <s v="AZ"/>
    <s v="United States"/>
  </r>
  <r>
    <s v="ORD0000553"/>
    <x v="464"/>
    <s v="CUST031827"/>
    <s v="Simran Patel"/>
    <x v="21"/>
    <x v="3"/>
    <s v="NexPro"/>
    <n v="4"/>
    <n v="290.45"/>
    <n v="0"/>
    <n v="139.41999999999999"/>
    <n v="13.2"/>
    <n v="1314.42"/>
    <s v="Net Banking"/>
    <s v="Pending"/>
    <s v="Chicago"/>
    <s v="IL"/>
    <s v="Australia"/>
  </r>
  <r>
    <s v="ORD0000554"/>
    <x v="68"/>
    <s v="CUST042384"/>
    <s v="Ritika Gupta"/>
    <x v="18"/>
    <x v="3"/>
    <s v="Apex"/>
    <n v="3"/>
    <n v="542.15"/>
    <n v="0.15"/>
    <n v="0"/>
    <n v="8.0299999999999994"/>
    <n v="1390.51"/>
    <s v="Amazon Pay"/>
    <s v="Delivered"/>
    <s v="Phoenix"/>
    <s v="AZ"/>
    <s v="India"/>
  </r>
  <r>
    <s v="ORD0000555"/>
    <x v="465"/>
    <s v="CUST043680"/>
    <s v="Karan Gupta"/>
    <x v="10"/>
    <x v="5"/>
    <s v="BrightLux"/>
    <n v="3"/>
    <n v="446.2"/>
    <n v="0"/>
    <n v="0"/>
    <n v="13.33"/>
    <n v="1351.93"/>
    <s v="Credit Card"/>
    <s v="Delivered"/>
    <s v="Columbus"/>
    <s v="OH"/>
    <s v="United States"/>
  </r>
  <r>
    <s v="ORD0000556"/>
    <x v="466"/>
    <s v="CUST042370"/>
    <s v="Simran Gupta"/>
    <x v="26"/>
    <x v="3"/>
    <s v="FitLife"/>
    <n v="5"/>
    <n v="129.53"/>
    <n v="0.2"/>
    <n v="25.91"/>
    <n v="8.1199999999999992"/>
    <n v="552.15"/>
    <s v="Amazon Pay"/>
    <s v="Cancelled"/>
    <s v="Jacksonville"/>
    <s v="FL"/>
    <s v="United States"/>
  </r>
  <r>
    <s v="ORD0000557"/>
    <x v="467"/>
    <s v="CUST014311"/>
    <s v="Rohit Mehta"/>
    <x v="30"/>
    <x v="5"/>
    <s v="KiddoFun"/>
    <n v="4"/>
    <n v="379.2"/>
    <n v="0"/>
    <n v="75.84"/>
    <n v="11.32"/>
    <n v="1603.96"/>
    <s v="Amazon Pay"/>
    <s v="Delivered"/>
    <s v="Charlotte"/>
    <s v="NC"/>
    <s v="United States"/>
  </r>
  <r>
    <s v="ORD0000558"/>
    <x v="468"/>
    <s v="CUST003130"/>
    <s v="Neha Verma"/>
    <x v="44"/>
    <x v="3"/>
    <s v="BrightLux"/>
    <n v="3"/>
    <n v="287.91000000000003"/>
    <n v="0.2"/>
    <n v="55.28"/>
    <n v="6.11"/>
    <n v="752.37"/>
    <s v="Debit Card"/>
    <s v="Shipped"/>
    <s v="San Diego"/>
    <s v="CA"/>
    <s v="United Kingdom"/>
  </r>
  <r>
    <s v="ORD0000559"/>
    <x v="469"/>
    <s v="CUST019366"/>
    <s v="Sneha Mehta"/>
    <x v="8"/>
    <x v="2"/>
    <s v="BrightLux"/>
    <n v="1"/>
    <n v="486.08"/>
    <n v="0.05"/>
    <n v="36.94"/>
    <n v="3.69"/>
    <n v="502.41"/>
    <s v="Amazon Pay"/>
    <s v="Cancelled"/>
    <s v="Chicago"/>
    <s v="IL"/>
    <s v="United States"/>
  </r>
  <r>
    <s v="ORD0000560"/>
    <x v="404"/>
    <s v="CUST035919"/>
    <s v="Ritika Patel"/>
    <x v="11"/>
    <x v="3"/>
    <s v="ReadMore"/>
    <n v="2"/>
    <n v="488"/>
    <n v="0"/>
    <n v="117.12"/>
    <n v="10.06"/>
    <n v="1103.18"/>
    <s v="Credit Card"/>
    <s v="Delivered"/>
    <s v="Columbus"/>
    <s v="OH"/>
    <s v="Canada"/>
  </r>
  <r>
    <s v="ORD0000561"/>
    <x v="199"/>
    <s v="CUST022713"/>
    <s v="Ritika Gupta"/>
    <x v="49"/>
    <x v="2"/>
    <s v="UrbanStyle"/>
    <n v="4"/>
    <n v="134.34"/>
    <n v="0.15"/>
    <n v="36.54"/>
    <n v="14.11"/>
    <n v="507.41"/>
    <s v="Debit Card"/>
    <s v="Delivered"/>
    <s v="San Jose"/>
    <s v="CA"/>
    <s v="United States"/>
  </r>
  <r>
    <s v="ORD0000562"/>
    <x v="470"/>
    <s v="CUST013389"/>
    <s v="Priya Sharma"/>
    <x v="12"/>
    <x v="5"/>
    <s v="CoreTech"/>
    <n v="3"/>
    <n v="301.47000000000003"/>
    <n v="0"/>
    <n v="162.79"/>
    <n v="1.01"/>
    <n v="1068.21"/>
    <s v="Credit Card"/>
    <s v="Delivered"/>
    <s v="Los Angeles"/>
    <s v="CA"/>
    <s v="India"/>
  </r>
  <r>
    <s v="ORD0000563"/>
    <x v="464"/>
    <s v="CUST033863"/>
    <s v="Sunita Gupta"/>
    <x v="9"/>
    <x v="2"/>
    <s v="ReadMore"/>
    <n v="3"/>
    <n v="326.22000000000003"/>
    <n v="0.3"/>
    <n v="0"/>
    <n v="12.96"/>
    <n v="698.02"/>
    <s v="UPI"/>
    <s v="Shipped"/>
    <s v="New York"/>
    <s v="NY"/>
    <s v="United States"/>
  </r>
  <r>
    <s v="ORD0000564"/>
    <x v="471"/>
    <s v="CUST017524"/>
    <s v="Aarav Kapoor"/>
    <x v="34"/>
    <x v="3"/>
    <s v="UrbanStyle"/>
    <n v="1"/>
    <n v="209.89"/>
    <n v="0.25"/>
    <n v="28.34"/>
    <n v="5.39"/>
    <n v="191.15"/>
    <s v="UPI"/>
    <s v="Delivered"/>
    <s v="Los Angeles"/>
    <s v="CA"/>
    <s v="United States"/>
  </r>
  <r>
    <s v="ORD0000565"/>
    <x v="472"/>
    <s v="CUST027833"/>
    <s v="Vivaan Kapoor"/>
    <x v="1"/>
    <x v="0"/>
    <s v="CoreTech"/>
    <n v="4"/>
    <n v="8.39"/>
    <n v="0"/>
    <n v="2.68"/>
    <n v="4.5999999999999996"/>
    <n v="40.840000000000003"/>
    <s v="UPI"/>
    <s v="Delivered"/>
    <s v="Jacksonville"/>
    <s v="FL"/>
    <s v="India"/>
  </r>
  <r>
    <s v="ORD0000566"/>
    <x v="473"/>
    <s v="CUST006467"/>
    <s v="Neha Gupta"/>
    <x v="19"/>
    <x v="0"/>
    <s v="BrightLux"/>
    <n v="3"/>
    <n v="596.75"/>
    <n v="0.05"/>
    <n v="0"/>
    <n v="11.38"/>
    <n v="1712.12"/>
    <s v="Debit Card"/>
    <s v="Delivered"/>
    <s v="Houston"/>
    <s v="TX"/>
    <s v="India"/>
  </r>
  <r>
    <s v="ORD0000567"/>
    <x v="474"/>
    <s v="CUST008207"/>
    <s v="Sneha Kapoor"/>
    <x v="13"/>
    <x v="4"/>
    <s v="FitLife"/>
    <n v="2"/>
    <n v="165.15"/>
    <n v="0"/>
    <n v="16.52"/>
    <n v="10.49"/>
    <n v="357.31"/>
    <s v="Credit Card"/>
    <s v="Delivered"/>
    <s v="Chicago"/>
    <s v="IL"/>
    <s v="United States"/>
  </r>
  <r>
    <s v="ORD0000568"/>
    <x v="475"/>
    <s v="CUST015188"/>
    <s v="Vikas Kumar"/>
    <x v="9"/>
    <x v="5"/>
    <s v="ReadMore"/>
    <n v="2"/>
    <n v="427.79"/>
    <n v="0"/>
    <n v="154"/>
    <n v="0.21"/>
    <n v="1009.79"/>
    <s v="Amazon Pay"/>
    <s v="Delivered"/>
    <s v="San Antonio"/>
    <s v="TX"/>
    <s v="United States"/>
  </r>
  <r>
    <s v="ORD0000569"/>
    <x v="253"/>
    <s v="CUST039354"/>
    <s v="Rohit Kapoor"/>
    <x v="40"/>
    <x v="4"/>
    <s v="ReadMore"/>
    <n v="2"/>
    <n v="532.98"/>
    <n v="0.3"/>
    <n v="59.69"/>
    <n v="3.77"/>
    <n v="809.63"/>
    <s v="Debit Card"/>
    <s v="Delivered"/>
    <s v="Philadelphia"/>
    <s v="PA"/>
    <s v="United States"/>
  </r>
  <r>
    <s v="ORD0000570"/>
    <x v="476"/>
    <s v="CUST034307"/>
    <s v="Pooja Singh"/>
    <x v="8"/>
    <x v="1"/>
    <s v="Zenith"/>
    <n v="4"/>
    <n v="158.41999999999999"/>
    <n v="0.05"/>
    <n v="48.16"/>
    <n v="12.19"/>
    <n v="662.35"/>
    <s v="Cash on Delivery"/>
    <s v="Delivered"/>
    <s v="San Francisco"/>
    <s v="CA"/>
    <s v="United States"/>
  </r>
  <r>
    <s v="ORD0000571"/>
    <x v="477"/>
    <s v="CUST037946"/>
    <s v="Vihaan Sharma"/>
    <x v="45"/>
    <x v="1"/>
    <s v="Zenith"/>
    <n v="2"/>
    <n v="501.89"/>
    <n v="0"/>
    <n v="120.45"/>
    <n v="5.94"/>
    <n v="1130.17"/>
    <s v="Amazon Pay"/>
    <s v="Shipped"/>
    <s v="Fort Worth"/>
    <s v="TX"/>
    <s v="United States"/>
  </r>
  <r>
    <s v="ORD0000572"/>
    <x v="478"/>
    <s v="CUST006543"/>
    <s v="Priya Joshi"/>
    <x v="31"/>
    <x v="5"/>
    <s v="ReadMore"/>
    <n v="5"/>
    <n v="45.87"/>
    <n v="0"/>
    <n v="27.52"/>
    <n v="13.66"/>
    <n v="270.52999999999997"/>
    <s v="Debit Card"/>
    <s v="Cancelled"/>
    <s v="New York"/>
    <s v="NY"/>
    <s v="United States"/>
  </r>
  <r>
    <s v="ORD0000573"/>
    <x v="479"/>
    <s v="CUST045827"/>
    <s v="Vivaan Kapoor"/>
    <x v="10"/>
    <x v="5"/>
    <s v="ReadMore"/>
    <n v="2"/>
    <n v="393.45"/>
    <n v="0"/>
    <n v="62.95"/>
    <n v="0.82"/>
    <n v="850.67"/>
    <s v="Amazon Pay"/>
    <s v="Delivered"/>
    <s v="San Jose"/>
    <s v="CA"/>
    <s v="India"/>
  </r>
  <r>
    <s v="ORD0000574"/>
    <x v="480"/>
    <s v="CUST007580"/>
    <s v="Vikas Singh"/>
    <x v="38"/>
    <x v="4"/>
    <s v="UrbanStyle"/>
    <n v="4"/>
    <n v="194.44"/>
    <n v="0.05"/>
    <n v="59.11"/>
    <n v="5.87"/>
    <n v="803.85"/>
    <s v="Credit Card"/>
    <s v="Delivered"/>
    <s v="Jacksonville"/>
    <s v="FL"/>
    <s v="United States"/>
  </r>
  <r>
    <s v="ORD0000575"/>
    <x v="304"/>
    <s v="CUST026287"/>
    <s v="Aditya Gupta"/>
    <x v="37"/>
    <x v="5"/>
    <s v="ReadMore"/>
    <n v="1"/>
    <n v="301.99"/>
    <n v="0.15"/>
    <n v="12.83"/>
    <n v="3.11"/>
    <n v="272.63"/>
    <s v="Net Banking"/>
    <s v="Delivered"/>
    <s v="Philadelphia"/>
    <s v="PA"/>
    <s v="United States"/>
  </r>
  <r>
    <s v="ORD0000576"/>
    <x v="481"/>
    <s v="CUST043585"/>
    <s v="Anjali Mehta"/>
    <x v="34"/>
    <x v="4"/>
    <s v="FitLife"/>
    <n v="5"/>
    <n v="584.19000000000005"/>
    <n v="0.1"/>
    <n v="131.44"/>
    <n v="5.65"/>
    <n v="2765.95"/>
    <s v="Credit Card"/>
    <s v="Delivered"/>
    <s v="Dallas"/>
    <s v="TX"/>
    <s v="United States"/>
  </r>
  <r>
    <s v="ORD0000577"/>
    <x v="482"/>
    <s v="CUST042421"/>
    <s v="Mohit Kumar"/>
    <x v="29"/>
    <x v="2"/>
    <s v="UrbanStyle"/>
    <n v="3"/>
    <n v="326.83999999999997"/>
    <n v="0.05"/>
    <n v="46.57"/>
    <n v="8.4700000000000006"/>
    <n v="986.53"/>
    <s v="Debit Card"/>
    <s v="Delivered"/>
    <s v="Houston"/>
    <s v="TX"/>
    <s v="United States"/>
  </r>
  <r>
    <s v="ORD0000578"/>
    <x v="483"/>
    <s v="CUST005012"/>
    <s v="Arjun Reddy"/>
    <x v="18"/>
    <x v="0"/>
    <s v="ReadMore"/>
    <n v="2"/>
    <n v="417.98"/>
    <n v="0.05"/>
    <n v="95.3"/>
    <n v="8.52"/>
    <n v="897.98"/>
    <s v="Debit Card"/>
    <s v="Delivered"/>
    <s v="Phoenix"/>
    <s v="AZ"/>
    <s v="India"/>
  </r>
  <r>
    <s v="ORD0000579"/>
    <x v="484"/>
    <s v="CUST013323"/>
    <s v="Vikas Reddy"/>
    <x v="28"/>
    <x v="3"/>
    <s v="ReadMore"/>
    <n v="1"/>
    <n v="517.9"/>
    <n v="0.05"/>
    <n v="59.04"/>
    <n v="10.5"/>
    <n v="561.54"/>
    <s v="Credit Card"/>
    <s v="Delivered"/>
    <s v="San Diego"/>
    <s v="CA"/>
    <s v="United States"/>
  </r>
  <r>
    <s v="ORD0000580"/>
    <x v="485"/>
    <s v="CUST034585"/>
    <s v="Aman Gupta"/>
    <x v="49"/>
    <x v="4"/>
    <s v="NexPro"/>
    <n v="5"/>
    <n v="29.2"/>
    <n v="0.05"/>
    <n v="0"/>
    <n v="11.99"/>
    <n v="150.69"/>
    <s v="Cash on Delivery"/>
    <s v="Shipped"/>
    <s v="San Jose"/>
    <s v="CA"/>
    <s v="United Kingdom"/>
  </r>
  <r>
    <s v="ORD0000581"/>
    <x v="486"/>
    <s v="CUST026815"/>
    <s v="Mohit Gupta"/>
    <x v="7"/>
    <x v="5"/>
    <s v="Apex"/>
    <n v="3"/>
    <n v="119.58"/>
    <n v="0.05"/>
    <n v="17.04"/>
    <n v="6.34"/>
    <n v="364.18"/>
    <s v="Credit Card"/>
    <s v="Delivered"/>
    <s v="San Diego"/>
    <s v="CA"/>
    <s v="India"/>
  </r>
  <r>
    <s v="ORD0000582"/>
    <x v="2"/>
    <s v="CUST005636"/>
    <s v="Neha Gupta"/>
    <x v="31"/>
    <x v="2"/>
    <s v="CoreTech"/>
    <n v="3"/>
    <n v="499.02"/>
    <n v="0"/>
    <n v="0"/>
    <n v="12.59"/>
    <n v="1509.65"/>
    <s v="Debit Card"/>
    <s v="Delivered"/>
    <s v="Phoenix"/>
    <s v="AZ"/>
    <s v="United States"/>
  </r>
  <r>
    <s v="ORD0000583"/>
    <x v="258"/>
    <s v="CUST006995"/>
    <s v="Anjali Verma"/>
    <x v="22"/>
    <x v="2"/>
    <s v="Apex"/>
    <n v="2"/>
    <n v="77.94"/>
    <n v="0.05"/>
    <n v="17.77"/>
    <n v="9.49"/>
    <n v="175.35"/>
    <s v="Debit Card"/>
    <s v="Delivered"/>
    <s v="San Diego"/>
    <s v="CA"/>
    <s v="India"/>
  </r>
  <r>
    <s v="ORD0000584"/>
    <x v="487"/>
    <s v="CUST028214"/>
    <s v="Simran Verma"/>
    <x v="11"/>
    <x v="4"/>
    <s v="KiddoFun"/>
    <n v="3"/>
    <n v="172.75"/>
    <n v="0"/>
    <n v="25.91"/>
    <n v="0.56999999999999995"/>
    <n v="544.73"/>
    <s v="Credit Card"/>
    <s v="Delivered"/>
    <s v="San Francisco"/>
    <s v="CA"/>
    <s v="Australia"/>
  </r>
  <r>
    <s v="ORD0000585"/>
    <x v="488"/>
    <s v="CUST038972"/>
    <s v="Arjun Kumar"/>
    <x v="8"/>
    <x v="2"/>
    <s v="NexPro"/>
    <n v="2"/>
    <n v="447.53"/>
    <n v="0"/>
    <n v="44.75"/>
    <n v="0.73"/>
    <n v="940.54"/>
    <s v="Net Banking"/>
    <s v="Delivered"/>
    <s v="Jacksonville"/>
    <s v="FL"/>
    <s v="Canada"/>
  </r>
  <r>
    <s v="ORD0000586"/>
    <x v="489"/>
    <s v="CUST004252"/>
    <s v="Sunita Reddy"/>
    <x v="47"/>
    <x v="0"/>
    <s v="FitLife"/>
    <n v="2"/>
    <n v="181.28"/>
    <n v="0"/>
    <n v="18.13"/>
    <n v="13.41"/>
    <n v="394.1"/>
    <s v="Net Banking"/>
    <s v="Returned"/>
    <s v="Indianapolis"/>
    <s v="IN"/>
    <s v="United States"/>
  </r>
  <r>
    <s v="ORD0000587"/>
    <x v="490"/>
    <s v="CUST044170"/>
    <s v="Vikas Verma"/>
    <x v="40"/>
    <x v="4"/>
    <s v="FitLife"/>
    <n v="5"/>
    <n v="365.39"/>
    <n v="0.2"/>
    <n v="73.08"/>
    <n v="13.35"/>
    <n v="1547.99"/>
    <s v="Debit Card"/>
    <s v="Delivered"/>
    <s v="Austin"/>
    <s v="TX"/>
    <s v="United States"/>
  </r>
  <r>
    <s v="ORD0000588"/>
    <x v="491"/>
    <s v="CUST046075"/>
    <s v="Sunita Sharma"/>
    <x v="37"/>
    <x v="3"/>
    <s v="UrbanStyle"/>
    <n v="1"/>
    <n v="85.9"/>
    <n v="0"/>
    <n v="4.3"/>
    <n v="7.59"/>
    <n v="97.79"/>
    <s v="Amazon Pay"/>
    <s v="Delivered"/>
    <s v="Fort Worth"/>
    <s v="TX"/>
    <s v="United States"/>
  </r>
  <r>
    <s v="ORD0000589"/>
    <x v="194"/>
    <s v="CUST039381"/>
    <s v="Pooja Reddy"/>
    <x v="39"/>
    <x v="3"/>
    <s v="FitLife"/>
    <n v="5"/>
    <n v="350.26"/>
    <n v="0"/>
    <n v="210.16"/>
    <n v="4.42"/>
    <n v="1965.88"/>
    <s v="Credit Card"/>
    <s v="Delivered"/>
    <s v="Fort Worth"/>
    <s v="TX"/>
    <s v="United States"/>
  </r>
  <r>
    <s v="ORD0000590"/>
    <x v="492"/>
    <s v="CUST042660"/>
    <s v="Vihaan Joshi"/>
    <x v="6"/>
    <x v="3"/>
    <s v="UrbanStyle"/>
    <n v="5"/>
    <n v="63.52"/>
    <n v="0.15"/>
    <n v="48.59"/>
    <n v="12.87"/>
    <n v="331.42"/>
    <s v="Credit Card"/>
    <s v="Delivered"/>
    <s v="Denver"/>
    <s v="CO"/>
    <s v="United States"/>
  </r>
  <r>
    <s v="ORD0000591"/>
    <x v="493"/>
    <s v="CUST013904"/>
    <s v="Vikas Gupta"/>
    <x v="20"/>
    <x v="1"/>
    <s v="Zenith"/>
    <n v="4"/>
    <n v="56.27"/>
    <n v="0.15"/>
    <n v="34.44"/>
    <n v="6.88"/>
    <n v="232.64"/>
    <s v="Net Banking"/>
    <s v="Delivered"/>
    <s v="Denver"/>
    <s v="CO"/>
    <s v="India"/>
  </r>
  <r>
    <s v="ORD0000592"/>
    <x v="371"/>
    <s v="CUST019361"/>
    <s v="Ritika Mehta"/>
    <x v="20"/>
    <x v="0"/>
    <s v="ReadMore"/>
    <n v="4"/>
    <n v="316.54000000000002"/>
    <n v="0.25"/>
    <n v="47.48"/>
    <n v="10.84"/>
    <n v="1007.94"/>
    <s v="Credit Card"/>
    <s v="Delivered"/>
    <s v="Seattle"/>
    <s v="WA"/>
    <s v="India"/>
  </r>
  <r>
    <s v="ORD0000593"/>
    <x v="494"/>
    <s v="CUST024891"/>
    <s v="Vikas Verma"/>
    <x v="38"/>
    <x v="1"/>
    <s v="KiddoFun"/>
    <n v="2"/>
    <n v="101.06"/>
    <n v="0.15"/>
    <n v="0"/>
    <n v="4.45"/>
    <n v="176.25"/>
    <s v="Debit Card"/>
    <s v="Shipped"/>
    <s v="San Antonio"/>
    <s v="TX"/>
    <s v="India"/>
  </r>
  <r>
    <s v="ORD0000594"/>
    <x v="495"/>
    <s v="CUST029875"/>
    <s v="Sneha Joshi"/>
    <x v="31"/>
    <x v="4"/>
    <s v="Apex"/>
    <n v="1"/>
    <n v="409.03"/>
    <n v="0.2"/>
    <n v="39.270000000000003"/>
    <n v="2.71"/>
    <n v="369.2"/>
    <s v="Cash on Delivery"/>
    <s v="Delivered"/>
    <s v="Denver"/>
    <s v="CO"/>
    <s v="United States"/>
  </r>
  <r>
    <s v="ORD0000595"/>
    <x v="496"/>
    <s v="CUST046126"/>
    <s v="Aarav Kapoor"/>
    <x v="19"/>
    <x v="1"/>
    <s v="BrightLux"/>
    <n v="3"/>
    <n v="490.58"/>
    <n v="0.1"/>
    <n v="238.42"/>
    <n v="11.4"/>
    <n v="1574.39"/>
    <s v="Credit Card"/>
    <s v="Delivered"/>
    <s v="Jacksonville"/>
    <s v="FL"/>
    <s v="United States"/>
  </r>
  <r>
    <s v="ORD0000596"/>
    <x v="497"/>
    <s v="CUST044429"/>
    <s v="Sahil Patel"/>
    <x v="6"/>
    <x v="1"/>
    <s v="ReadMore"/>
    <n v="1"/>
    <n v="36.89"/>
    <n v="0"/>
    <n v="2.95"/>
    <n v="6.18"/>
    <n v="46.02"/>
    <s v="Credit Card"/>
    <s v="Delivered"/>
    <s v="Denver"/>
    <s v="CO"/>
    <s v="United States"/>
  </r>
  <r>
    <s v="ORD0000597"/>
    <x v="498"/>
    <s v="CUST035227"/>
    <s v="Kabir Kumar"/>
    <x v="40"/>
    <x v="2"/>
    <s v="KiddoFun"/>
    <n v="3"/>
    <n v="143.79"/>
    <n v="0"/>
    <n v="34.51"/>
    <n v="7.39"/>
    <n v="473.27"/>
    <s v="Credit Card"/>
    <s v="Returned"/>
    <s v="San Diego"/>
    <s v="CA"/>
    <s v="United States"/>
  </r>
  <r>
    <s v="ORD0000598"/>
    <x v="48"/>
    <s v="CUST016520"/>
    <s v="Aditya Joshi"/>
    <x v="28"/>
    <x v="4"/>
    <s v="BrightLux"/>
    <n v="2"/>
    <n v="592.01"/>
    <n v="0.05"/>
    <n v="89.99"/>
    <n v="1.49"/>
    <n v="1216.3"/>
    <s v="UPI"/>
    <s v="Shipped"/>
    <s v="San Jose"/>
    <s v="CA"/>
    <s v="India"/>
  </r>
  <r>
    <s v="ORD0000599"/>
    <x v="499"/>
    <s v="CUST049966"/>
    <s v="Priya Mehta"/>
    <x v="21"/>
    <x v="1"/>
    <s v="BrightLux"/>
    <n v="1"/>
    <n v="229.03"/>
    <n v="0.1"/>
    <n v="16.489999999999998"/>
    <n v="0.21"/>
    <n v="222.83"/>
    <s v="UPI"/>
    <s v="Delivered"/>
    <s v="Jacksonville"/>
    <s v="FL"/>
    <s v="United States"/>
  </r>
  <r>
    <s v="ORD0000600"/>
    <x v="308"/>
    <s v="CUST011144"/>
    <s v="Vihaan Singh"/>
    <x v="18"/>
    <x v="5"/>
    <s v="Apex"/>
    <n v="5"/>
    <n v="304.18"/>
    <n v="0"/>
    <n v="76.040000000000006"/>
    <n v="3.7"/>
    <n v="1600.64"/>
    <s v="UPI"/>
    <s v="Delivered"/>
    <s v="Washington"/>
    <s v="DC"/>
    <s v="India"/>
  </r>
  <r>
    <s v="ORD0000601"/>
    <x v="500"/>
    <s v="CUST006657"/>
    <s v="Vivaan Sharma"/>
    <x v="20"/>
    <x v="1"/>
    <s v="BrightLux"/>
    <n v="4"/>
    <n v="467.6"/>
    <n v="0.25"/>
    <n v="70.14"/>
    <n v="0.76"/>
    <n v="1473.7"/>
    <s v="Credit Card"/>
    <s v="Returned"/>
    <s v="San Jose"/>
    <s v="CA"/>
    <s v="United States"/>
  </r>
  <r>
    <s v="ORD0000602"/>
    <x v="501"/>
    <s v="CUST031211"/>
    <s v="Priya Joshi"/>
    <x v="48"/>
    <x v="1"/>
    <s v="BrightLux"/>
    <n v="3"/>
    <n v="473.83"/>
    <n v="0.25"/>
    <n v="85.29"/>
    <n v="3.84"/>
    <n v="1155.25"/>
    <s v="Debit Card"/>
    <s v="Delivered"/>
    <s v="Houston"/>
    <s v="TX"/>
    <s v="United Kingdom"/>
  </r>
  <r>
    <s v="ORD0000603"/>
    <x v="502"/>
    <s v="CUST032624"/>
    <s v="Vihaan Verma"/>
    <x v="16"/>
    <x v="0"/>
    <s v="ReadMore"/>
    <n v="2"/>
    <n v="147.61000000000001"/>
    <n v="0.1"/>
    <n v="21.26"/>
    <n v="10.4"/>
    <n v="297.36"/>
    <s v="Debit Card"/>
    <s v="Pending"/>
    <s v="Philadelphia"/>
    <s v="PA"/>
    <s v="United States"/>
  </r>
  <r>
    <s v="ORD0000604"/>
    <x v="503"/>
    <s v="CUST023521"/>
    <s v="Sneha Reddy"/>
    <x v="10"/>
    <x v="3"/>
    <s v="NexPro"/>
    <n v="2"/>
    <n v="568.55999999999995"/>
    <n v="0"/>
    <n v="136.44999999999999"/>
    <n v="4.9000000000000004"/>
    <n v="1278.47"/>
    <s v="Cash on Delivery"/>
    <s v="Delivered"/>
    <s v="Washington"/>
    <s v="DC"/>
    <s v="United States"/>
  </r>
  <r>
    <s v="ORD0000605"/>
    <x v="504"/>
    <s v="CUST006077"/>
    <s v="Arjun Mehta"/>
    <x v="33"/>
    <x v="2"/>
    <s v="KiddoFun"/>
    <n v="5"/>
    <n v="357.16"/>
    <n v="0.15"/>
    <n v="75.900000000000006"/>
    <n v="3.35"/>
    <n v="1597.18"/>
    <s v="UPI"/>
    <s v="Delivered"/>
    <s v="Washington"/>
    <s v="DC"/>
    <s v="United Kingdom"/>
  </r>
  <r>
    <s v="ORD0000606"/>
    <x v="505"/>
    <s v="CUST012756"/>
    <s v="Simran Patel"/>
    <x v="38"/>
    <x v="5"/>
    <s v="NexPro"/>
    <n v="2"/>
    <n v="433.81"/>
    <n v="0"/>
    <n v="69.41"/>
    <n v="1.25"/>
    <n v="938.28"/>
    <s v="Debit Card"/>
    <s v="Pending"/>
    <s v="Seattle"/>
    <s v="WA"/>
    <s v="United States"/>
  </r>
  <r>
    <s v="ORD0000607"/>
    <x v="290"/>
    <s v="CUST002770"/>
    <s v="Sahil Mehta"/>
    <x v="45"/>
    <x v="1"/>
    <s v="NexPro"/>
    <n v="1"/>
    <n v="225.61"/>
    <n v="0"/>
    <n v="40.61"/>
    <n v="4"/>
    <n v="270.22000000000003"/>
    <s v="Cash on Delivery"/>
    <s v="Delivered"/>
    <s v="Washington"/>
    <s v="DC"/>
    <s v="United Kingdom"/>
  </r>
  <r>
    <s v="ORD0000608"/>
    <x v="506"/>
    <s v="CUST036442"/>
    <s v="Ritika Singh"/>
    <x v="0"/>
    <x v="2"/>
    <s v="KiddoFun"/>
    <n v="4"/>
    <n v="229.15"/>
    <n v="0.1"/>
    <n v="98.99"/>
    <n v="1.3"/>
    <n v="925.23"/>
    <s v="UPI"/>
    <s v="Delivered"/>
    <s v="Denver"/>
    <s v="CO"/>
    <s v="India"/>
  </r>
  <r>
    <s v="ORD0000609"/>
    <x v="507"/>
    <s v="CUST028699"/>
    <s v="Karan Verma"/>
    <x v="19"/>
    <x v="3"/>
    <s v="Apex"/>
    <n v="1"/>
    <n v="51.51"/>
    <n v="0"/>
    <n v="4.12"/>
    <n v="5.43"/>
    <n v="61.06"/>
    <s v="Cash on Delivery"/>
    <s v="Shipped"/>
    <s v="San Antonio"/>
    <s v="TX"/>
    <s v="Australia"/>
  </r>
  <r>
    <s v="ORD0000610"/>
    <x v="508"/>
    <s v="CUST041158"/>
    <s v="Neha Kapoor"/>
    <x v="21"/>
    <x v="1"/>
    <s v="Zenith"/>
    <n v="1"/>
    <n v="570.53"/>
    <n v="0"/>
    <n v="68.459999999999994"/>
    <n v="3.1"/>
    <n v="642.09"/>
    <s v="Debit Card"/>
    <s v="Delivered"/>
    <s v="Philadelphia"/>
    <s v="PA"/>
    <s v="United States"/>
  </r>
  <r>
    <s v="ORD0000611"/>
    <x v="182"/>
    <s v="CUST015252"/>
    <s v="Karan Gupta"/>
    <x v="2"/>
    <x v="5"/>
    <s v="KiddoFun"/>
    <n v="5"/>
    <n v="407.46"/>
    <n v="0.2"/>
    <n v="0"/>
    <n v="4.6500000000000004"/>
    <n v="1634.49"/>
    <s v="Credit Card"/>
    <s v="Delivered"/>
    <s v="Austin"/>
    <s v="TX"/>
    <s v="United States"/>
  </r>
  <r>
    <s v="ORD0000612"/>
    <x v="509"/>
    <s v="CUST009190"/>
    <s v="Vivaan Patel"/>
    <x v="34"/>
    <x v="2"/>
    <s v="Apex"/>
    <n v="5"/>
    <n v="367.29"/>
    <n v="0.1"/>
    <n v="132.22"/>
    <n v="2.54"/>
    <n v="1787.56"/>
    <s v="Credit Card"/>
    <s v="Delivered"/>
    <s v="San Diego"/>
    <s v="CA"/>
    <s v="United States"/>
  </r>
  <r>
    <s v="ORD0000613"/>
    <x v="510"/>
    <s v="CUST015078"/>
    <s v="Rohit Joshi"/>
    <x v="29"/>
    <x v="2"/>
    <s v="FitLife"/>
    <n v="3"/>
    <n v="287.18"/>
    <n v="0"/>
    <n v="103.38"/>
    <n v="7.76"/>
    <n v="972.68"/>
    <s v="Credit Card"/>
    <s v="Pending"/>
    <s v="Seattle"/>
    <s v="WA"/>
    <s v="United States"/>
  </r>
  <r>
    <s v="ORD0000614"/>
    <x v="511"/>
    <s v="CUST015888"/>
    <s v="Simran Kumar"/>
    <x v="35"/>
    <x v="2"/>
    <s v="HomeEase"/>
    <n v="2"/>
    <n v="190.23"/>
    <n v="0"/>
    <n v="30.44"/>
    <n v="9.0500000000000007"/>
    <n v="419.95"/>
    <s v="Cash on Delivery"/>
    <s v="Delivered"/>
    <s v="San Jose"/>
    <s v="CA"/>
    <s v="United States"/>
  </r>
  <r>
    <s v="ORD0000615"/>
    <x v="512"/>
    <s v="CUST047044"/>
    <s v="Vikas Verma"/>
    <x v="31"/>
    <x v="5"/>
    <s v="BrightLux"/>
    <n v="3"/>
    <n v="20.239999999999998"/>
    <n v="0.2"/>
    <n v="2.4300000000000002"/>
    <n v="14.6"/>
    <n v="65.61"/>
    <s v="Debit Card"/>
    <s v="Shipped"/>
    <s v="San Francisco"/>
    <s v="CA"/>
    <s v="United States"/>
  </r>
  <r>
    <s v="ORD0000616"/>
    <x v="513"/>
    <s v="CUST014358"/>
    <s v="Vikas Reddy"/>
    <x v="45"/>
    <x v="3"/>
    <s v="CoreTech"/>
    <n v="5"/>
    <n v="319.61"/>
    <n v="0"/>
    <n v="127.84"/>
    <n v="3.69"/>
    <n v="1729.58"/>
    <s v="UPI"/>
    <s v="Shipped"/>
    <s v="Seattle"/>
    <s v="WA"/>
    <s v="India"/>
  </r>
  <r>
    <s v="ORD0000617"/>
    <x v="16"/>
    <s v="CUST046153"/>
    <s v="Vikas Sharma"/>
    <x v="7"/>
    <x v="0"/>
    <s v="ReadMore"/>
    <n v="3"/>
    <n v="563.21"/>
    <n v="0.05"/>
    <n v="192.62"/>
    <n v="14.53"/>
    <n v="1812.3"/>
    <s v="Debit Card"/>
    <s v="Cancelled"/>
    <s v="Denver"/>
    <s v="CO"/>
    <s v="United States"/>
  </r>
  <r>
    <s v="ORD0000618"/>
    <x v="474"/>
    <s v="CUST001720"/>
    <s v="Sunita Gupta"/>
    <x v="41"/>
    <x v="4"/>
    <s v="Zenith"/>
    <n v="4"/>
    <n v="339.22"/>
    <n v="0"/>
    <n v="0"/>
    <n v="8.32"/>
    <n v="1365.2"/>
    <s v="Net Banking"/>
    <s v="Delivered"/>
    <s v="San Francisco"/>
    <s v="CA"/>
    <s v="United Kingdom"/>
  </r>
  <r>
    <s v="ORD0000619"/>
    <x v="514"/>
    <s v="CUST028536"/>
    <s v="Rohit Verma"/>
    <x v="27"/>
    <x v="2"/>
    <s v="KiddoFun"/>
    <n v="1"/>
    <n v="333.22"/>
    <n v="0"/>
    <n v="16.66"/>
    <n v="6.52"/>
    <n v="356.4"/>
    <s v="Amazon Pay"/>
    <s v="Shipped"/>
    <s v="Houston"/>
    <s v="TX"/>
    <s v="United States"/>
  </r>
  <r>
    <s v="ORD0000620"/>
    <x v="515"/>
    <s v="CUST041352"/>
    <s v="Simran Verma"/>
    <x v="4"/>
    <x v="2"/>
    <s v="KiddoFun"/>
    <n v="5"/>
    <n v="409.28"/>
    <n v="0.05"/>
    <n v="97.2"/>
    <n v="0.68"/>
    <n v="2041.96"/>
    <s v="Credit Card"/>
    <s v="Delivered"/>
    <s v="San Jose"/>
    <s v="CA"/>
    <s v="India"/>
  </r>
  <r>
    <s v="ORD0000621"/>
    <x v="516"/>
    <s v="CUST042316"/>
    <s v="Rohit Kapoor"/>
    <x v="32"/>
    <x v="0"/>
    <s v="HomeEase"/>
    <n v="2"/>
    <n v="548.88"/>
    <n v="0"/>
    <n v="54.89"/>
    <n v="2.15"/>
    <n v="1154.8"/>
    <s v="Amazon Pay"/>
    <s v="Delivered"/>
    <s v="San Jose"/>
    <s v="CA"/>
    <s v="United States"/>
  </r>
  <r>
    <s v="ORD0000622"/>
    <x v="313"/>
    <s v="CUST031158"/>
    <s v="Aarav Sharma"/>
    <x v="12"/>
    <x v="0"/>
    <s v="HomeEase"/>
    <n v="5"/>
    <n v="16.8"/>
    <n v="0"/>
    <n v="4.2"/>
    <n v="2.83"/>
    <n v="91.03"/>
    <s v="Amazon Pay"/>
    <s v="Delivered"/>
    <s v="Chicago"/>
    <s v="IL"/>
    <s v="United States"/>
  </r>
  <r>
    <s v="ORD0000623"/>
    <x v="235"/>
    <s v="CUST021388"/>
    <s v="Anjali Kumar"/>
    <x v="11"/>
    <x v="5"/>
    <s v="Zenith"/>
    <n v="5"/>
    <n v="508.77"/>
    <n v="0"/>
    <n v="127.19"/>
    <n v="11.33"/>
    <n v="2682.37"/>
    <s v="Credit Card"/>
    <s v="Delivered"/>
    <s v="Columbus"/>
    <s v="OH"/>
    <s v="United States"/>
  </r>
  <r>
    <s v="ORD0000624"/>
    <x v="230"/>
    <s v="CUST035024"/>
    <s v="Arjun Kapoor"/>
    <x v="12"/>
    <x v="5"/>
    <s v="NexPro"/>
    <n v="1"/>
    <n v="102.17"/>
    <n v="0.05"/>
    <n v="7.76"/>
    <n v="11.53"/>
    <n v="116.35"/>
    <s v="UPI"/>
    <s v="Delivered"/>
    <s v="Austin"/>
    <s v="TX"/>
    <s v="United States"/>
  </r>
  <r>
    <s v="ORD0000625"/>
    <x v="517"/>
    <s v="CUST012302"/>
    <s v="Rohit Verma"/>
    <x v="4"/>
    <x v="4"/>
    <s v="HomeEase"/>
    <n v="2"/>
    <n v="291.54000000000002"/>
    <n v="0"/>
    <n v="0"/>
    <n v="2.78"/>
    <n v="585.86"/>
    <s v="Credit Card"/>
    <s v="Pending"/>
    <s v="Philadelphia"/>
    <s v="PA"/>
    <s v="United States"/>
  </r>
  <r>
    <s v="ORD0000626"/>
    <x v="518"/>
    <s v="CUST005342"/>
    <s v="Sahil Kumar"/>
    <x v="9"/>
    <x v="0"/>
    <s v="HomeEase"/>
    <n v="3"/>
    <n v="86.49"/>
    <n v="0.15"/>
    <n v="11.03"/>
    <n v="13.31"/>
    <n v="244.89"/>
    <s v="Credit Card"/>
    <s v="Shipped"/>
    <s v="New York"/>
    <s v="NY"/>
    <s v="United States"/>
  </r>
  <r>
    <s v="ORD0000627"/>
    <x v="519"/>
    <s v="CUST002027"/>
    <s v="Ritika Kumar"/>
    <x v="30"/>
    <x v="5"/>
    <s v="BrightLux"/>
    <n v="2"/>
    <n v="106.56"/>
    <n v="0"/>
    <n v="0"/>
    <n v="5.84"/>
    <n v="218.96"/>
    <s v="Net Banking"/>
    <s v="Delivered"/>
    <s v="Phoenix"/>
    <s v="AZ"/>
    <s v="United States"/>
  </r>
  <r>
    <s v="ORD0000628"/>
    <x v="520"/>
    <s v="CUST004340"/>
    <s v="Sneha Patel"/>
    <x v="24"/>
    <x v="5"/>
    <s v="UrbanStyle"/>
    <n v="3"/>
    <n v="513.54999999999995"/>
    <n v="0.1"/>
    <n v="166.39"/>
    <n v="1.44"/>
    <n v="1554.42"/>
    <s v="Net Banking"/>
    <s v="Delivered"/>
    <s v="Washington"/>
    <s v="DC"/>
    <s v="India"/>
  </r>
  <r>
    <s v="ORD0000629"/>
    <x v="521"/>
    <s v="CUST001299"/>
    <s v="Arjun Kapoor"/>
    <x v="43"/>
    <x v="2"/>
    <s v="NexPro"/>
    <n v="3"/>
    <n v="592.04"/>
    <n v="0.25"/>
    <n v="106.57"/>
    <n v="9.9700000000000006"/>
    <n v="1448.63"/>
    <s v="Credit Card"/>
    <s v="Delivered"/>
    <s v="San Antonio"/>
    <s v="TX"/>
    <s v="United States"/>
  </r>
  <r>
    <s v="ORD0000630"/>
    <x v="112"/>
    <s v="CUST034381"/>
    <s v="Aarav Gupta"/>
    <x v="43"/>
    <x v="5"/>
    <s v="Zenith"/>
    <n v="5"/>
    <n v="80.2"/>
    <n v="0.05"/>
    <n v="0"/>
    <n v="7.31"/>
    <n v="388.26"/>
    <s v="Net Banking"/>
    <s v="Delivered"/>
    <s v="Jacksonville"/>
    <s v="FL"/>
    <s v="United States"/>
  </r>
  <r>
    <s v="ORD0000631"/>
    <x v="522"/>
    <s v="CUST032876"/>
    <s v="Arjun Singh"/>
    <x v="26"/>
    <x v="1"/>
    <s v="HomeEase"/>
    <n v="5"/>
    <n v="229.54"/>
    <n v="0"/>
    <n v="91.82"/>
    <n v="6.9"/>
    <n v="1246.42"/>
    <s v="Credit Card"/>
    <s v="Delivered"/>
    <s v="San Francisco"/>
    <s v="CA"/>
    <s v="Canada"/>
  </r>
  <r>
    <s v="ORD0000632"/>
    <x v="523"/>
    <s v="CUST001354"/>
    <s v="Sahil Gupta"/>
    <x v="23"/>
    <x v="3"/>
    <s v="KiddoFun"/>
    <n v="5"/>
    <n v="101.63"/>
    <n v="0.05"/>
    <n v="38.619999999999997"/>
    <n v="1.65"/>
    <n v="523.01"/>
    <s v="Amazon Pay"/>
    <s v="Delivered"/>
    <s v="Charlotte"/>
    <s v="NC"/>
    <s v="United States"/>
  </r>
  <r>
    <s v="ORD0000633"/>
    <x v="524"/>
    <s v="CUST034415"/>
    <s v="Mohit Verma"/>
    <x v="17"/>
    <x v="3"/>
    <s v="HomeEase"/>
    <n v="1"/>
    <n v="92.3"/>
    <n v="0"/>
    <n v="11.08"/>
    <n v="10.61"/>
    <n v="113.99"/>
    <s v="Debit Card"/>
    <s v="Pending"/>
    <s v="Seattle"/>
    <s v="WA"/>
    <s v="United States"/>
  </r>
  <r>
    <s v="ORD0000634"/>
    <x v="376"/>
    <s v="CUST004221"/>
    <s v="Aarav Singh"/>
    <x v="26"/>
    <x v="4"/>
    <s v="HomeEase"/>
    <n v="5"/>
    <n v="214.56"/>
    <n v="0"/>
    <n v="128.74"/>
    <n v="4.45"/>
    <n v="1205.99"/>
    <s v="UPI"/>
    <s v="Delivered"/>
    <s v="Phoenix"/>
    <s v="AZ"/>
    <s v="India"/>
  </r>
  <r>
    <s v="ORD0000635"/>
    <x v="525"/>
    <s v="CUST017501"/>
    <s v="Aarav Patel"/>
    <x v="10"/>
    <x v="2"/>
    <s v="Apex"/>
    <n v="3"/>
    <n v="211.25"/>
    <n v="0.2"/>
    <n v="60.84"/>
    <n v="6.1"/>
    <n v="573.94000000000005"/>
    <s v="Credit Card"/>
    <s v="Delivered"/>
    <s v="Indianapolis"/>
    <s v="IN"/>
    <s v="United States"/>
  </r>
  <r>
    <s v="ORD0000636"/>
    <x v="526"/>
    <s v="CUST041372"/>
    <s v="Sneha Kapoor"/>
    <x v="38"/>
    <x v="3"/>
    <s v="KiddoFun"/>
    <n v="5"/>
    <n v="209.51"/>
    <n v="0.05"/>
    <n v="49.76"/>
    <n v="11.36"/>
    <n v="1056.29"/>
    <s v="Debit Card"/>
    <s v="Delivered"/>
    <s v="Columbus"/>
    <s v="OH"/>
    <s v="United States"/>
  </r>
  <r>
    <s v="ORD0000637"/>
    <x v="527"/>
    <s v="CUST003021"/>
    <s v="Anjali Sharma"/>
    <x v="4"/>
    <x v="3"/>
    <s v="UrbanStyle"/>
    <n v="2"/>
    <n v="421.94"/>
    <n v="0"/>
    <n v="101.27"/>
    <n v="1.04"/>
    <n v="946.19"/>
    <s v="UPI"/>
    <s v="Returned"/>
    <s v="San Jose"/>
    <s v="CA"/>
    <s v="India"/>
  </r>
  <r>
    <s v="ORD0000638"/>
    <x v="528"/>
    <s v="CUST000237"/>
    <s v="Mohit Gupta"/>
    <x v="35"/>
    <x v="3"/>
    <s v="Apex"/>
    <n v="4"/>
    <n v="18.329999999999998"/>
    <n v="0"/>
    <n v="0"/>
    <n v="3.84"/>
    <n v="77.16"/>
    <s v="Credit Card"/>
    <s v="Delivered"/>
    <s v="Washington"/>
    <s v="DC"/>
    <s v="United States"/>
  </r>
  <r>
    <s v="ORD0000639"/>
    <x v="18"/>
    <s v="CUST035471"/>
    <s v="Vivaan Singh"/>
    <x v="36"/>
    <x v="1"/>
    <s v="BrightLux"/>
    <n v="2"/>
    <n v="123"/>
    <n v="0.2"/>
    <n v="9.84"/>
    <n v="14.33"/>
    <n v="220.97"/>
    <s v="Amazon Pay"/>
    <s v="Delivered"/>
    <s v="New York"/>
    <s v="NY"/>
    <s v="United States"/>
  </r>
  <r>
    <s v="ORD0000640"/>
    <x v="529"/>
    <s v="CUST041169"/>
    <s v="Karan Reddy"/>
    <x v="42"/>
    <x v="2"/>
    <s v="ReadMore"/>
    <n v="1"/>
    <n v="449.57"/>
    <n v="0.2"/>
    <n v="43.16"/>
    <n v="3.18"/>
    <n v="406"/>
    <s v="Debit Card"/>
    <s v="Delivered"/>
    <s v="Los Angeles"/>
    <s v="CA"/>
    <s v="United States"/>
  </r>
  <r>
    <s v="ORD0000641"/>
    <x v="132"/>
    <s v="CUST013631"/>
    <s v="Vihaan Verma"/>
    <x v="40"/>
    <x v="0"/>
    <s v="KiddoFun"/>
    <n v="1"/>
    <n v="422.22"/>
    <n v="0.1"/>
    <n v="45.6"/>
    <n v="9.3800000000000008"/>
    <n v="434.98"/>
    <s v="Amazon Pay"/>
    <s v="Delivered"/>
    <s v="Columbus"/>
    <s v="OH"/>
    <s v="United States"/>
  </r>
  <r>
    <s v="ORD0000642"/>
    <x v="116"/>
    <s v="CUST012298"/>
    <s v="Neha Joshi"/>
    <x v="14"/>
    <x v="0"/>
    <s v="UrbanStyle"/>
    <n v="5"/>
    <n v="243.42"/>
    <n v="0.1"/>
    <n v="131.44999999999999"/>
    <n v="3.54"/>
    <n v="1230.3800000000001"/>
    <s v="Net Banking"/>
    <s v="Delivered"/>
    <s v="San Antonio"/>
    <s v="TX"/>
    <s v="United States"/>
  </r>
  <r>
    <s v="ORD0000643"/>
    <x v="530"/>
    <s v="CUST015104"/>
    <s v="Vikas Reddy"/>
    <x v="23"/>
    <x v="0"/>
    <s v="Apex"/>
    <n v="1"/>
    <n v="445.19"/>
    <n v="0.15"/>
    <n v="45.41"/>
    <n v="13.76"/>
    <n v="437.58"/>
    <s v="Credit Card"/>
    <s v="Delivered"/>
    <s v="Columbus"/>
    <s v="OH"/>
    <s v="Australia"/>
  </r>
  <r>
    <s v="ORD0000644"/>
    <x v="334"/>
    <s v="CUST016270"/>
    <s v="Ritika Verma"/>
    <x v="38"/>
    <x v="5"/>
    <s v="ReadMore"/>
    <n v="3"/>
    <n v="223.77"/>
    <n v="0"/>
    <n v="53.7"/>
    <n v="11.24"/>
    <n v="736.25"/>
    <s v="Credit Card"/>
    <s v="Shipped"/>
    <s v="San Jose"/>
    <s v="CA"/>
    <s v="United States"/>
  </r>
  <r>
    <s v="ORD0000645"/>
    <x v="531"/>
    <s v="CUST035106"/>
    <s v="Simran Reddy"/>
    <x v="20"/>
    <x v="2"/>
    <s v="CoreTech"/>
    <n v="3"/>
    <n v="268.82"/>
    <n v="0.05"/>
    <n v="91.94"/>
    <n v="2.19"/>
    <n v="860.27"/>
    <s v="UPI"/>
    <s v="Delivered"/>
    <s v="San Diego"/>
    <s v="CA"/>
    <s v="United States"/>
  </r>
  <r>
    <s v="ORD0000646"/>
    <x v="532"/>
    <s v="CUST038495"/>
    <s v="Sneha Kapoor"/>
    <x v="34"/>
    <x v="5"/>
    <s v="FitLife"/>
    <n v="2"/>
    <n v="479.12"/>
    <n v="0.1"/>
    <n v="0"/>
    <n v="3.92"/>
    <n v="866.34"/>
    <s v="Amazon Pay"/>
    <s v="Delivered"/>
    <s v="Washington"/>
    <s v="DC"/>
    <s v="India"/>
  </r>
  <r>
    <s v="ORD0000647"/>
    <x v="240"/>
    <s v="CUST010023"/>
    <s v="Vivaan Reddy"/>
    <x v="49"/>
    <x v="3"/>
    <s v="UrbanStyle"/>
    <n v="3"/>
    <n v="115.37"/>
    <n v="0.1"/>
    <n v="15.57"/>
    <n v="4.0999999999999996"/>
    <n v="331.17"/>
    <s v="UPI"/>
    <s v="Delivered"/>
    <s v="Washington"/>
    <s v="DC"/>
    <s v="United States"/>
  </r>
  <r>
    <s v="ORD0000648"/>
    <x v="236"/>
    <s v="CUST018336"/>
    <s v="Priya Joshi"/>
    <x v="49"/>
    <x v="4"/>
    <s v="ReadMore"/>
    <n v="4"/>
    <n v="370.92"/>
    <n v="0.2"/>
    <n v="59.35"/>
    <n v="4.67"/>
    <n v="1250.96"/>
    <s v="Net Banking"/>
    <s v="Shipped"/>
    <s v="San Jose"/>
    <s v="CA"/>
    <s v="India"/>
  </r>
  <r>
    <s v="ORD0000649"/>
    <x v="533"/>
    <s v="CUST010320"/>
    <s v="Aarav Sharma"/>
    <x v="21"/>
    <x v="1"/>
    <s v="FitLife"/>
    <n v="1"/>
    <n v="410.06"/>
    <n v="0.15"/>
    <n v="62.74"/>
    <n v="9.1"/>
    <n v="420.39"/>
    <s v="Debit Card"/>
    <s v="Shipped"/>
    <s v="San Antonio"/>
    <s v="TX"/>
    <s v="Australia"/>
  </r>
  <r>
    <s v="ORD0000650"/>
    <x v="534"/>
    <s v="CUST040657"/>
    <s v="Neha Mehta"/>
    <x v="9"/>
    <x v="5"/>
    <s v="NexPro"/>
    <n v="1"/>
    <n v="141.41"/>
    <n v="0.2"/>
    <n v="5.66"/>
    <n v="4.46"/>
    <n v="123.25"/>
    <s v="Debit Card"/>
    <s v="Delivered"/>
    <s v="Seattle"/>
    <s v="WA"/>
    <s v="United Kingdom"/>
  </r>
  <r>
    <s v="ORD0000651"/>
    <x v="535"/>
    <s v="CUST027748"/>
    <s v="Karan Verma"/>
    <x v="26"/>
    <x v="3"/>
    <s v="BrightLux"/>
    <n v="4"/>
    <n v="58.27"/>
    <n v="0"/>
    <n v="27.97"/>
    <n v="11.21"/>
    <n v="272.26"/>
    <s v="UPI"/>
    <s v="Shipped"/>
    <s v="Houston"/>
    <s v="TX"/>
    <s v="United States"/>
  </r>
  <r>
    <s v="ORD0000652"/>
    <x v="536"/>
    <s v="CUST039331"/>
    <s v="Neha Joshi"/>
    <x v="45"/>
    <x v="1"/>
    <s v="HomeEase"/>
    <n v="2"/>
    <n v="131.55000000000001"/>
    <n v="0.15"/>
    <n v="26.84"/>
    <n v="0.38"/>
    <n v="250.86"/>
    <s v="Debit Card"/>
    <s v="Shipped"/>
    <s v="Indianapolis"/>
    <s v="IN"/>
    <s v="India"/>
  </r>
  <r>
    <s v="ORD0000653"/>
    <x v="93"/>
    <s v="CUST026647"/>
    <s v="Aditya Verma"/>
    <x v="2"/>
    <x v="0"/>
    <s v="UrbanStyle"/>
    <n v="3"/>
    <n v="362.92"/>
    <n v="0.05"/>
    <n v="82.75"/>
    <n v="11.7"/>
    <n v="1128.77"/>
    <s v="Cash on Delivery"/>
    <s v="Delivered"/>
    <s v="San Diego"/>
    <s v="CA"/>
    <s v="India"/>
  </r>
  <r>
    <s v="ORD0000654"/>
    <x v="537"/>
    <s v="CUST048921"/>
    <s v="Anjali Kapoor"/>
    <x v="38"/>
    <x v="3"/>
    <s v="HomeEase"/>
    <n v="3"/>
    <n v="453.13"/>
    <n v="0.05"/>
    <n v="64.569999999999993"/>
    <n v="1.98"/>
    <n v="1357.97"/>
    <s v="Net Banking"/>
    <s v="Delivered"/>
    <s v="Dallas"/>
    <s v="TX"/>
    <s v="United States"/>
  </r>
  <r>
    <s v="ORD0000655"/>
    <x v="538"/>
    <s v="CUST041207"/>
    <s v="Arjun Verma"/>
    <x v="43"/>
    <x v="2"/>
    <s v="NexPro"/>
    <n v="1"/>
    <n v="104.92"/>
    <n v="0.15"/>
    <n v="7.13"/>
    <n v="12.53"/>
    <n v="108.84"/>
    <s v="Credit Card"/>
    <s v="Delivered"/>
    <s v="Columbus"/>
    <s v="OH"/>
    <s v="United States"/>
  </r>
  <r>
    <s v="ORD0000656"/>
    <x v="539"/>
    <s v="CUST022106"/>
    <s v="Arjun Gupta"/>
    <x v="26"/>
    <x v="0"/>
    <s v="NexPro"/>
    <n v="2"/>
    <n v="109.98"/>
    <n v="0"/>
    <n v="17.600000000000001"/>
    <n v="3.26"/>
    <n v="240.82"/>
    <s v="Credit Card"/>
    <s v="Delivered"/>
    <s v="Fort Worth"/>
    <s v="TX"/>
    <s v="United States"/>
  </r>
  <r>
    <s v="ORD0000657"/>
    <x v="540"/>
    <s v="CUST047036"/>
    <s v="Kabir Kapoor"/>
    <x v="34"/>
    <x v="1"/>
    <s v="CoreTech"/>
    <n v="5"/>
    <n v="57.21"/>
    <n v="0.2"/>
    <n v="11.44"/>
    <n v="12.77"/>
    <n v="253.05"/>
    <s v="Amazon Pay"/>
    <s v="Shipped"/>
    <s v="Dallas"/>
    <s v="TX"/>
    <s v="India"/>
  </r>
  <r>
    <s v="ORD0000658"/>
    <x v="541"/>
    <s v="CUST018918"/>
    <s v="Sahil Patel"/>
    <x v="7"/>
    <x v="4"/>
    <s v="UrbanStyle"/>
    <n v="5"/>
    <n v="484.82"/>
    <n v="0.1"/>
    <n v="109.08"/>
    <n v="9.1199999999999992"/>
    <n v="2299.89"/>
    <s v="Credit Card"/>
    <s v="Delivered"/>
    <s v="San Antonio"/>
    <s v="TX"/>
    <s v="United States"/>
  </r>
  <r>
    <s v="ORD0000659"/>
    <x v="542"/>
    <s v="CUST013331"/>
    <s v="Sunita Kapoor"/>
    <x v="46"/>
    <x v="2"/>
    <s v="HomeEase"/>
    <n v="3"/>
    <n v="70.34"/>
    <n v="0.1"/>
    <n v="22.79"/>
    <n v="10.51"/>
    <n v="223.22"/>
    <s v="Cash on Delivery"/>
    <s v="Delivered"/>
    <s v="Chicago"/>
    <s v="IL"/>
    <s v="United States"/>
  </r>
  <r>
    <s v="ORD0000660"/>
    <x v="543"/>
    <s v="CUST028139"/>
    <s v="Aman Gupta"/>
    <x v="34"/>
    <x v="0"/>
    <s v="Zenith"/>
    <n v="1"/>
    <n v="496"/>
    <n v="0"/>
    <n v="24.8"/>
    <n v="5.95"/>
    <n v="526.75"/>
    <s v="Credit Card"/>
    <s v="Shipped"/>
    <s v="Chicago"/>
    <s v="IL"/>
    <s v="Australia"/>
  </r>
  <r>
    <s v="ORD0000661"/>
    <x v="544"/>
    <s v="CUST041747"/>
    <s v="Simran Reddy"/>
    <x v="49"/>
    <x v="2"/>
    <s v="ReadMore"/>
    <n v="3"/>
    <n v="533.42999999999995"/>
    <n v="0.1"/>
    <n v="72.010000000000005"/>
    <n v="0.86"/>
    <n v="1513.13"/>
    <s v="UPI"/>
    <s v="Delivered"/>
    <s v="Seattle"/>
    <s v="WA"/>
    <s v="India"/>
  </r>
  <r>
    <s v="ORD0000662"/>
    <x v="78"/>
    <s v="CUST021614"/>
    <s v="Kabir Mehta"/>
    <x v="11"/>
    <x v="0"/>
    <s v="Zenith"/>
    <n v="3"/>
    <n v="298.35000000000002"/>
    <n v="0"/>
    <n v="161.11000000000001"/>
    <n v="14.15"/>
    <n v="1070.31"/>
    <s v="UPI"/>
    <s v="Shipped"/>
    <s v="Fort Worth"/>
    <s v="TX"/>
    <s v="Canada"/>
  </r>
  <r>
    <s v="ORD0000663"/>
    <x v="428"/>
    <s v="CUST015215"/>
    <s v="Vihaan Verma"/>
    <x v="1"/>
    <x v="3"/>
    <s v="ReadMore"/>
    <n v="2"/>
    <n v="101.97"/>
    <n v="0"/>
    <n v="10.199999999999999"/>
    <n v="10.29"/>
    <n v="224.43"/>
    <s v="UPI"/>
    <s v="Delivered"/>
    <s v="Phoenix"/>
    <s v="AZ"/>
    <s v="United States"/>
  </r>
  <r>
    <s v="ORD0000664"/>
    <x v="545"/>
    <s v="CUST038495"/>
    <s v="Sahil Kumar"/>
    <x v="49"/>
    <x v="0"/>
    <s v="KiddoFun"/>
    <n v="4"/>
    <n v="579.05999999999995"/>
    <n v="0.2"/>
    <n v="333.54"/>
    <n v="11.53"/>
    <n v="2198.06"/>
    <s v="Amazon Pay"/>
    <s v="Delivered"/>
    <s v="Philadelphia"/>
    <s v="PA"/>
    <s v="United States"/>
  </r>
  <r>
    <s v="ORD0000665"/>
    <x v="546"/>
    <s v="CUST029669"/>
    <s v="Karan Joshi"/>
    <x v="1"/>
    <x v="2"/>
    <s v="CoreTech"/>
    <n v="3"/>
    <n v="569.16"/>
    <n v="0"/>
    <n v="307.35000000000002"/>
    <n v="6.44"/>
    <n v="2021.27"/>
    <s v="Amazon Pay"/>
    <s v="Delivered"/>
    <s v="Jacksonville"/>
    <s v="FL"/>
    <s v="United States"/>
  </r>
  <r>
    <s v="ORD0000666"/>
    <x v="77"/>
    <s v="CUST043404"/>
    <s v="Sneha Mehta"/>
    <x v="31"/>
    <x v="1"/>
    <s v="UrbanStyle"/>
    <n v="2"/>
    <n v="136.85"/>
    <n v="0.05"/>
    <n v="46.8"/>
    <n v="6.46"/>
    <n v="313.27"/>
    <s v="Credit Card"/>
    <s v="Shipped"/>
    <s v="Columbus"/>
    <s v="OH"/>
    <s v="United States"/>
  </r>
  <r>
    <s v="ORD0000667"/>
    <x v="547"/>
    <s v="CUST000342"/>
    <s v="Anjali Joshi"/>
    <x v="36"/>
    <x v="4"/>
    <s v="Zenith"/>
    <n v="1"/>
    <n v="174.15"/>
    <n v="0.1"/>
    <n v="28.21"/>
    <n v="8.6199999999999992"/>
    <n v="193.57"/>
    <s v="Amazon Pay"/>
    <s v="Delivered"/>
    <s v="Dallas"/>
    <s v="TX"/>
    <s v="India"/>
  </r>
  <r>
    <s v="ORD0000668"/>
    <x v="548"/>
    <s v="CUST028594"/>
    <s v="Sunita Mehta"/>
    <x v="0"/>
    <x v="0"/>
    <s v="BrightLux"/>
    <n v="5"/>
    <n v="62.49"/>
    <n v="0"/>
    <n v="25"/>
    <n v="8.91"/>
    <n v="346.36"/>
    <s v="Debit Card"/>
    <s v="Delivered"/>
    <s v="Chicago"/>
    <s v="IL"/>
    <s v="United Kingdom"/>
  </r>
  <r>
    <s v="ORD0000669"/>
    <x v="549"/>
    <s v="CUST039500"/>
    <s v="Vihaan Patel"/>
    <x v="23"/>
    <x v="2"/>
    <s v="ReadMore"/>
    <n v="3"/>
    <n v="478.63"/>
    <n v="0.2"/>
    <n v="57.44"/>
    <n v="9.5299999999999994"/>
    <n v="1215.68"/>
    <s v="Debit Card"/>
    <s v="Shipped"/>
    <s v="Houston"/>
    <s v="TX"/>
    <s v="United States"/>
  </r>
  <r>
    <s v="ORD0000670"/>
    <x v="84"/>
    <s v="CUST042143"/>
    <s v="Karan Patel"/>
    <x v="16"/>
    <x v="5"/>
    <s v="HomeEase"/>
    <n v="4"/>
    <n v="404.87"/>
    <n v="0"/>
    <n v="80.97"/>
    <n v="2.58"/>
    <n v="1703.03"/>
    <s v="Credit Card"/>
    <s v="Shipped"/>
    <s v="San Diego"/>
    <s v="CA"/>
    <s v="Australia"/>
  </r>
  <r>
    <s v="ORD0000671"/>
    <x v="550"/>
    <s v="CUST030029"/>
    <s v="Pooja Patel"/>
    <x v="17"/>
    <x v="5"/>
    <s v="FitLife"/>
    <n v="3"/>
    <n v="5.5"/>
    <n v="0.05"/>
    <n v="1.25"/>
    <n v="0.92"/>
    <n v="17.84"/>
    <s v="Net Banking"/>
    <s v="Delivered"/>
    <s v="Austin"/>
    <s v="TX"/>
    <s v="United States"/>
  </r>
  <r>
    <s v="ORD0000672"/>
    <x v="551"/>
    <s v="CUST017431"/>
    <s v="Arjun Joshi"/>
    <x v="27"/>
    <x v="5"/>
    <s v="HomeEase"/>
    <n v="3"/>
    <n v="22.11"/>
    <n v="0.1"/>
    <n v="10.75"/>
    <n v="2.8"/>
    <n v="73.25"/>
    <s v="Debit Card"/>
    <s v="Delivered"/>
    <s v="Austin"/>
    <s v="TX"/>
    <s v="United States"/>
  </r>
  <r>
    <s v="ORD0000673"/>
    <x v="552"/>
    <s v="CUST001021"/>
    <s v="Aditya Verma"/>
    <x v="43"/>
    <x v="5"/>
    <s v="HomeEase"/>
    <n v="2"/>
    <n v="72.88"/>
    <n v="0"/>
    <n v="7.29"/>
    <n v="2.83"/>
    <n v="155.88"/>
    <s v="Cash on Delivery"/>
    <s v="Delivered"/>
    <s v="Jacksonville"/>
    <s v="FL"/>
    <s v="Canada"/>
  </r>
  <r>
    <s v="ORD0000674"/>
    <x v="446"/>
    <s v="CUST046797"/>
    <s v="Aditya Verma"/>
    <x v="28"/>
    <x v="2"/>
    <s v="Apex"/>
    <n v="1"/>
    <n v="555.47"/>
    <n v="0"/>
    <n v="44.44"/>
    <n v="9.32"/>
    <n v="609.23"/>
    <s v="Credit Card"/>
    <s v="Shipped"/>
    <s v="Houston"/>
    <s v="TX"/>
    <s v="Australia"/>
  </r>
  <r>
    <s v="ORD0000675"/>
    <x v="553"/>
    <s v="CUST030534"/>
    <s v="Karan Verma"/>
    <x v="37"/>
    <x v="0"/>
    <s v="CoreTech"/>
    <n v="1"/>
    <n v="54.04"/>
    <n v="0"/>
    <n v="9.73"/>
    <n v="14.54"/>
    <n v="78.31"/>
    <s v="Debit Card"/>
    <s v="Pending"/>
    <s v="Houston"/>
    <s v="TX"/>
    <s v="United States"/>
  </r>
  <r>
    <s v="ORD0000676"/>
    <x v="554"/>
    <s v="CUST049021"/>
    <s v="Vikas Singh"/>
    <x v="34"/>
    <x v="1"/>
    <s v="Apex"/>
    <n v="4"/>
    <n v="176.73"/>
    <n v="0.05"/>
    <n v="33.58"/>
    <n v="3.45"/>
    <n v="708.6"/>
    <s v="Credit Card"/>
    <s v="Delivered"/>
    <s v="New York"/>
    <s v="NY"/>
    <s v="United States"/>
  </r>
  <r>
    <s v="ORD0000677"/>
    <x v="555"/>
    <s v="CUST027888"/>
    <s v="Sahil Sharma"/>
    <x v="32"/>
    <x v="4"/>
    <s v="ReadMore"/>
    <n v="4"/>
    <n v="500.88"/>
    <n v="0.15"/>
    <n v="85.15"/>
    <n v="2.61"/>
    <n v="1790.75"/>
    <s v="Debit Card"/>
    <s v="Pending"/>
    <s v="Jacksonville"/>
    <s v="FL"/>
    <s v="India"/>
  </r>
  <r>
    <s v="ORD0000678"/>
    <x v="556"/>
    <s v="CUST002243"/>
    <s v="Ritika Reddy"/>
    <x v="20"/>
    <x v="0"/>
    <s v="Zenith"/>
    <n v="4"/>
    <n v="179.29"/>
    <n v="0.1"/>
    <n v="32.270000000000003"/>
    <n v="0.96"/>
    <n v="678.67"/>
    <s v="UPI"/>
    <s v="Delivered"/>
    <s v="Austin"/>
    <s v="TX"/>
    <s v="United States"/>
  </r>
  <r>
    <s v="ORD0000679"/>
    <x v="557"/>
    <s v="CUST008903"/>
    <s v="Sahil Patel"/>
    <x v="19"/>
    <x v="1"/>
    <s v="FitLife"/>
    <n v="4"/>
    <n v="56.37"/>
    <n v="0.1"/>
    <n v="10.15"/>
    <n v="6.88"/>
    <n v="219.96"/>
    <s v="Credit Card"/>
    <s v="Shipped"/>
    <s v="Charlotte"/>
    <s v="NC"/>
    <s v="United States"/>
  </r>
  <r>
    <s v="ORD0000680"/>
    <x v="558"/>
    <s v="CUST027637"/>
    <s v="Vihaan Mehta"/>
    <x v="48"/>
    <x v="1"/>
    <s v="HomeEase"/>
    <n v="5"/>
    <n v="373.9"/>
    <n v="0.15"/>
    <n v="79.45"/>
    <n v="7.32"/>
    <n v="1675.84"/>
    <s v="Net Banking"/>
    <s v="Delivered"/>
    <s v="Indianapolis"/>
    <s v="IN"/>
    <s v="United Kingdom"/>
  </r>
  <r>
    <s v="ORD0000681"/>
    <x v="559"/>
    <s v="CUST002558"/>
    <s v="Vikas Mehta"/>
    <x v="25"/>
    <x v="5"/>
    <s v="KiddoFun"/>
    <n v="4"/>
    <n v="339.26"/>
    <n v="0.2"/>
    <n v="86.85"/>
    <n v="11.98"/>
    <n v="1184.46"/>
    <s v="Debit Card"/>
    <s v="Delivered"/>
    <s v="San Diego"/>
    <s v="CA"/>
    <s v="United States"/>
  </r>
  <r>
    <s v="ORD0000682"/>
    <x v="321"/>
    <s v="CUST021727"/>
    <s v="Vivaan Gupta"/>
    <x v="14"/>
    <x v="4"/>
    <s v="CoreTech"/>
    <n v="2"/>
    <n v="415.43"/>
    <n v="0.15"/>
    <n v="84.75"/>
    <n v="7.29"/>
    <n v="798.27"/>
    <s v="UPI"/>
    <s v="Returned"/>
    <s v="New York"/>
    <s v="NY"/>
    <s v="India"/>
  </r>
  <r>
    <s v="ORD0000683"/>
    <x v="560"/>
    <s v="CUST005548"/>
    <s v="Kabir Gupta"/>
    <x v="1"/>
    <x v="4"/>
    <s v="FitLife"/>
    <n v="1"/>
    <n v="299.44"/>
    <n v="0.2"/>
    <n v="0"/>
    <n v="12.55"/>
    <n v="252.1"/>
    <s v="UPI"/>
    <s v="Delivered"/>
    <s v="Philadelphia"/>
    <s v="PA"/>
    <s v="India"/>
  </r>
  <r>
    <s v="ORD0000684"/>
    <x v="339"/>
    <s v="CUST046930"/>
    <s v="Vikas Verma"/>
    <x v="6"/>
    <x v="5"/>
    <s v="ReadMore"/>
    <n v="1"/>
    <n v="597.04999999999995"/>
    <n v="0.05"/>
    <n v="45.38"/>
    <n v="1.88"/>
    <n v="614.46"/>
    <s v="Credit Card"/>
    <s v="Delivered"/>
    <s v="Dallas"/>
    <s v="TX"/>
    <s v="United States"/>
  </r>
  <r>
    <s v="ORD0000685"/>
    <x v="180"/>
    <s v="CUST030151"/>
    <s v="Ritika Reddy"/>
    <x v="29"/>
    <x v="3"/>
    <s v="ReadMore"/>
    <n v="2"/>
    <n v="153.62"/>
    <n v="0"/>
    <n v="24.58"/>
    <n v="10.82"/>
    <n v="342.64"/>
    <s v="Credit Card"/>
    <s v="Shipped"/>
    <s v="Chicago"/>
    <s v="IL"/>
    <s v="India"/>
  </r>
  <r>
    <s v="ORD0000686"/>
    <x v="561"/>
    <s v="CUST029666"/>
    <s v="Rohit Singh"/>
    <x v="7"/>
    <x v="4"/>
    <s v="HomeEase"/>
    <n v="1"/>
    <n v="250.92"/>
    <n v="0.05"/>
    <n v="42.91"/>
    <n v="0.25"/>
    <n v="281.52999999999997"/>
    <s v="Cash on Delivery"/>
    <s v="Delivered"/>
    <s v="Denver"/>
    <s v="CO"/>
    <s v="United States"/>
  </r>
  <r>
    <s v="ORD0000687"/>
    <x v="562"/>
    <s v="CUST041687"/>
    <s v="Neha Kumar"/>
    <x v="41"/>
    <x v="5"/>
    <s v="UrbanStyle"/>
    <n v="1"/>
    <n v="189.19"/>
    <n v="0.3"/>
    <n v="6.62"/>
    <n v="14.37"/>
    <n v="153.41999999999999"/>
    <s v="Credit Card"/>
    <s v="Delivered"/>
    <s v="Dallas"/>
    <s v="TX"/>
    <s v="United States"/>
  </r>
  <r>
    <s v="ORD0000688"/>
    <x v="563"/>
    <s v="CUST029704"/>
    <s v="Vihaan Patel"/>
    <x v="20"/>
    <x v="1"/>
    <s v="FitLife"/>
    <n v="5"/>
    <n v="493.13"/>
    <n v="0"/>
    <n v="123.28"/>
    <n v="4.4400000000000004"/>
    <n v="2593.37"/>
    <s v="Amazon Pay"/>
    <s v="Shipped"/>
    <s v="San Antonio"/>
    <s v="TX"/>
    <s v="United States"/>
  </r>
  <r>
    <s v="ORD0000689"/>
    <x v="564"/>
    <s v="CUST014194"/>
    <s v="Sahil Patel"/>
    <x v="22"/>
    <x v="2"/>
    <s v="NexPro"/>
    <n v="5"/>
    <n v="209.19"/>
    <n v="0.15"/>
    <n v="0"/>
    <n v="10.6"/>
    <n v="899.66"/>
    <s v="Credit Card"/>
    <s v="Delivered"/>
    <s v="Jacksonville"/>
    <s v="FL"/>
    <s v="India"/>
  </r>
  <r>
    <s v="ORD0000690"/>
    <x v="565"/>
    <s v="CUST012572"/>
    <s v="Vihaan Gupta"/>
    <x v="30"/>
    <x v="1"/>
    <s v="Zenith"/>
    <n v="4"/>
    <n v="41.65"/>
    <n v="0.2"/>
    <n v="6.66"/>
    <n v="2.87"/>
    <n v="142.81"/>
    <s v="UPI"/>
    <s v="Delivered"/>
    <s v="Jacksonville"/>
    <s v="FL"/>
    <s v="United States"/>
  </r>
  <r>
    <s v="ORD0000691"/>
    <x v="566"/>
    <s v="CUST009709"/>
    <s v="Ritika Kumar"/>
    <x v="38"/>
    <x v="2"/>
    <s v="UrbanStyle"/>
    <n v="4"/>
    <n v="26.16"/>
    <n v="0.15"/>
    <n v="4.45"/>
    <n v="2.91"/>
    <n v="96.3"/>
    <s v="UPI"/>
    <s v="Shipped"/>
    <s v="Fort Worth"/>
    <s v="TX"/>
    <s v="United States"/>
  </r>
  <r>
    <s v="ORD0000692"/>
    <x v="567"/>
    <s v="CUST012727"/>
    <s v="Karan Reddy"/>
    <x v="15"/>
    <x v="3"/>
    <s v="FitLife"/>
    <n v="3"/>
    <n v="454.5"/>
    <n v="0.1"/>
    <n v="147.26"/>
    <n v="13.56"/>
    <n v="1387.97"/>
    <s v="Debit Card"/>
    <s v="Delivered"/>
    <s v="San Francisco"/>
    <s v="CA"/>
    <s v="United States"/>
  </r>
  <r>
    <s v="ORD0000693"/>
    <x v="568"/>
    <s v="CUST046847"/>
    <s v="Kabir Kapoor"/>
    <x v="7"/>
    <x v="2"/>
    <s v="FitLife"/>
    <n v="5"/>
    <n v="482.5"/>
    <n v="0"/>
    <n v="0"/>
    <n v="5.78"/>
    <n v="2418.2800000000002"/>
    <s v="Credit Card"/>
    <s v="Delivered"/>
    <s v="San Antonio"/>
    <s v="TX"/>
    <s v="United States"/>
  </r>
  <r>
    <s v="ORD0000694"/>
    <x v="312"/>
    <s v="CUST006467"/>
    <s v="Sahil Sharma"/>
    <x v="14"/>
    <x v="3"/>
    <s v="CoreTech"/>
    <n v="2"/>
    <n v="227.77"/>
    <n v="0"/>
    <n v="22.78"/>
    <n v="11.15"/>
    <n v="489.47"/>
    <s v="Debit Card"/>
    <s v="Pending"/>
    <s v="Chicago"/>
    <s v="IL"/>
    <s v="United States"/>
  </r>
  <r>
    <s v="ORD0000695"/>
    <x v="569"/>
    <s v="CUST022221"/>
    <s v="Kabir Gupta"/>
    <x v="16"/>
    <x v="0"/>
    <s v="HomeEase"/>
    <n v="2"/>
    <n v="238.74"/>
    <n v="0.3"/>
    <n v="16.71"/>
    <n v="2.2400000000000002"/>
    <n v="353.19"/>
    <s v="Net Banking"/>
    <s v="Delivered"/>
    <s v="Jacksonville"/>
    <s v="FL"/>
    <s v="United States"/>
  </r>
  <r>
    <s v="ORD0000696"/>
    <x v="570"/>
    <s v="CUST022439"/>
    <s v="Aarav Singh"/>
    <x v="9"/>
    <x v="2"/>
    <s v="CoreTech"/>
    <n v="3"/>
    <n v="107.51"/>
    <n v="0.05"/>
    <n v="0"/>
    <n v="13.53"/>
    <n v="319.93"/>
    <s v="Credit Card"/>
    <s v="Shipped"/>
    <s v="Dallas"/>
    <s v="TX"/>
    <s v="United States"/>
  </r>
  <r>
    <s v="ORD0000697"/>
    <x v="496"/>
    <s v="CUST006859"/>
    <s v="Pooja Gupta"/>
    <x v="23"/>
    <x v="4"/>
    <s v="FitLife"/>
    <n v="5"/>
    <n v="226.07"/>
    <n v="0"/>
    <n v="90.43"/>
    <n v="5.75"/>
    <n v="1226.53"/>
    <s v="Amazon Pay"/>
    <s v="Delivered"/>
    <s v="Chicago"/>
    <s v="IL"/>
    <s v="United States"/>
  </r>
  <r>
    <s v="ORD0000698"/>
    <x v="181"/>
    <s v="CUST039325"/>
    <s v="Anjali Patel"/>
    <x v="39"/>
    <x v="4"/>
    <s v="CoreTech"/>
    <n v="5"/>
    <n v="168.27"/>
    <n v="0.1"/>
    <n v="0"/>
    <n v="8.52"/>
    <n v="765.74"/>
    <s v="Credit Card"/>
    <s v="Shipped"/>
    <s v="Austin"/>
    <s v="TX"/>
    <s v="United States"/>
  </r>
  <r>
    <s v="ORD0000699"/>
    <x v="18"/>
    <s v="CUST023697"/>
    <s v="Aarav Singh"/>
    <x v="48"/>
    <x v="0"/>
    <s v="CoreTech"/>
    <n v="2"/>
    <n v="491.81"/>
    <n v="0"/>
    <n v="118.03"/>
    <n v="12.07"/>
    <n v="1113.72"/>
    <s v="Credit Card"/>
    <s v="Delivered"/>
    <s v="Jacksonville"/>
    <s v="FL"/>
    <s v="Canada"/>
  </r>
  <r>
    <s v="ORD0000700"/>
    <x v="571"/>
    <s v="CUST048774"/>
    <s v="Arjun Kapoor"/>
    <x v="2"/>
    <x v="4"/>
    <s v="BrightLux"/>
    <n v="5"/>
    <n v="231.15"/>
    <n v="0"/>
    <n v="92.46"/>
    <n v="4.8499999999999996"/>
    <n v="1253.06"/>
    <s v="Debit Card"/>
    <s v="Delivered"/>
    <s v="Los Angeles"/>
    <s v="CA"/>
    <s v="United States"/>
  </r>
  <r>
    <s v="ORD0000701"/>
    <x v="433"/>
    <s v="CUST019726"/>
    <s v="Sunita Verma"/>
    <x v="34"/>
    <x v="3"/>
    <s v="BrightLux"/>
    <n v="4"/>
    <n v="506.79"/>
    <n v="0.05"/>
    <n v="231.1"/>
    <n v="5.61"/>
    <n v="2162.5100000000002"/>
    <s v="Debit Card"/>
    <s v="Shipped"/>
    <s v="Columbus"/>
    <s v="OH"/>
    <s v="United States"/>
  </r>
  <r>
    <s v="ORD0000702"/>
    <x v="250"/>
    <s v="CUST028627"/>
    <s v="Arjun Sharma"/>
    <x v="43"/>
    <x v="3"/>
    <s v="ReadMore"/>
    <n v="5"/>
    <n v="104.66"/>
    <n v="0"/>
    <n v="62.8"/>
    <n v="4.0999999999999996"/>
    <n v="590.20000000000005"/>
    <s v="Net Banking"/>
    <s v="Shipped"/>
    <s v="Chicago"/>
    <s v="IL"/>
    <s v="United States"/>
  </r>
  <r>
    <s v="ORD0000703"/>
    <x v="572"/>
    <s v="CUST037541"/>
    <s v="Aditya Reddy"/>
    <x v="10"/>
    <x v="4"/>
    <s v="KiddoFun"/>
    <n v="5"/>
    <n v="264.33999999999997"/>
    <n v="0"/>
    <n v="0"/>
    <n v="10.32"/>
    <n v="1332.02"/>
    <s v="Net Banking"/>
    <s v="Delivered"/>
    <s v="San Francisco"/>
    <s v="CA"/>
    <s v="United Kingdom"/>
  </r>
  <r>
    <s v="ORD0000704"/>
    <x v="573"/>
    <s v="CUST018027"/>
    <s v="Rohit Mehta"/>
    <x v="34"/>
    <x v="2"/>
    <s v="ReadMore"/>
    <n v="2"/>
    <n v="71.290000000000006"/>
    <n v="0.05"/>
    <n v="10.84"/>
    <n v="13.13"/>
    <n v="159.41999999999999"/>
    <s v="Amazon Pay"/>
    <s v="Delivered"/>
    <s v="Fort Worth"/>
    <s v="TX"/>
    <s v="United States"/>
  </r>
  <r>
    <s v="ORD0000705"/>
    <x v="574"/>
    <s v="CUST030540"/>
    <s v="Karan Joshi"/>
    <x v="13"/>
    <x v="3"/>
    <s v="FitLife"/>
    <n v="5"/>
    <n v="597.16"/>
    <n v="0.2"/>
    <n v="0"/>
    <n v="13.59"/>
    <n v="2402.23"/>
    <s v="Credit Card"/>
    <s v="Delivered"/>
    <s v="Los Angeles"/>
    <s v="CA"/>
    <s v="United States"/>
  </r>
  <r>
    <s v="ORD0000706"/>
    <x v="575"/>
    <s v="CUST034643"/>
    <s v="Anjali Singh"/>
    <x v="25"/>
    <x v="2"/>
    <s v="HomeEase"/>
    <n v="1"/>
    <n v="362.88"/>
    <n v="0.05"/>
    <n v="41.37"/>
    <n v="7.83"/>
    <n v="393.94"/>
    <s v="Credit Card"/>
    <s v="Delivered"/>
    <s v="Dallas"/>
    <s v="TX"/>
    <s v="United States"/>
  </r>
  <r>
    <s v="ORD0000707"/>
    <x v="576"/>
    <s v="CUST017237"/>
    <s v="Vikas Gupta"/>
    <x v="6"/>
    <x v="0"/>
    <s v="CoreTech"/>
    <n v="5"/>
    <n v="220.11"/>
    <n v="0.05"/>
    <n v="83.64"/>
    <n v="6.93"/>
    <n v="1136.0899999999999"/>
    <s v="Amazon Pay"/>
    <s v="Delivered"/>
    <s v="Austin"/>
    <s v="TX"/>
    <s v="United States"/>
  </r>
  <r>
    <s v="ORD0000708"/>
    <x v="577"/>
    <s v="CUST003101"/>
    <s v="Anjali Kapoor"/>
    <x v="7"/>
    <x v="2"/>
    <s v="Apex"/>
    <n v="2"/>
    <n v="298.51"/>
    <n v="0.3"/>
    <n v="20.9"/>
    <n v="6.99"/>
    <n v="445.8"/>
    <s v="Credit Card"/>
    <s v="Delivered"/>
    <s v="Dallas"/>
    <s v="TX"/>
    <s v="United States"/>
  </r>
  <r>
    <s v="ORD0000709"/>
    <x v="113"/>
    <s v="CUST021724"/>
    <s v="Kabir Verma"/>
    <x v="33"/>
    <x v="3"/>
    <s v="CoreTech"/>
    <n v="1"/>
    <n v="19.55"/>
    <n v="0.05"/>
    <n v="2.23"/>
    <n v="3.7"/>
    <n v="24.5"/>
    <s v="Net Banking"/>
    <s v="Delivered"/>
    <s v="San Francisco"/>
    <s v="CA"/>
    <s v="India"/>
  </r>
  <r>
    <s v="ORD0000710"/>
    <x v="452"/>
    <s v="CUST042705"/>
    <s v="Vivaan Singh"/>
    <x v="9"/>
    <x v="1"/>
    <s v="FitLife"/>
    <n v="4"/>
    <n v="62.63"/>
    <n v="0.05"/>
    <n v="19.04"/>
    <n v="11.02"/>
    <n v="268.05"/>
    <s v="UPI"/>
    <s v="Delivered"/>
    <s v="Seattle"/>
    <s v="WA"/>
    <s v="United Kingdom"/>
  </r>
  <r>
    <s v="ORD0000711"/>
    <x v="578"/>
    <s v="CUST007217"/>
    <s v="Mohit Kapoor"/>
    <x v="36"/>
    <x v="2"/>
    <s v="NexPro"/>
    <n v="1"/>
    <n v="470.49"/>
    <n v="0.15"/>
    <n v="20"/>
    <n v="4.9000000000000004"/>
    <n v="424.82"/>
    <s v="Net Banking"/>
    <s v="Delivered"/>
    <s v="Seattle"/>
    <s v="WA"/>
    <s v="United States"/>
  </r>
  <r>
    <s v="ORD0000712"/>
    <x v="203"/>
    <s v="CUST018425"/>
    <s v="Vivaan Verma"/>
    <x v="23"/>
    <x v="2"/>
    <s v="UrbanStyle"/>
    <n v="5"/>
    <n v="245.4"/>
    <n v="0.05"/>
    <n v="58.28"/>
    <n v="11.42"/>
    <n v="1235.3499999999999"/>
    <s v="Amazon Pay"/>
    <s v="Pending"/>
    <s v="San Jose"/>
    <s v="CA"/>
    <s v="United States"/>
  </r>
  <r>
    <s v="ORD0000713"/>
    <x v="579"/>
    <s v="CUST005122"/>
    <s v="Pooja Joshi"/>
    <x v="34"/>
    <x v="5"/>
    <s v="FitLife"/>
    <n v="5"/>
    <n v="148.75"/>
    <n v="0"/>
    <n v="59.5"/>
    <n v="1.38"/>
    <n v="804.63"/>
    <s v="Credit Card"/>
    <s v="Delivered"/>
    <s v="Fort Worth"/>
    <s v="TX"/>
    <s v="Australia"/>
  </r>
  <r>
    <s v="ORD0000714"/>
    <x v="580"/>
    <s v="CUST041670"/>
    <s v="Karan Joshi"/>
    <x v="28"/>
    <x v="0"/>
    <s v="Zenith"/>
    <n v="3"/>
    <n v="35.159999999999997"/>
    <n v="0.05"/>
    <n v="5.01"/>
    <n v="5.41"/>
    <n v="110.63"/>
    <s v="Amazon Pay"/>
    <s v="Delivered"/>
    <s v="Chicago"/>
    <s v="IL"/>
    <s v="United States"/>
  </r>
  <r>
    <s v="ORD0000715"/>
    <x v="581"/>
    <s v="CUST043609"/>
    <s v="Kabir Joshi"/>
    <x v="25"/>
    <x v="2"/>
    <s v="ReadMore"/>
    <n v="4"/>
    <n v="467.71"/>
    <n v="0.15"/>
    <n v="190.83"/>
    <n v="10.5"/>
    <n v="1791.54"/>
    <s v="Debit Card"/>
    <s v="Delivered"/>
    <s v="Houston"/>
    <s v="TX"/>
    <s v="United States"/>
  </r>
  <r>
    <s v="ORD0000716"/>
    <x v="560"/>
    <s v="CUST000070"/>
    <s v="Karan Gupta"/>
    <x v="11"/>
    <x v="0"/>
    <s v="HomeEase"/>
    <n v="2"/>
    <n v="221.87"/>
    <n v="0"/>
    <n v="22.19"/>
    <n v="1.1100000000000001"/>
    <n v="467.04"/>
    <s v="Credit Card"/>
    <s v="Delivered"/>
    <s v="Indianapolis"/>
    <s v="IN"/>
    <s v="United States"/>
  </r>
  <r>
    <s v="ORD0000717"/>
    <x v="437"/>
    <s v="CUST004801"/>
    <s v="Rohit Reddy"/>
    <x v="44"/>
    <x v="4"/>
    <s v="HomeEase"/>
    <n v="2"/>
    <n v="487.44"/>
    <n v="0"/>
    <n v="77.989999999999995"/>
    <n v="5.31"/>
    <n v="1058.18"/>
    <s v="Net Banking"/>
    <s v="Returned"/>
    <s v="Los Angeles"/>
    <s v="CA"/>
    <s v="United States"/>
  </r>
  <r>
    <s v="ORD0000718"/>
    <x v="538"/>
    <s v="CUST024405"/>
    <s v="Vihaan Patel"/>
    <x v="23"/>
    <x v="2"/>
    <s v="Zenith"/>
    <n v="2"/>
    <n v="56.82"/>
    <n v="0"/>
    <n v="13.64"/>
    <n v="10.54"/>
    <n v="137.82"/>
    <s v="Amazon Pay"/>
    <s v="Delivered"/>
    <s v="Charlotte"/>
    <s v="NC"/>
    <s v="India"/>
  </r>
  <r>
    <s v="ORD0000719"/>
    <x v="243"/>
    <s v="CUST017301"/>
    <s v="Karan Verma"/>
    <x v="16"/>
    <x v="3"/>
    <s v="UrbanStyle"/>
    <n v="3"/>
    <n v="195.03"/>
    <n v="0.1"/>
    <n v="94.78"/>
    <n v="13.87"/>
    <n v="635.23"/>
    <s v="Credit Card"/>
    <s v="Delivered"/>
    <s v="Denver"/>
    <s v="CO"/>
    <s v="United States"/>
  </r>
  <r>
    <s v="ORD0000720"/>
    <x v="582"/>
    <s v="CUST031212"/>
    <s v="Priya Kapoor"/>
    <x v="5"/>
    <x v="5"/>
    <s v="HomeEase"/>
    <n v="2"/>
    <n v="391.78"/>
    <n v="0.1"/>
    <n v="84.62"/>
    <n v="14.35"/>
    <n v="804.17"/>
    <s v="Credit Card"/>
    <s v="Pending"/>
    <s v="Dallas"/>
    <s v="TX"/>
    <s v="India"/>
  </r>
  <r>
    <s v="ORD0000721"/>
    <x v="583"/>
    <s v="CUST043505"/>
    <s v="Neha Reddy"/>
    <x v="15"/>
    <x v="0"/>
    <s v="NexPro"/>
    <n v="1"/>
    <n v="167.4"/>
    <n v="0"/>
    <n v="30.13"/>
    <n v="7.61"/>
    <n v="205.14"/>
    <s v="Credit Card"/>
    <s v="Delivered"/>
    <s v="Washington"/>
    <s v="DC"/>
    <s v="Australia"/>
  </r>
  <r>
    <s v="ORD0000722"/>
    <x v="506"/>
    <s v="CUST001051"/>
    <s v="Priya Sharma"/>
    <x v="28"/>
    <x v="0"/>
    <s v="BrightLux"/>
    <n v="4"/>
    <n v="260.35000000000002"/>
    <n v="0.2"/>
    <n v="99.97"/>
    <n v="2"/>
    <n v="935.09"/>
    <s v="Credit Card"/>
    <s v="Shipped"/>
    <s v="Philadelphia"/>
    <s v="PA"/>
    <s v="United States"/>
  </r>
  <r>
    <s v="ORD0000723"/>
    <x v="584"/>
    <s v="CUST017599"/>
    <s v="Sneha Mehta"/>
    <x v="36"/>
    <x v="1"/>
    <s v="BrightLux"/>
    <n v="5"/>
    <n v="419.07"/>
    <n v="0.25"/>
    <n v="78.58"/>
    <n v="9.7200000000000006"/>
    <n v="1659.81"/>
    <s v="Debit Card"/>
    <s v="Delivered"/>
    <s v="San Diego"/>
    <s v="CA"/>
    <s v="United States"/>
  </r>
  <r>
    <s v="ORD0000724"/>
    <x v="585"/>
    <s v="CUST001815"/>
    <s v="Kabir Sharma"/>
    <x v="40"/>
    <x v="5"/>
    <s v="BrightLux"/>
    <n v="2"/>
    <n v="299.49"/>
    <n v="0"/>
    <n v="29.95"/>
    <n v="0.04"/>
    <n v="628.97"/>
    <s v="Credit Card"/>
    <s v="Delivered"/>
    <s v="San Francisco"/>
    <s v="CA"/>
    <s v="India"/>
  </r>
  <r>
    <s v="ORD0000725"/>
    <x v="231"/>
    <s v="CUST036068"/>
    <s v="Aarav Kumar"/>
    <x v="26"/>
    <x v="1"/>
    <s v="KiddoFun"/>
    <n v="4"/>
    <n v="446.33"/>
    <n v="0"/>
    <n v="142.83000000000001"/>
    <n v="13.92"/>
    <n v="1942.07"/>
    <s v="UPI"/>
    <s v="Returned"/>
    <s v="Denver"/>
    <s v="CO"/>
    <s v="United States"/>
  </r>
  <r>
    <s v="ORD0000726"/>
    <x v="586"/>
    <s v="CUST021348"/>
    <s v="Priya Kumar"/>
    <x v="7"/>
    <x v="3"/>
    <s v="BrightLux"/>
    <n v="5"/>
    <n v="38.119999999999997"/>
    <n v="0.05"/>
    <n v="14.49"/>
    <n v="13.53"/>
    <n v="209.09"/>
    <s v="Credit Card"/>
    <s v="Shipped"/>
    <s v="Philadelphia"/>
    <s v="PA"/>
    <s v="India"/>
  </r>
  <r>
    <s v="ORD0000727"/>
    <x v="587"/>
    <s v="CUST001082"/>
    <s v="Arjun Gupta"/>
    <x v="30"/>
    <x v="2"/>
    <s v="ReadMore"/>
    <n v="5"/>
    <n v="552.04"/>
    <n v="0.05"/>
    <n v="314.66000000000003"/>
    <n v="0.69"/>
    <n v="2937.54"/>
    <s v="Debit Card"/>
    <s v="Cancelled"/>
    <s v="Phoenix"/>
    <s v="AZ"/>
    <s v="United States"/>
  </r>
  <r>
    <s v="ORD0000728"/>
    <x v="588"/>
    <s v="CUST041773"/>
    <s v="Priya Patel"/>
    <x v="5"/>
    <x v="5"/>
    <s v="UrbanStyle"/>
    <n v="1"/>
    <n v="598.22"/>
    <n v="0.2"/>
    <n v="23.93"/>
    <n v="9.98"/>
    <n v="512.49"/>
    <s v="Credit Card"/>
    <s v="Pending"/>
    <s v="Denver"/>
    <s v="CO"/>
    <s v="United States"/>
  </r>
  <r>
    <s v="ORD0000729"/>
    <x v="195"/>
    <s v="CUST037585"/>
    <s v="Vihaan Sharma"/>
    <x v="42"/>
    <x v="3"/>
    <s v="Apex"/>
    <n v="1"/>
    <n v="564.47"/>
    <n v="0"/>
    <n v="67.739999999999995"/>
    <n v="12.64"/>
    <n v="644.85"/>
    <s v="Debit Card"/>
    <s v="Shipped"/>
    <s v="Indianapolis"/>
    <s v="IN"/>
    <s v="India"/>
  </r>
  <r>
    <s v="ORD0000730"/>
    <x v="589"/>
    <s v="CUST039566"/>
    <s v="Neha Mehta"/>
    <x v="34"/>
    <x v="5"/>
    <s v="UrbanStyle"/>
    <n v="5"/>
    <n v="144.61000000000001"/>
    <n v="0"/>
    <n v="130.15"/>
    <n v="5.13"/>
    <n v="858.33"/>
    <s v="Amazon Pay"/>
    <s v="Returned"/>
    <s v="Jacksonville"/>
    <s v="FL"/>
    <s v="United Kingdom"/>
  </r>
  <r>
    <s v="ORD0000731"/>
    <x v="590"/>
    <s v="CUST032406"/>
    <s v="Mohit Singh"/>
    <x v="2"/>
    <x v="2"/>
    <s v="NexPro"/>
    <n v="2"/>
    <n v="567.80999999999995"/>
    <n v="0"/>
    <n v="0"/>
    <n v="2.09"/>
    <n v="1137.71"/>
    <s v="Credit Card"/>
    <s v="Delivered"/>
    <s v="Washington"/>
    <s v="DC"/>
    <s v="United States"/>
  </r>
  <r>
    <s v="ORD0000732"/>
    <x v="591"/>
    <s v="CUST006673"/>
    <s v="Sunita Reddy"/>
    <x v="42"/>
    <x v="0"/>
    <s v="BrightLux"/>
    <n v="3"/>
    <n v="129.66999999999999"/>
    <n v="0"/>
    <n v="31.12"/>
    <n v="6.2"/>
    <n v="426.33"/>
    <s v="Credit Card"/>
    <s v="Shipped"/>
    <s v="Washington"/>
    <s v="DC"/>
    <s v="United States"/>
  </r>
  <r>
    <s v="ORD0000733"/>
    <x v="592"/>
    <s v="CUST009117"/>
    <s v="Sneha Reddy"/>
    <x v="16"/>
    <x v="5"/>
    <s v="ReadMore"/>
    <n v="3"/>
    <n v="304.31"/>
    <n v="0"/>
    <n v="109.55"/>
    <n v="7.02"/>
    <n v="1029.5"/>
    <s v="Debit Card"/>
    <s v="Delivered"/>
    <s v="Chicago"/>
    <s v="IL"/>
    <s v="United States"/>
  </r>
  <r>
    <s v="ORD0000734"/>
    <x v="593"/>
    <s v="CUST020976"/>
    <s v="Sahil Patel"/>
    <x v="0"/>
    <x v="1"/>
    <s v="CoreTech"/>
    <n v="2"/>
    <n v="481.79"/>
    <n v="0.1"/>
    <n v="156.1"/>
    <n v="2.37"/>
    <n v="1025.69"/>
    <s v="UPI"/>
    <s v="Delivered"/>
    <s v="Denver"/>
    <s v="CO"/>
    <s v="United States"/>
  </r>
  <r>
    <s v="ORD0000735"/>
    <x v="206"/>
    <s v="CUST039664"/>
    <s v="Aditya Mehta"/>
    <x v="24"/>
    <x v="0"/>
    <s v="Zenith"/>
    <n v="5"/>
    <n v="404.96"/>
    <n v="0"/>
    <n v="0"/>
    <n v="9.1300000000000008"/>
    <n v="2033.93"/>
    <s v="Credit Card"/>
    <s v="Delivered"/>
    <s v="Charlotte"/>
    <s v="NC"/>
    <s v="Canada"/>
  </r>
  <r>
    <s v="ORD0000736"/>
    <x v="73"/>
    <s v="CUST016159"/>
    <s v="Vivaan Mehta"/>
    <x v="47"/>
    <x v="4"/>
    <s v="FitLife"/>
    <n v="2"/>
    <n v="296.23"/>
    <n v="0.05"/>
    <n v="67.540000000000006"/>
    <n v="11.3"/>
    <n v="641.67999999999995"/>
    <s v="Amazon Pay"/>
    <s v="Delivered"/>
    <s v="New York"/>
    <s v="NY"/>
    <s v="India"/>
  </r>
  <r>
    <s v="ORD0000737"/>
    <x v="273"/>
    <s v="CUST018490"/>
    <s v="Aarav Joshi"/>
    <x v="34"/>
    <x v="0"/>
    <s v="NexPro"/>
    <n v="3"/>
    <n v="171.95"/>
    <n v="0"/>
    <n v="41.27"/>
    <n v="8.5"/>
    <n v="565.62"/>
    <s v="Credit Card"/>
    <s v="Shipped"/>
    <s v="Houston"/>
    <s v="TX"/>
    <s v="United States"/>
  </r>
  <r>
    <s v="ORD0000738"/>
    <x v="594"/>
    <s v="CUST000529"/>
    <s v="Aditya Patel"/>
    <x v="25"/>
    <x v="0"/>
    <s v="Apex"/>
    <n v="5"/>
    <n v="587.98"/>
    <n v="0.25"/>
    <n v="396.89"/>
    <n v="14.43"/>
    <n v="2616.2399999999998"/>
    <s v="Amazon Pay"/>
    <s v="Delivered"/>
    <s v="Chicago"/>
    <s v="IL"/>
    <s v="Australia"/>
  </r>
  <r>
    <s v="ORD0000739"/>
    <x v="494"/>
    <s v="CUST041592"/>
    <s v="Ritika Mehta"/>
    <x v="1"/>
    <x v="3"/>
    <s v="UrbanStyle"/>
    <n v="1"/>
    <n v="420.81"/>
    <n v="0.05"/>
    <n v="0"/>
    <n v="8.26"/>
    <n v="408.03"/>
    <s v="Credit Card"/>
    <s v="Delivered"/>
    <s v="New York"/>
    <s v="NY"/>
    <s v="United States"/>
  </r>
  <r>
    <s v="ORD0000740"/>
    <x v="312"/>
    <s v="CUST025111"/>
    <s v="Ritika Mehta"/>
    <x v="46"/>
    <x v="4"/>
    <s v="ReadMore"/>
    <n v="1"/>
    <n v="123.43"/>
    <n v="0"/>
    <n v="22.22"/>
    <n v="13.52"/>
    <n v="159.16999999999999"/>
    <s v="UPI"/>
    <s v="Delivered"/>
    <s v="Houston"/>
    <s v="TX"/>
    <s v="United States"/>
  </r>
  <r>
    <s v="ORD0000741"/>
    <x v="584"/>
    <s v="CUST020962"/>
    <s v="Karan Gupta"/>
    <x v="39"/>
    <x v="1"/>
    <s v="FitLife"/>
    <n v="3"/>
    <n v="249.04"/>
    <n v="0.05"/>
    <n v="127.76"/>
    <n v="2.56"/>
    <n v="840.08"/>
    <s v="Credit Card"/>
    <s v="Delivered"/>
    <s v="Columbus"/>
    <s v="OH"/>
    <s v="United States"/>
  </r>
  <r>
    <s v="ORD0000742"/>
    <x v="595"/>
    <s v="CUST019154"/>
    <s v="Vihaan Mehta"/>
    <x v="21"/>
    <x v="1"/>
    <s v="CoreTech"/>
    <n v="1"/>
    <n v="248.15"/>
    <n v="0"/>
    <n v="19.850000000000001"/>
    <n v="4.74"/>
    <n v="272.74"/>
    <s v="UPI"/>
    <s v="Pending"/>
    <s v="San Antonio"/>
    <s v="TX"/>
    <s v="United States"/>
  </r>
  <r>
    <s v="ORD0000743"/>
    <x v="596"/>
    <s v="CUST008405"/>
    <s v="Aarav Patel"/>
    <x v="28"/>
    <x v="5"/>
    <s v="UrbanStyle"/>
    <n v="2"/>
    <n v="541.34"/>
    <n v="0"/>
    <n v="129.91999999999999"/>
    <n v="8.0299999999999994"/>
    <n v="1220.6300000000001"/>
    <s v="Credit Card"/>
    <s v="Delivered"/>
    <s v="Houston"/>
    <s v="TX"/>
    <s v="India"/>
  </r>
  <r>
    <s v="ORD0000744"/>
    <x v="597"/>
    <s v="CUST002196"/>
    <s v="Mohit Kapoor"/>
    <x v="44"/>
    <x v="2"/>
    <s v="HomeEase"/>
    <n v="4"/>
    <n v="52.22"/>
    <n v="0.05"/>
    <n v="15.87"/>
    <n v="3.55"/>
    <n v="217.86"/>
    <s v="Debit Card"/>
    <s v="Delivered"/>
    <s v="Jacksonville"/>
    <s v="FL"/>
    <s v="United States"/>
  </r>
  <r>
    <s v="ORD0000745"/>
    <x v="598"/>
    <s v="CUST022788"/>
    <s v="Simran Patel"/>
    <x v="35"/>
    <x v="0"/>
    <s v="CoreTech"/>
    <n v="4"/>
    <n v="198.26"/>
    <n v="0.15"/>
    <n v="33.700000000000003"/>
    <n v="9.39"/>
    <n v="717.17"/>
    <s v="Credit Card"/>
    <s v="Delivered"/>
    <s v="San Francisco"/>
    <s v="CA"/>
    <s v="Canada"/>
  </r>
  <r>
    <s v="ORD0000746"/>
    <x v="599"/>
    <s v="CUST020811"/>
    <s v="Aditya Mehta"/>
    <x v="48"/>
    <x v="3"/>
    <s v="FitLife"/>
    <n v="1"/>
    <n v="111.71"/>
    <n v="0.1"/>
    <n v="8.0399999999999991"/>
    <n v="3.49"/>
    <n v="112.07"/>
    <s v="Debit Card"/>
    <s v="Cancelled"/>
    <s v="Dallas"/>
    <s v="TX"/>
    <s v="United States"/>
  </r>
  <r>
    <s v="ORD0000747"/>
    <x v="600"/>
    <s v="CUST036913"/>
    <s v="Vihaan Kumar"/>
    <x v="37"/>
    <x v="5"/>
    <s v="ReadMore"/>
    <n v="2"/>
    <n v="569.66999999999996"/>
    <n v="0"/>
    <n v="91.15"/>
    <n v="3.4"/>
    <n v="1233.8900000000001"/>
    <s v="Credit Card"/>
    <s v="Shipped"/>
    <s v="Phoenix"/>
    <s v="AZ"/>
    <s v="United Kingdom"/>
  </r>
  <r>
    <s v="ORD0000748"/>
    <x v="601"/>
    <s v="CUST023917"/>
    <s v="Karan Kapoor"/>
    <x v="27"/>
    <x v="4"/>
    <s v="KiddoFun"/>
    <n v="1"/>
    <n v="346.29"/>
    <n v="0.3"/>
    <n v="12.12"/>
    <n v="9.0399999999999991"/>
    <n v="263.56"/>
    <s v="Debit Card"/>
    <s v="Delivered"/>
    <s v="Washington"/>
    <s v="DC"/>
    <s v="United States"/>
  </r>
  <r>
    <s v="ORD0000749"/>
    <x v="602"/>
    <s v="CUST049946"/>
    <s v="Sunita Reddy"/>
    <x v="41"/>
    <x v="4"/>
    <s v="UrbanStyle"/>
    <n v="1"/>
    <n v="408.88"/>
    <n v="0.05"/>
    <n v="69.92"/>
    <n v="3.2"/>
    <n v="461.56"/>
    <s v="Debit Card"/>
    <s v="Delivered"/>
    <s v="Dallas"/>
    <s v="TX"/>
    <s v="United States"/>
  </r>
  <r>
    <s v="ORD0000750"/>
    <x v="603"/>
    <s v="CUST037369"/>
    <s v="Aditya Mehta"/>
    <x v="26"/>
    <x v="1"/>
    <s v="BrightLux"/>
    <n v="5"/>
    <n v="111.1"/>
    <n v="0"/>
    <n v="44.44"/>
    <n v="6.94"/>
    <n v="606.88"/>
    <s v="UPI"/>
    <s v="Delivered"/>
    <s v="Washington"/>
    <s v="DC"/>
    <s v="India"/>
  </r>
  <r>
    <s v="ORD0000751"/>
    <x v="407"/>
    <s v="CUST027164"/>
    <s v="Priya Patel"/>
    <x v="42"/>
    <x v="3"/>
    <s v="ReadMore"/>
    <n v="2"/>
    <n v="284.32"/>
    <n v="0"/>
    <n v="28.43"/>
    <n v="4.72"/>
    <n v="601.79"/>
    <s v="Debit Card"/>
    <s v="Delivered"/>
    <s v="Chicago"/>
    <s v="IL"/>
    <s v="United States"/>
  </r>
  <r>
    <s v="ORD0000752"/>
    <x v="604"/>
    <s v="CUST035635"/>
    <s v="Sneha Patel"/>
    <x v="46"/>
    <x v="2"/>
    <s v="KiddoFun"/>
    <n v="3"/>
    <n v="369.85"/>
    <n v="0"/>
    <n v="199.72"/>
    <n v="11.04"/>
    <n v="1320.31"/>
    <s v="Amazon Pay"/>
    <s v="Pending"/>
    <s v="Fort Worth"/>
    <s v="TX"/>
    <s v="United States"/>
  </r>
  <r>
    <s v="ORD0000753"/>
    <x v="605"/>
    <s v="CUST033448"/>
    <s v="Mohit Verma"/>
    <x v="30"/>
    <x v="1"/>
    <s v="CoreTech"/>
    <n v="2"/>
    <n v="116.36"/>
    <n v="0.25"/>
    <n v="8.73"/>
    <n v="1.61"/>
    <n v="184.88"/>
    <s v="Amazon Pay"/>
    <s v="Returned"/>
    <s v="Columbus"/>
    <s v="OH"/>
    <s v="India"/>
  </r>
  <r>
    <s v="ORD0000754"/>
    <x v="606"/>
    <s v="CUST022565"/>
    <s v="Aman Verma"/>
    <x v="42"/>
    <x v="2"/>
    <s v="Apex"/>
    <n v="2"/>
    <n v="535.91"/>
    <n v="0"/>
    <n v="53.59"/>
    <n v="6.09"/>
    <n v="1131.5"/>
    <s v="Debit Card"/>
    <s v="Delivered"/>
    <s v="Columbus"/>
    <s v="OH"/>
    <s v="United States"/>
  </r>
  <r>
    <s v="ORD0000755"/>
    <x v="607"/>
    <s v="CUST010986"/>
    <s v="Aman Reddy"/>
    <x v="1"/>
    <x v="4"/>
    <s v="CoreTech"/>
    <n v="1"/>
    <n v="6.85"/>
    <n v="0.15"/>
    <n v="0.7"/>
    <n v="5.57"/>
    <n v="12.09"/>
    <s v="Net Banking"/>
    <s v="Delivered"/>
    <s v="Washington"/>
    <s v="DC"/>
    <s v="United States"/>
  </r>
  <r>
    <s v="ORD0000756"/>
    <x v="608"/>
    <s v="CUST015343"/>
    <s v="Rohit Patel"/>
    <x v="26"/>
    <x v="1"/>
    <s v="BrightLux"/>
    <n v="5"/>
    <n v="106.25"/>
    <n v="0.25"/>
    <n v="19.920000000000002"/>
    <n v="4.62"/>
    <n v="422.98"/>
    <s v="Amazon Pay"/>
    <s v="Delivered"/>
    <s v="San Jose"/>
    <s v="CA"/>
    <s v="Australia"/>
  </r>
  <r>
    <s v="ORD0000757"/>
    <x v="165"/>
    <s v="CUST017587"/>
    <s v="Vikas Singh"/>
    <x v="38"/>
    <x v="1"/>
    <s v="ReadMore"/>
    <n v="5"/>
    <n v="569.91"/>
    <n v="0.05"/>
    <n v="487.27"/>
    <n v="9.11"/>
    <n v="3203.45"/>
    <s v="Net Banking"/>
    <s v="Shipped"/>
    <s v="Washington"/>
    <s v="DC"/>
    <s v="United States"/>
  </r>
  <r>
    <s v="ORD0000758"/>
    <x v="515"/>
    <s v="CUST008249"/>
    <s v="Sneha Verma"/>
    <x v="28"/>
    <x v="5"/>
    <s v="BrightLux"/>
    <n v="1"/>
    <n v="341.91"/>
    <n v="0.1"/>
    <n v="15.39"/>
    <n v="12.55"/>
    <n v="335.66"/>
    <s v="Credit Card"/>
    <s v="Delivered"/>
    <s v="Chicago"/>
    <s v="IL"/>
    <s v="United States"/>
  </r>
  <r>
    <s v="ORD0000759"/>
    <x v="471"/>
    <s v="CUST024297"/>
    <s v="Arjun Gupta"/>
    <x v="36"/>
    <x v="4"/>
    <s v="HomeEase"/>
    <n v="5"/>
    <n v="240.42"/>
    <n v="0.2"/>
    <n v="0"/>
    <n v="12.58"/>
    <n v="974.26"/>
    <s v="Debit Card"/>
    <s v="Delivered"/>
    <s v="Austin"/>
    <s v="TX"/>
    <s v="United States"/>
  </r>
  <r>
    <s v="ORD0000760"/>
    <x v="609"/>
    <s v="CUST043504"/>
    <s v="Rohit Singh"/>
    <x v="23"/>
    <x v="1"/>
    <s v="ReadMore"/>
    <n v="2"/>
    <n v="340.07"/>
    <n v="0"/>
    <n v="54.41"/>
    <n v="5.31"/>
    <n v="739.86"/>
    <s v="Debit Card"/>
    <s v="Shipped"/>
    <s v="New York"/>
    <s v="NY"/>
    <s v="United States"/>
  </r>
  <r>
    <s v="ORD0000761"/>
    <x v="332"/>
    <s v="CUST033352"/>
    <s v="Kabir Singh"/>
    <x v="23"/>
    <x v="1"/>
    <s v="NexPro"/>
    <n v="3"/>
    <n v="400.82"/>
    <n v="0.2"/>
    <n v="48.1"/>
    <n v="13.82"/>
    <n v="1023.89"/>
    <s v="Debit Card"/>
    <s v="Shipped"/>
    <s v="Austin"/>
    <s v="TX"/>
    <s v="United States"/>
  </r>
  <r>
    <s v="ORD0000762"/>
    <x v="11"/>
    <s v="CUST036031"/>
    <s v="Aditya Singh"/>
    <x v="5"/>
    <x v="1"/>
    <s v="Zenith"/>
    <n v="3"/>
    <n v="299.57"/>
    <n v="0"/>
    <n v="107.85"/>
    <n v="9.8699999999999992"/>
    <n v="1016.43"/>
    <s v="Net Banking"/>
    <s v="Delivered"/>
    <s v="Columbus"/>
    <s v="OH"/>
    <s v="United States"/>
  </r>
  <r>
    <s v="ORD0000763"/>
    <x v="610"/>
    <s v="CUST042892"/>
    <s v="Neha Joshi"/>
    <x v="12"/>
    <x v="4"/>
    <s v="HomeEase"/>
    <n v="3"/>
    <n v="293.74"/>
    <n v="0.1"/>
    <n v="39.65"/>
    <n v="6.29"/>
    <n v="839.04"/>
    <s v="Debit Card"/>
    <s v="Shipped"/>
    <s v="Indianapolis"/>
    <s v="IN"/>
    <s v="United States"/>
  </r>
  <r>
    <s v="ORD0000764"/>
    <x v="611"/>
    <s v="CUST005231"/>
    <s v="Ritika Kapoor"/>
    <x v="35"/>
    <x v="4"/>
    <s v="CoreTech"/>
    <n v="5"/>
    <n v="238.68"/>
    <n v="0.2"/>
    <n v="114.57"/>
    <n v="1.51"/>
    <n v="1070.8"/>
    <s v="Cash on Delivery"/>
    <s v="Delivered"/>
    <s v="Columbus"/>
    <s v="OH"/>
    <s v="India"/>
  </r>
  <r>
    <s v="ORD0000765"/>
    <x v="612"/>
    <s v="CUST048475"/>
    <s v="Simran Kapoor"/>
    <x v="2"/>
    <x v="5"/>
    <s v="Apex"/>
    <n v="4"/>
    <n v="72.73"/>
    <n v="0.05"/>
    <n v="13.82"/>
    <n v="0.72"/>
    <n v="290.91000000000003"/>
    <s v="Amazon Pay"/>
    <s v="Delivered"/>
    <s v="San Antonio"/>
    <s v="TX"/>
    <s v="United States"/>
  </r>
  <r>
    <s v="ORD0000766"/>
    <x v="613"/>
    <s v="CUST002611"/>
    <s v="Kabir Patel"/>
    <x v="49"/>
    <x v="2"/>
    <s v="KiddoFun"/>
    <n v="1"/>
    <n v="97.37"/>
    <n v="0.1"/>
    <n v="7.01"/>
    <n v="7.33"/>
    <n v="101.97"/>
    <s v="Credit Card"/>
    <s v="Delivered"/>
    <s v="Indianapolis"/>
    <s v="IN"/>
    <s v="Canada"/>
  </r>
  <r>
    <s v="ORD0000767"/>
    <x v="614"/>
    <s v="CUST010990"/>
    <s v="Anjali Singh"/>
    <x v="46"/>
    <x v="1"/>
    <s v="UrbanStyle"/>
    <n v="4"/>
    <n v="149.24"/>
    <n v="0.3"/>
    <n v="20.89"/>
    <n v="3.18"/>
    <n v="441.94"/>
    <s v="Debit Card"/>
    <s v="Delivered"/>
    <s v="Phoenix"/>
    <s v="AZ"/>
    <s v="Australia"/>
  </r>
  <r>
    <s v="ORD0000768"/>
    <x v="615"/>
    <s v="CUST009099"/>
    <s v="Simran Verma"/>
    <x v="20"/>
    <x v="1"/>
    <s v="BrightLux"/>
    <n v="1"/>
    <n v="477.44"/>
    <n v="0"/>
    <n v="0"/>
    <n v="14.59"/>
    <n v="492.03"/>
    <s v="Credit Card"/>
    <s v="Shipped"/>
    <s v="San Antonio"/>
    <s v="TX"/>
    <s v="India"/>
  </r>
  <r>
    <s v="ORD0000769"/>
    <x v="616"/>
    <s v="CUST035974"/>
    <s v="Neha Joshi"/>
    <x v="14"/>
    <x v="2"/>
    <s v="NexPro"/>
    <n v="4"/>
    <n v="239.64"/>
    <n v="0.05"/>
    <n v="109.28"/>
    <n v="5.29"/>
    <n v="1025.2"/>
    <s v="Credit Card"/>
    <s v="Delivered"/>
    <s v="Dallas"/>
    <s v="TX"/>
    <s v="United States"/>
  </r>
  <r>
    <s v="ORD0000770"/>
    <x v="617"/>
    <s v="CUST042892"/>
    <s v="Priya Gupta"/>
    <x v="19"/>
    <x v="2"/>
    <s v="KiddoFun"/>
    <n v="1"/>
    <n v="462.85"/>
    <n v="0"/>
    <n v="55.54"/>
    <n v="12.33"/>
    <n v="530.72"/>
    <s v="Debit Card"/>
    <s v="Pending"/>
    <s v="Chicago"/>
    <s v="IL"/>
    <s v="United States"/>
  </r>
  <r>
    <s v="ORD0000771"/>
    <x v="618"/>
    <s v="CUST002002"/>
    <s v="Ritika Sharma"/>
    <x v="24"/>
    <x v="3"/>
    <s v="BrightLux"/>
    <n v="3"/>
    <n v="431.18"/>
    <n v="0.05"/>
    <n v="98.31"/>
    <n v="9.2200000000000006"/>
    <n v="1336.39"/>
    <s v="UPI"/>
    <s v="Delivered"/>
    <s v="Fort Worth"/>
    <s v="TX"/>
    <s v="United States"/>
  </r>
  <r>
    <s v="ORD0000772"/>
    <x v="619"/>
    <s v="CUST034073"/>
    <s v="Vikas Reddy"/>
    <x v="46"/>
    <x v="5"/>
    <s v="Zenith"/>
    <n v="3"/>
    <n v="442.03"/>
    <n v="0.2"/>
    <n v="53.04"/>
    <n v="2.11"/>
    <n v="1116.02"/>
    <s v="Credit Card"/>
    <s v="Delivered"/>
    <s v="Dallas"/>
    <s v="TX"/>
    <s v="United Kingdom"/>
  </r>
  <r>
    <s v="ORD0000773"/>
    <x v="542"/>
    <s v="CUST038114"/>
    <s v="Aditya Gupta"/>
    <x v="44"/>
    <x v="1"/>
    <s v="NexPro"/>
    <n v="2"/>
    <n v="427.05"/>
    <n v="0"/>
    <n v="102.49"/>
    <n v="9.06"/>
    <n v="965.65"/>
    <s v="Debit Card"/>
    <s v="Delivered"/>
    <s v="Chicago"/>
    <s v="IL"/>
    <s v="United States"/>
  </r>
  <r>
    <s v="ORD0000774"/>
    <x v="620"/>
    <s v="CUST008122"/>
    <s v="Simran Joshi"/>
    <x v="26"/>
    <x v="0"/>
    <s v="FitLife"/>
    <n v="4"/>
    <n v="22.31"/>
    <n v="0"/>
    <n v="7.14"/>
    <n v="11.55"/>
    <n v="107.93"/>
    <s v="Cash on Delivery"/>
    <s v="Delivered"/>
    <s v="San Antonio"/>
    <s v="TX"/>
    <s v="United States"/>
  </r>
  <r>
    <s v="ORD0000775"/>
    <x v="621"/>
    <s v="CUST002640"/>
    <s v="Vivaan Sharma"/>
    <x v="32"/>
    <x v="4"/>
    <s v="BrightLux"/>
    <n v="1"/>
    <n v="532.46"/>
    <n v="0.15"/>
    <n v="36.21"/>
    <n v="2.8"/>
    <n v="491.6"/>
    <s v="UPI"/>
    <s v="Returned"/>
    <s v="Chicago"/>
    <s v="IL"/>
    <s v="India"/>
  </r>
  <r>
    <s v="ORD0000776"/>
    <x v="622"/>
    <s v="CUST011556"/>
    <s v="Vikas Gupta"/>
    <x v="46"/>
    <x v="0"/>
    <s v="ReadMore"/>
    <n v="3"/>
    <n v="205.45"/>
    <n v="0"/>
    <n v="110.94"/>
    <n v="2.67"/>
    <n v="729.96"/>
    <s v="Amazon Pay"/>
    <s v="Shipped"/>
    <s v="Chicago"/>
    <s v="IL"/>
    <s v="India"/>
  </r>
  <r>
    <s v="ORD0000777"/>
    <x v="623"/>
    <s v="CUST003093"/>
    <s v="Aditya Verma"/>
    <x v="33"/>
    <x v="2"/>
    <s v="FitLife"/>
    <n v="1"/>
    <n v="438.95"/>
    <n v="0.1"/>
    <n v="31.6"/>
    <n v="1.46"/>
    <n v="428.12"/>
    <s v="UPI"/>
    <s v="Delivered"/>
    <s v="Dallas"/>
    <s v="TX"/>
    <s v="United States"/>
  </r>
  <r>
    <s v="ORD0000778"/>
    <x v="535"/>
    <s v="CUST021844"/>
    <s v="Kabir Kapoor"/>
    <x v="20"/>
    <x v="1"/>
    <s v="Zenith"/>
    <n v="3"/>
    <n v="232.27"/>
    <n v="0.1"/>
    <n v="31.36"/>
    <n v="6.69"/>
    <n v="665.18"/>
    <s v="Amazon Pay"/>
    <s v="Delivered"/>
    <s v="Los Angeles"/>
    <s v="CA"/>
    <s v="India"/>
  </r>
  <r>
    <s v="ORD0000779"/>
    <x v="624"/>
    <s v="CUST034364"/>
    <s v="Aman Mehta"/>
    <x v="33"/>
    <x v="0"/>
    <s v="CoreTech"/>
    <n v="1"/>
    <n v="353.27"/>
    <n v="0.05"/>
    <n v="16.78"/>
    <n v="4.5"/>
    <n v="356.89"/>
    <s v="Credit Card"/>
    <s v="Delivered"/>
    <s v="Houston"/>
    <s v="TX"/>
    <s v="India"/>
  </r>
  <r>
    <s v="ORD0000780"/>
    <x v="404"/>
    <s v="CUST037738"/>
    <s v="Simran Kapoor"/>
    <x v="41"/>
    <x v="4"/>
    <s v="ReadMore"/>
    <n v="4"/>
    <n v="334.8"/>
    <n v="0"/>
    <n v="241.06"/>
    <n v="6.64"/>
    <n v="1586.9"/>
    <s v="Net Banking"/>
    <s v="Delivered"/>
    <s v="Charlotte"/>
    <s v="NC"/>
    <s v="United States"/>
  </r>
  <r>
    <s v="ORD0000781"/>
    <x v="625"/>
    <s v="CUST008946"/>
    <s v="Sahil Sharma"/>
    <x v="31"/>
    <x v="2"/>
    <s v="Zenith"/>
    <n v="1"/>
    <n v="570.99"/>
    <n v="0.15"/>
    <n v="58.24"/>
    <n v="0.54"/>
    <n v="544.12"/>
    <s v="Credit Card"/>
    <s v="Delivered"/>
    <s v="Jacksonville"/>
    <s v="FL"/>
    <s v="United States"/>
  </r>
  <r>
    <s v="ORD0000782"/>
    <x v="167"/>
    <s v="CUST041406"/>
    <s v="Simran Kapoor"/>
    <x v="20"/>
    <x v="2"/>
    <s v="FitLife"/>
    <n v="3"/>
    <n v="527.74"/>
    <n v="0"/>
    <n v="189.99"/>
    <n v="7.05"/>
    <n v="1780.26"/>
    <s v="Credit Card"/>
    <s v="Delivered"/>
    <s v="Charlotte"/>
    <s v="NC"/>
    <s v="United States"/>
  </r>
  <r>
    <s v="ORD0000783"/>
    <x v="471"/>
    <s v="CUST047483"/>
    <s v="Rohit Patel"/>
    <x v="36"/>
    <x v="5"/>
    <s v="Zenith"/>
    <n v="1"/>
    <n v="532.6"/>
    <n v="0.05"/>
    <n v="60.72"/>
    <n v="10.38"/>
    <n v="577.07000000000005"/>
    <s v="Debit Card"/>
    <s v="Delivered"/>
    <s v="San Antonio"/>
    <s v="TX"/>
    <s v="United States"/>
  </r>
  <r>
    <s v="ORD0000784"/>
    <x v="626"/>
    <s v="CUST037259"/>
    <s v="Kabir Joshi"/>
    <x v="21"/>
    <x v="4"/>
    <s v="BrightLux"/>
    <n v="3"/>
    <n v="596.12"/>
    <n v="0"/>
    <n v="143.07"/>
    <n v="12.15"/>
    <n v="1943.58"/>
    <s v="Credit Card"/>
    <s v="Delivered"/>
    <s v="Austin"/>
    <s v="TX"/>
    <s v="Canada"/>
  </r>
  <r>
    <s v="ORD0000785"/>
    <x v="627"/>
    <s v="CUST036430"/>
    <s v="Aman Singh"/>
    <x v="33"/>
    <x v="0"/>
    <s v="NexPro"/>
    <n v="2"/>
    <n v="352.31"/>
    <n v="0.05"/>
    <n v="53.55"/>
    <n v="4.53"/>
    <n v="727.47"/>
    <s v="Net Banking"/>
    <s v="Cancelled"/>
    <s v="Philadelphia"/>
    <s v="PA"/>
    <s v="United States"/>
  </r>
  <r>
    <s v="ORD0000786"/>
    <x v="628"/>
    <s v="CUST038244"/>
    <s v="Vivaan Joshi"/>
    <x v="13"/>
    <x v="3"/>
    <s v="Zenith"/>
    <n v="5"/>
    <n v="407.02"/>
    <n v="0.25"/>
    <n v="76.319999999999993"/>
    <n v="12.99"/>
    <n v="1615.63"/>
    <s v="Credit Card"/>
    <s v="Cancelled"/>
    <s v="San Diego"/>
    <s v="CA"/>
    <s v="India"/>
  </r>
  <r>
    <s v="ORD0000787"/>
    <x v="629"/>
    <s v="CUST000643"/>
    <s v="Vihaan Patel"/>
    <x v="35"/>
    <x v="0"/>
    <s v="Zenith"/>
    <n v="5"/>
    <n v="436.19"/>
    <n v="0"/>
    <n v="174.48"/>
    <n v="6.81"/>
    <n v="2362.2399999999998"/>
    <s v="Credit Card"/>
    <s v="Pending"/>
    <s v="Jacksonville"/>
    <s v="FL"/>
    <s v="India"/>
  </r>
  <r>
    <s v="ORD0000788"/>
    <x v="322"/>
    <s v="CUST027065"/>
    <s v="Aditya Reddy"/>
    <x v="27"/>
    <x v="1"/>
    <s v="BrightLux"/>
    <n v="4"/>
    <n v="243.36"/>
    <n v="0"/>
    <n v="48.67"/>
    <n v="9.56"/>
    <n v="1031.67"/>
    <s v="Debit Card"/>
    <s v="Cancelled"/>
    <s v="Indianapolis"/>
    <s v="IN"/>
    <s v="United States"/>
  </r>
  <r>
    <s v="ORD0000789"/>
    <x v="630"/>
    <s v="CUST020694"/>
    <s v="Mohit Sharma"/>
    <x v="36"/>
    <x v="3"/>
    <s v="HomeEase"/>
    <n v="3"/>
    <n v="175.51"/>
    <n v="0.1"/>
    <n v="23.69"/>
    <n v="12.69"/>
    <n v="510.26"/>
    <s v="Debit Card"/>
    <s v="Delivered"/>
    <s v="New York"/>
    <s v="NY"/>
    <s v="United States"/>
  </r>
  <r>
    <s v="ORD0000790"/>
    <x v="631"/>
    <s v="CUST020608"/>
    <s v="Sneha Joshi"/>
    <x v="47"/>
    <x v="5"/>
    <s v="ReadMore"/>
    <n v="4"/>
    <n v="475.21"/>
    <n v="0.15"/>
    <n v="290.83"/>
    <n v="1.88"/>
    <n v="1908.42"/>
    <s v="Debit Card"/>
    <s v="Returned"/>
    <s v="San Diego"/>
    <s v="CA"/>
    <s v="India"/>
  </r>
  <r>
    <s v="ORD0000791"/>
    <x v="632"/>
    <s v="CUST018027"/>
    <s v="Simran Reddy"/>
    <x v="22"/>
    <x v="3"/>
    <s v="UrbanStyle"/>
    <n v="4"/>
    <n v="279.89999999999998"/>
    <n v="0"/>
    <n v="55.98"/>
    <n v="14.23"/>
    <n v="1189.81"/>
    <s v="Debit Card"/>
    <s v="Delivered"/>
    <s v="Jacksonville"/>
    <s v="FL"/>
    <s v="United States"/>
  </r>
  <r>
    <s v="ORD0000792"/>
    <x v="353"/>
    <s v="CUST013765"/>
    <s v="Aman Kapoor"/>
    <x v="38"/>
    <x v="5"/>
    <s v="NexPro"/>
    <n v="1"/>
    <n v="8.06"/>
    <n v="0"/>
    <n v="0"/>
    <n v="2.93"/>
    <n v="10.99"/>
    <s v="Cash on Delivery"/>
    <s v="Delivered"/>
    <s v="Los Angeles"/>
    <s v="CA"/>
    <s v="United States"/>
  </r>
  <r>
    <s v="ORD0000793"/>
    <x v="437"/>
    <s v="CUST045762"/>
    <s v="Mohit Patel"/>
    <x v="20"/>
    <x v="0"/>
    <s v="KiddoFun"/>
    <n v="5"/>
    <n v="206.18"/>
    <n v="0.05"/>
    <n v="48.97"/>
    <n v="1.93"/>
    <n v="1030.26"/>
    <s v="Debit Card"/>
    <s v="Delivered"/>
    <s v="Austin"/>
    <s v="TX"/>
    <s v="United States"/>
  </r>
  <r>
    <s v="ORD0000794"/>
    <x v="633"/>
    <s v="CUST011582"/>
    <s v="Vikas Gupta"/>
    <x v="45"/>
    <x v="3"/>
    <s v="Zenith"/>
    <n v="4"/>
    <n v="141.19"/>
    <n v="0.1"/>
    <n v="0"/>
    <n v="4.51"/>
    <n v="512.79"/>
    <s v="Debit Card"/>
    <s v="Delivered"/>
    <s v="Dallas"/>
    <s v="TX"/>
    <s v="India"/>
  </r>
  <r>
    <s v="ORD0000795"/>
    <x v="634"/>
    <s v="CUST043065"/>
    <s v="Sunita Mehta"/>
    <x v="47"/>
    <x v="5"/>
    <s v="HomeEase"/>
    <n v="3"/>
    <n v="402.32"/>
    <n v="0"/>
    <n v="144.84"/>
    <n v="12.57"/>
    <n v="1364.37"/>
    <s v="Amazon Pay"/>
    <s v="Delivered"/>
    <s v="Chicago"/>
    <s v="IL"/>
    <s v="United States"/>
  </r>
  <r>
    <s v="ORD0000796"/>
    <x v="41"/>
    <s v="CUST037250"/>
    <s v="Anjali Kapoor"/>
    <x v="18"/>
    <x v="1"/>
    <s v="Zenith"/>
    <n v="3"/>
    <n v="474.11"/>
    <n v="0.15"/>
    <n v="145.08000000000001"/>
    <n v="5.2"/>
    <n v="1359.26"/>
    <s v="Debit Card"/>
    <s v="Delivered"/>
    <s v="Los Angeles"/>
    <s v="CA"/>
    <s v="United States"/>
  </r>
  <r>
    <s v="ORD0000797"/>
    <x v="635"/>
    <s v="CUST020325"/>
    <s v="Vivaan Patel"/>
    <x v="42"/>
    <x v="1"/>
    <s v="ReadMore"/>
    <n v="2"/>
    <n v="283.06"/>
    <n v="0.05"/>
    <n v="0"/>
    <n v="11.74"/>
    <n v="549.54999999999995"/>
    <s v="Credit Card"/>
    <s v="Delivered"/>
    <s v="Philadelphia"/>
    <s v="PA"/>
    <s v="India"/>
  </r>
  <r>
    <s v="ORD0000798"/>
    <x v="113"/>
    <s v="CUST005907"/>
    <s v="Aditya Patel"/>
    <x v="1"/>
    <x v="0"/>
    <s v="NexPro"/>
    <n v="5"/>
    <n v="351.35"/>
    <n v="0"/>
    <n v="210.81"/>
    <n v="14.46"/>
    <n v="1982.02"/>
    <s v="Credit Card"/>
    <s v="Shipped"/>
    <s v="Chicago"/>
    <s v="IL"/>
    <s v="India"/>
  </r>
  <r>
    <s v="ORD0000799"/>
    <x v="636"/>
    <s v="CUST013629"/>
    <s v="Vihaan Reddy"/>
    <x v="30"/>
    <x v="0"/>
    <s v="BrightLux"/>
    <n v="4"/>
    <n v="8.8000000000000007"/>
    <n v="0.05"/>
    <n v="4.01"/>
    <n v="0.72"/>
    <n v="38.17"/>
    <s v="Credit Card"/>
    <s v="Delivered"/>
    <s v="Houston"/>
    <s v="TX"/>
    <s v="United States"/>
  </r>
  <r>
    <s v="ORD0000800"/>
    <x v="637"/>
    <s v="CUST002565"/>
    <s v="Sunita Gupta"/>
    <x v="8"/>
    <x v="3"/>
    <s v="BrightLux"/>
    <n v="2"/>
    <n v="292.85000000000002"/>
    <n v="0"/>
    <n v="0"/>
    <n v="12.33"/>
    <n v="598.03"/>
    <s v="Net Banking"/>
    <s v="Delivered"/>
    <s v="San Diego"/>
    <s v="CA"/>
    <s v="United States"/>
  </r>
  <r>
    <s v="ORD0000801"/>
    <x v="638"/>
    <s v="CUST048794"/>
    <s v="Pooja Kapoor"/>
    <x v="15"/>
    <x v="4"/>
    <s v="FitLife"/>
    <n v="3"/>
    <n v="206.81"/>
    <n v="0"/>
    <n v="74.45"/>
    <n v="12.81"/>
    <n v="707.69"/>
    <s v="UPI"/>
    <s v="Pending"/>
    <s v="Dallas"/>
    <s v="TX"/>
    <s v="India"/>
  </r>
  <r>
    <s v="ORD0000802"/>
    <x v="102"/>
    <s v="CUST003091"/>
    <s v="Arjun Patel"/>
    <x v="35"/>
    <x v="0"/>
    <s v="UrbanStyle"/>
    <n v="5"/>
    <n v="549.20000000000005"/>
    <n v="0.05"/>
    <n v="130.44"/>
    <n v="5.0599999999999996"/>
    <n v="2744.2"/>
    <s v="Debit Card"/>
    <s v="Delivered"/>
    <s v="Houston"/>
    <s v="TX"/>
    <s v="United States"/>
  </r>
  <r>
    <s v="ORD0000803"/>
    <x v="295"/>
    <s v="CUST009247"/>
    <s v="Aditya Kapoor"/>
    <x v="1"/>
    <x v="0"/>
    <s v="Apex"/>
    <n v="3"/>
    <n v="590.82000000000005"/>
    <n v="0.2"/>
    <n v="0"/>
    <n v="6.52"/>
    <n v="1424.49"/>
    <s v="Debit Card"/>
    <s v="Delivered"/>
    <s v="Austin"/>
    <s v="TX"/>
    <s v="United States"/>
  </r>
  <r>
    <s v="ORD0000804"/>
    <x v="462"/>
    <s v="CUST028627"/>
    <s v="Arjun Patel"/>
    <x v="6"/>
    <x v="1"/>
    <s v="UrbanStyle"/>
    <n v="4"/>
    <n v="37.83"/>
    <n v="0.05"/>
    <n v="17.25"/>
    <n v="9.7899999999999991"/>
    <n v="170.79"/>
    <s v="Credit Card"/>
    <s v="Delivered"/>
    <s v="Denver"/>
    <s v="CO"/>
    <s v="India"/>
  </r>
  <r>
    <s v="ORD0000805"/>
    <x v="585"/>
    <s v="CUST001515"/>
    <s v="Priya Mehta"/>
    <x v="28"/>
    <x v="2"/>
    <s v="BrightLux"/>
    <n v="1"/>
    <n v="205.86"/>
    <n v="0"/>
    <n v="10.29"/>
    <n v="5.89"/>
    <n v="222.04"/>
    <s v="Credit Card"/>
    <s v="Delivered"/>
    <s v="Austin"/>
    <s v="TX"/>
    <s v="United States"/>
  </r>
  <r>
    <s v="ORD0000806"/>
    <x v="639"/>
    <s v="CUST045996"/>
    <s v="Arjun Kapoor"/>
    <x v="15"/>
    <x v="1"/>
    <s v="CoreTech"/>
    <n v="5"/>
    <n v="127.24"/>
    <n v="0.15"/>
    <n v="27.04"/>
    <n v="4.6100000000000003"/>
    <n v="572.41999999999996"/>
    <s v="Credit Card"/>
    <s v="Delivered"/>
    <s v="Seattle"/>
    <s v="WA"/>
    <s v="India"/>
  </r>
  <r>
    <s v="ORD0000807"/>
    <x v="640"/>
    <s v="CUST048787"/>
    <s v="Aditya Gupta"/>
    <x v="25"/>
    <x v="1"/>
    <s v="UrbanStyle"/>
    <n v="2"/>
    <n v="229.66"/>
    <n v="0.05"/>
    <n v="21.82"/>
    <n v="3.55"/>
    <n v="461.72"/>
    <s v="Credit Card"/>
    <s v="Delivered"/>
    <s v="Seattle"/>
    <s v="WA"/>
    <s v="India"/>
  </r>
  <r>
    <s v="ORD0000808"/>
    <x v="60"/>
    <s v="CUST007018"/>
    <s v="Sahil Mehta"/>
    <x v="19"/>
    <x v="5"/>
    <s v="HomeEase"/>
    <n v="2"/>
    <n v="469.24"/>
    <n v="0"/>
    <n v="75.08"/>
    <n v="5.79"/>
    <n v="1019.35"/>
    <s v="Debit Card"/>
    <s v="Delivered"/>
    <s v="Columbus"/>
    <s v="OH"/>
    <s v="United States"/>
  </r>
  <r>
    <s v="ORD0000809"/>
    <x v="641"/>
    <s v="CUST018257"/>
    <s v="Anjali Singh"/>
    <x v="46"/>
    <x v="0"/>
    <s v="UrbanStyle"/>
    <n v="1"/>
    <n v="233.08"/>
    <n v="0.1"/>
    <n v="10.49"/>
    <n v="1.88"/>
    <n v="222.14"/>
    <s v="Credit Card"/>
    <s v="Delivered"/>
    <s v="Washington"/>
    <s v="DC"/>
    <s v="United Kingdom"/>
  </r>
  <r>
    <s v="ORD0000810"/>
    <x v="642"/>
    <s v="CUST041379"/>
    <s v="Aman Verma"/>
    <x v="0"/>
    <x v="1"/>
    <s v="BrightLux"/>
    <n v="2"/>
    <n v="586.12"/>
    <n v="0"/>
    <n v="93.78"/>
    <n v="2.0299999999999998"/>
    <n v="1268.05"/>
    <s v="Credit Card"/>
    <s v="Shipped"/>
    <s v="Phoenix"/>
    <s v="AZ"/>
    <s v="India"/>
  </r>
  <r>
    <s v="ORD0000811"/>
    <x v="643"/>
    <s v="CUST016218"/>
    <s v="Karan Reddy"/>
    <x v="11"/>
    <x v="3"/>
    <s v="ReadMore"/>
    <n v="1"/>
    <n v="452.39"/>
    <n v="0.1"/>
    <n v="20.36"/>
    <n v="11.15"/>
    <n v="438.66"/>
    <s v="Credit Card"/>
    <s v="Shipped"/>
    <s v="Columbus"/>
    <s v="OH"/>
    <s v="United Kingdom"/>
  </r>
  <r>
    <s v="ORD0000812"/>
    <x v="644"/>
    <s v="CUST038261"/>
    <s v="Vikas Sharma"/>
    <x v="9"/>
    <x v="4"/>
    <s v="FitLife"/>
    <n v="5"/>
    <n v="109.2"/>
    <n v="0.05"/>
    <n v="25.94"/>
    <n v="4.12"/>
    <n v="548.76"/>
    <s v="Net Banking"/>
    <s v="Delivered"/>
    <s v="Los Angeles"/>
    <s v="CA"/>
    <s v="United States"/>
  </r>
  <r>
    <s v="ORD0000813"/>
    <x v="645"/>
    <s v="CUST019069"/>
    <s v="Vikas Gupta"/>
    <x v="11"/>
    <x v="3"/>
    <s v="FitLife"/>
    <n v="4"/>
    <n v="589.91999999999996"/>
    <n v="0"/>
    <n v="117.98"/>
    <n v="8.2200000000000006"/>
    <n v="2485.88"/>
    <s v="Cash on Delivery"/>
    <s v="Delivered"/>
    <s v="Phoenix"/>
    <s v="AZ"/>
    <s v="United States"/>
  </r>
  <r>
    <s v="ORD0000814"/>
    <x v="646"/>
    <s v="CUST015688"/>
    <s v="Mohit Kumar"/>
    <x v="13"/>
    <x v="2"/>
    <s v="HomeEase"/>
    <n v="4"/>
    <n v="49.32"/>
    <n v="0.25"/>
    <n v="11.84"/>
    <n v="7.92"/>
    <n v="167.72"/>
    <s v="Debit Card"/>
    <s v="Delivered"/>
    <s v="Philadelphia"/>
    <s v="PA"/>
    <s v="India"/>
  </r>
  <r>
    <s v="ORD0000815"/>
    <x v="647"/>
    <s v="CUST007016"/>
    <s v="Anjali Joshi"/>
    <x v="37"/>
    <x v="0"/>
    <s v="HomeEase"/>
    <n v="5"/>
    <n v="490.83"/>
    <n v="0.05"/>
    <n v="186.52"/>
    <n v="3.81"/>
    <n v="2521.77"/>
    <s v="Debit Card"/>
    <s v="Delivered"/>
    <s v="San Jose"/>
    <s v="CA"/>
    <s v="United States"/>
  </r>
  <r>
    <s v="ORD0000816"/>
    <x v="648"/>
    <s v="CUST047641"/>
    <s v="Rohit Kumar"/>
    <x v="8"/>
    <x v="5"/>
    <s v="ReadMore"/>
    <n v="2"/>
    <n v="48.23"/>
    <n v="0"/>
    <n v="11.58"/>
    <n v="14.55"/>
    <n v="122.59"/>
    <s v="Credit Card"/>
    <s v="Shipped"/>
    <s v="Austin"/>
    <s v="TX"/>
    <s v="Australia"/>
  </r>
  <r>
    <s v="ORD0000817"/>
    <x v="544"/>
    <s v="CUST015085"/>
    <s v="Arjun Singh"/>
    <x v="23"/>
    <x v="2"/>
    <s v="FitLife"/>
    <n v="1"/>
    <n v="72.12"/>
    <n v="0.1"/>
    <n v="5.19"/>
    <n v="14.92"/>
    <n v="85.02"/>
    <s v="Cash on Delivery"/>
    <s v="Delivered"/>
    <s v="San Jose"/>
    <s v="CA"/>
    <s v="United States"/>
  </r>
  <r>
    <s v="ORD0000818"/>
    <x v="371"/>
    <s v="CUST038541"/>
    <s v="Aditya Gupta"/>
    <x v="8"/>
    <x v="1"/>
    <s v="ReadMore"/>
    <n v="5"/>
    <n v="46.05"/>
    <n v="0"/>
    <n v="11.51"/>
    <n v="8.26"/>
    <n v="250.02"/>
    <s v="Amazon Pay"/>
    <s v="Returned"/>
    <s v="New York"/>
    <s v="NY"/>
    <s v="United States"/>
  </r>
  <r>
    <s v="ORD0000819"/>
    <x v="253"/>
    <s v="CUST001322"/>
    <s v="Vihaan Reddy"/>
    <x v="28"/>
    <x v="2"/>
    <s v="UrbanStyle"/>
    <n v="5"/>
    <n v="439.44"/>
    <n v="0.2"/>
    <n v="0"/>
    <n v="5.0199999999999996"/>
    <n v="1762.78"/>
    <s v="Credit Card"/>
    <s v="Shipped"/>
    <s v="Phoenix"/>
    <s v="AZ"/>
    <s v="India"/>
  </r>
  <r>
    <s v="ORD0000820"/>
    <x v="464"/>
    <s v="CUST019599"/>
    <s v="Sahil Reddy"/>
    <x v="6"/>
    <x v="1"/>
    <s v="ReadMore"/>
    <n v="4"/>
    <n v="439.45"/>
    <n v="0"/>
    <n v="87.89"/>
    <n v="6.63"/>
    <n v="1852.32"/>
    <s v="Amazon Pay"/>
    <s v="Delivered"/>
    <s v="Fort Worth"/>
    <s v="TX"/>
    <s v="United States"/>
  </r>
  <r>
    <s v="ORD0000821"/>
    <x v="649"/>
    <s v="CUST011799"/>
    <s v="Vivaan Patel"/>
    <x v="18"/>
    <x v="2"/>
    <s v="KiddoFun"/>
    <n v="5"/>
    <n v="531.95000000000005"/>
    <n v="0.05"/>
    <n v="202.14"/>
    <n v="6.92"/>
    <n v="2735.82"/>
    <s v="Credit Card"/>
    <s v="Delivered"/>
    <s v="Washington"/>
    <s v="DC"/>
    <s v="United States"/>
  </r>
  <r>
    <s v="ORD0000822"/>
    <x v="650"/>
    <s v="CUST048924"/>
    <s v="Kabir Singh"/>
    <x v="36"/>
    <x v="0"/>
    <s v="UrbanStyle"/>
    <n v="3"/>
    <n v="321.68"/>
    <n v="0.1"/>
    <n v="69.48"/>
    <n v="5.88"/>
    <n v="943.9"/>
    <s v="Debit Card"/>
    <s v="Pending"/>
    <s v="Austin"/>
    <s v="TX"/>
    <s v="United States"/>
  </r>
  <r>
    <s v="ORD0000823"/>
    <x v="99"/>
    <s v="CUST024845"/>
    <s v="Kabir Mehta"/>
    <x v="3"/>
    <x v="4"/>
    <s v="KiddoFun"/>
    <n v="5"/>
    <n v="243.23"/>
    <n v="0"/>
    <n v="145.94"/>
    <n v="14.05"/>
    <n v="1376.14"/>
    <s v="Debit Card"/>
    <s v="Delivered"/>
    <s v="San Jose"/>
    <s v="CA"/>
    <s v="United States"/>
  </r>
  <r>
    <s v="ORD0000824"/>
    <x v="651"/>
    <s v="CUST038060"/>
    <s v="Arjun Singh"/>
    <x v="28"/>
    <x v="2"/>
    <s v="KiddoFun"/>
    <n v="1"/>
    <n v="120.8"/>
    <n v="0"/>
    <n v="6.04"/>
    <n v="12.05"/>
    <n v="138.88999999999999"/>
    <s v="Debit Card"/>
    <s v="Delivered"/>
    <s v="San Antonio"/>
    <s v="TX"/>
    <s v="United States"/>
  </r>
  <r>
    <s v="ORD0000825"/>
    <x v="652"/>
    <s v="CUST009678"/>
    <s v="Mohit Kapoor"/>
    <x v="33"/>
    <x v="5"/>
    <s v="ReadMore"/>
    <n v="5"/>
    <n v="15.79"/>
    <n v="0"/>
    <n v="6.32"/>
    <n v="7.15"/>
    <n v="92.42"/>
    <s v="Debit Card"/>
    <s v="Delivered"/>
    <s v="San Antonio"/>
    <s v="TX"/>
    <s v="United States"/>
  </r>
  <r>
    <s v="ORD0000826"/>
    <x v="653"/>
    <s v="CUST023476"/>
    <s v="Mohit Joshi"/>
    <x v="4"/>
    <x v="0"/>
    <s v="BrightLux"/>
    <n v="1"/>
    <n v="387.08"/>
    <n v="0"/>
    <n v="19.350000000000001"/>
    <n v="11.94"/>
    <n v="418.37"/>
    <s v="Credit Card"/>
    <s v="Delivered"/>
    <s v="Dallas"/>
    <s v="TX"/>
    <s v="United States"/>
  </r>
  <r>
    <s v="ORD0000827"/>
    <x v="654"/>
    <s v="CUST037155"/>
    <s v="Vivaan Mehta"/>
    <x v="33"/>
    <x v="2"/>
    <s v="UrbanStyle"/>
    <n v="4"/>
    <n v="367.4"/>
    <n v="0"/>
    <n v="0"/>
    <n v="2.4"/>
    <n v="1472"/>
    <s v="Debit Card"/>
    <s v="Delivered"/>
    <s v="Philadelphia"/>
    <s v="PA"/>
    <s v="United States"/>
  </r>
  <r>
    <s v="ORD0000828"/>
    <x v="655"/>
    <s v="CUST037099"/>
    <s v="Vikas Kumar"/>
    <x v="1"/>
    <x v="0"/>
    <s v="NexPro"/>
    <n v="3"/>
    <n v="14.42"/>
    <n v="0.15"/>
    <n v="2.94"/>
    <n v="5.73"/>
    <n v="45.44"/>
    <s v="Debit Card"/>
    <s v="Shipped"/>
    <s v="San Antonio"/>
    <s v="TX"/>
    <s v="United States"/>
  </r>
  <r>
    <s v="ORD0000829"/>
    <x v="656"/>
    <s v="CUST013731"/>
    <s v="Simran Kapoor"/>
    <x v="15"/>
    <x v="4"/>
    <s v="BrightLux"/>
    <n v="3"/>
    <n v="253.09"/>
    <n v="0"/>
    <n v="60.74"/>
    <n v="14.39"/>
    <n v="834.4"/>
    <s v="Net Banking"/>
    <s v="Delivered"/>
    <s v="San Diego"/>
    <s v="CA"/>
    <s v="United States"/>
  </r>
  <r>
    <s v="ORD0000830"/>
    <x v="47"/>
    <s v="CUST045362"/>
    <s v="Priya Joshi"/>
    <x v="26"/>
    <x v="5"/>
    <s v="CoreTech"/>
    <n v="4"/>
    <n v="405.52"/>
    <n v="0"/>
    <n v="129.77000000000001"/>
    <n v="11.13"/>
    <n v="1762.98"/>
    <s v="Cash on Delivery"/>
    <s v="Delivered"/>
    <s v="Columbus"/>
    <s v="OH"/>
    <s v="United States"/>
  </r>
  <r>
    <s v="ORD0000831"/>
    <x v="657"/>
    <s v="CUST030184"/>
    <s v="Sneha Reddy"/>
    <x v="14"/>
    <x v="4"/>
    <s v="UrbanStyle"/>
    <n v="2"/>
    <n v="148.81"/>
    <n v="0"/>
    <n v="0"/>
    <n v="9.1"/>
    <n v="306.72000000000003"/>
    <s v="Debit Card"/>
    <s v="Delivered"/>
    <s v="Indianapolis"/>
    <s v="IN"/>
    <s v="United States"/>
  </r>
  <r>
    <s v="ORD0000832"/>
    <x v="658"/>
    <s v="CUST004183"/>
    <s v="Sneha Gupta"/>
    <x v="1"/>
    <x v="4"/>
    <s v="ReadMore"/>
    <n v="1"/>
    <n v="97.25"/>
    <n v="0.2"/>
    <n v="6.22"/>
    <n v="10.68"/>
    <n v="94.7"/>
    <s v="Credit Card"/>
    <s v="Delivered"/>
    <s v="Washington"/>
    <s v="DC"/>
    <s v="United States"/>
  </r>
  <r>
    <s v="ORD0000833"/>
    <x v="659"/>
    <s v="CUST027432"/>
    <s v="Neha Kumar"/>
    <x v="5"/>
    <x v="4"/>
    <s v="ReadMore"/>
    <n v="3"/>
    <n v="396"/>
    <n v="0.25"/>
    <n v="71.28"/>
    <n v="10.07"/>
    <n v="972.35"/>
    <s v="Cash on Delivery"/>
    <s v="Cancelled"/>
    <s v="Houston"/>
    <s v="TX"/>
    <s v="United States"/>
  </r>
  <r>
    <s v="ORD0000834"/>
    <x v="574"/>
    <s v="CUST038221"/>
    <s v="Vikas Kapoor"/>
    <x v="24"/>
    <x v="5"/>
    <s v="BrightLux"/>
    <n v="1"/>
    <n v="515.89"/>
    <n v="0.1"/>
    <n v="55.72"/>
    <n v="5.7"/>
    <n v="525.72"/>
    <s v="Amazon Pay"/>
    <s v="Shipped"/>
    <s v="San Diego"/>
    <s v="CA"/>
    <s v="Canada"/>
  </r>
  <r>
    <s v="ORD0000835"/>
    <x v="660"/>
    <s v="CUST033478"/>
    <s v="Simran Joshi"/>
    <x v="28"/>
    <x v="1"/>
    <s v="ReadMore"/>
    <n v="1"/>
    <n v="290.81"/>
    <n v="0.1"/>
    <n v="20.94"/>
    <n v="9.52"/>
    <n v="292.19"/>
    <s v="Credit Card"/>
    <s v="Returned"/>
    <s v="San Diego"/>
    <s v="CA"/>
    <s v="United States"/>
  </r>
  <r>
    <s v="ORD0000836"/>
    <x v="661"/>
    <s v="CUST017117"/>
    <s v="Priya Mehta"/>
    <x v="47"/>
    <x v="2"/>
    <s v="ReadMore"/>
    <n v="4"/>
    <n v="431.13"/>
    <n v="0.25"/>
    <n v="64.67"/>
    <n v="13"/>
    <n v="1371.06"/>
    <s v="Amazon Pay"/>
    <s v="Delivered"/>
    <s v="San Diego"/>
    <s v="CA"/>
    <s v="United States"/>
  </r>
  <r>
    <s v="ORD0000837"/>
    <x v="289"/>
    <s v="CUST029994"/>
    <s v="Aman Reddy"/>
    <x v="15"/>
    <x v="5"/>
    <s v="Apex"/>
    <n v="1"/>
    <n v="504.76"/>
    <n v="0.2"/>
    <n v="32.299999999999997"/>
    <n v="3.51"/>
    <n v="439.62"/>
    <s v="Debit Card"/>
    <s v="Delivered"/>
    <s v="Columbus"/>
    <s v="OH"/>
    <s v="United States"/>
  </r>
  <r>
    <s v="ORD0000838"/>
    <x v="662"/>
    <s v="CUST044175"/>
    <s v="Karan Singh"/>
    <x v="1"/>
    <x v="5"/>
    <s v="NexPro"/>
    <n v="3"/>
    <n v="447.99"/>
    <n v="0"/>
    <n v="161.28"/>
    <n v="5.32"/>
    <n v="1510.57"/>
    <s v="Cash on Delivery"/>
    <s v="Delivered"/>
    <s v="Dallas"/>
    <s v="TX"/>
    <s v="Canada"/>
  </r>
  <r>
    <s v="ORD0000839"/>
    <x v="663"/>
    <s v="CUST048188"/>
    <s v="Rohit Kapoor"/>
    <x v="42"/>
    <x v="5"/>
    <s v="HomeEase"/>
    <n v="5"/>
    <n v="562.46"/>
    <n v="0"/>
    <n v="224.98"/>
    <n v="9.83"/>
    <n v="3047.11"/>
    <s v="Credit Card"/>
    <s v="Delivered"/>
    <s v="Phoenix"/>
    <s v="AZ"/>
    <s v="United States"/>
  </r>
  <r>
    <s v="ORD0000840"/>
    <x v="664"/>
    <s v="CUST018209"/>
    <s v="Arjun Gupta"/>
    <x v="0"/>
    <x v="3"/>
    <s v="UrbanStyle"/>
    <n v="1"/>
    <n v="30.62"/>
    <n v="0"/>
    <n v="3.67"/>
    <n v="3.08"/>
    <n v="37.369999999999997"/>
    <s v="Credit Card"/>
    <s v="Delivered"/>
    <s v="San Jose"/>
    <s v="CA"/>
    <s v="India"/>
  </r>
  <r>
    <s v="ORD0000841"/>
    <x v="665"/>
    <s v="CUST042920"/>
    <s v="Vivaan Joshi"/>
    <x v="25"/>
    <x v="0"/>
    <s v="Apex"/>
    <n v="3"/>
    <n v="570.24"/>
    <n v="0"/>
    <n v="85.54"/>
    <n v="4.0599999999999996"/>
    <n v="1800.32"/>
    <s v="Net Banking"/>
    <s v="Delivered"/>
    <s v="San Diego"/>
    <s v="CA"/>
    <s v="Canada"/>
  </r>
  <r>
    <s v="ORD0000842"/>
    <x v="93"/>
    <s v="CUST004513"/>
    <s v="Vikas Reddy"/>
    <x v="26"/>
    <x v="0"/>
    <s v="ReadMore"/>
    <n v="1"/>
    <n v="553.07000000000005"/>
    <n v="0.1"/>
    <n v="89.6"/>
    <n v="3.26"/>
    <n v="590.62"/>
    <s v="Cash on Delivery"/>
    <s v="Returned"/>
    <s v="Dallas"/>
    <s v="TX"/>
    <s v="United States"/>
  </r>
  <r>
    <s v="ORD0000843"/>
    <x v="415"/>
    <s v="CUST044185"/>
    <s v="Vihaan Reddy"/>
    <x v="12"/>
    <x v="5"/>
    <s v="UrbanStyle"/>
    <n v="3"/>
    <n v="571.48"/>
    <n v="0"/>
    <n v="205.73"/>
    <n v="0.15"/>
    <n v="1920.32"/>
    <s v="Credit Card"/>
    <s v="Delivered"/>
    <s v="New York"/>
    <s v="NY"/>
    <s v="United States"/>
  </r>
  <r>
    <s v="ORD0000844"/>
    <x v="666"/>
    <s v="CUST013566"/>
    <s v="Vihaan Gupta"/>
    <x v="28"/>
    <x v="3"/>
    <s v="CoreTech"/>
    <n v="3"/>
    <n v="525.75"/>
    <n v="0.25"/>
    <n v="59.15"/>
    <n v="9.24"/>
    <n v="1251.33"/>
    <s v="Amazon Pay"/>
    <s v="Cancelled"/>
    <s v="Chicago"/>
    <s v="IL"/>
    <s v="India"/>
  </r>
  <r>
    <s v="ORD0000845"/>
    <x v="647"/>
    <s v="CUST031643"/>
    <s v="Aditya Singh"/>
    <x v="1"/>
    <x v="2"/>
    <s v="HomeEase"/>
    <n v="2"/>
    <n v="287.27999999999997"/>
    <n v="0"/>
    <n v="28.73"/>
    <n v="7.87"/>
    <n v="611.16"/>
    <s v="UPI"/>
    <s v="Delivered"/>
    <s v="San Francisco"/>
    <s v="CA"/>
    <s v="United States"/>
  </r>
  <r>
    <s v="ORD0000846"/>
    <x v="667"/>
    <s v="CUST046008"/>
    <s v="Pooja Joshi"/>
    <x v="17"/>
    <x v="1"/>
    <s v="FitLife"/>
    <n v="1"/>
    <n v="84.78"/>
    <n v="0.2"/>
    <n v="3.39"/>
    <n v="8.4499999999999993"/>
    <n v="79.66"/>
    <s v="UPI"/>
    <s v="Delivered"/>
    <s v="Washington"/>
    <s v="DC"/>
    <s v="India"/>
  </r>
  <r>
    <s v="ORD0000847"/>
    <x v="668"/>
    <s v="CUST022267"/>
    <s v="Aman Singh"/>
    <x v="24"/>
    <x v="0"/>
    <s v="KiddoFun"/>
    <n v="5"/>
    <n v="550.62"/>
    <n v="0.1"/>
    <n v="198.22"/>
    <n v="4.7300000000000004"/>
    <n v="2680.74"/>
    <s v="Credit Card"/>
    <s v="Delivered"/>
    <s v="Washington"/>
    <s v="DC"/>
    <s v="Canada"/>
  </r>
  <r>
    <s v="ORD0000848"/>
    <x v="669"/>
    <s v="CUST026992"/>
    <s v="Karan Verma"/>
    <x v="0"/>
    <x v="3"/>
    <s v="BrightLux"/>
    <n v="4"/>
    <n v="218.74"/>
    <n v="0"/>
    <n v="70"/>
    <n v="13.33"/>
    <n v="958.29"/>
    <s v="Debit Card"/>
    <s v="Delivered"/>
    <s v="San Jose"/>
    <s v="CA"/>
    <s v="United States"/>
  </r>
  <r>
    <s v="ORD0000849"/>
    <x v="670"/>
    <s v="CUST003097"/>
    <s v="Sneha Joshi"/>
    <x v="21"/>
    <x v="4"/>
    <s v="NexPro"/>
    <n v="1"/>
    <n v="585.61"/>
    <n v="0.05"/>
    <n v="27.82"/>
    <n v="11.33"/>
    <n v="595.48"/>
    <s v="UPI"/>
    <s v="Delivered"/>
    <s v="Charlotte"/>
    <s v="NC"/>
    <s v="United States"/>
  </r>
  <r>
    <s v="ORD0000850"/>
    <x v="671"/>
    <s v="CUST030853"/>
    <s v="Vikas Sharma"/>
    <x v="34"/>
    <x v="0"/>
    <s v="Zenith"/>
    <n v="5"/>
    <n v="171.41"/>
    <n v="0"/>
    <n v="154.27000000000001"/>
    <n v="0.28000000000000003"/>
    <n v="1011.6"/>
    <s v="Cash on Delivery"/>
    <s v="Delivered"/>
    <s v="Fort Worth"/>
    <s v="TX"/>
    <s v="United States"/>
  </r>
  <r>
    <s v="ORD0000851"/>
    <x v="261"/>
    <s v="CUST019699"/>
    <s v="Karan Sharma"/>
    <x v="12"/>
    <x v="1"/>
    <s v="ReadMore"/>
    <n v="4"/>
    <n v="280.11"/>
    <n v="0.15"/>
    <n v="171.43"/>
    <n v="14.38"/>
    <n v="1138.18"/>
    <s v="Credit Card"/>
    <s v="Delivered"/>
    <s v="San Jose"/>
    <s v="CA"/>
    <s v="United States"/>
  </r>
  <r>
    <s v="ORD0000852"/>
    <x v="114"/>
    <s v="CUST030782"/>
    <s v="Sunita Reddy"/>
    <x v="9"/>
    <x v="4"/>
    <s v="CoreTech"/>
    <n v="3"/>
    <n v="385.36"/>
    <n v="0.05"/>
    <n v="54.91"/>
    <n v="13.97"/>
    <n v="1167.1600000000001"/>
    <s v="Amazon Pay"/>
    <s v="Delivered"/>
    <s v="Seattle"/>
    <s v="WA"/>
    <s v="United States"/>
  </r>
  <r>
    <s v="ORD0000853"/>
    <x v="672"/>
    <s v="CUST046696"/>
    <s v="Vikas Kumar"/>
    <x v="12"/>
    <x v="3"/>
    <s v="Zenith"/>
    <n v="5"/>
    <n v="192.27"/>
    <n v="0"/>
    <n v="48.07"/>
    <n v="11.36"/>
    <n v="1020.78"/>
    <s v="Cash on Delivery"/>
    <s v="Shipped"/>
    <s v="Philadelphia"/>
    <s v="PA"/>
    <s v="United Kingdom"/>
  </r>
  <r>
    <s v="ORD0000854"/>
    <x v="673"/>
    <s v="CUST008644"/>
    <s v="Sunita Verma"/>
    <x v="1"/>
    <x v="1"/>
    <s v="Zenith"/>
    <n v="2"/>
    <n v="549.01"/>
    <n v="0"/>
    <n v="87.84"/>
    <n v="14.88"/>
    <n v="1200.74"/>
    <s v="Amazon Pay"/>
    <s v="Delivered"/>
    <s v="San Diego"/>
    <s v="CA"/>
    <s v="United States"/>
  </r>
  <r>
    <s v="ORD0000855"/>
    <x v="324"/>
    <s v="CUST017486"/>
    <s v="Vikas Kumar"/>
    <x v="9"/>
    <x v="0"/>
    <s v="BrightLux"/>
    <n v="2"/>
    <n v="6.49"/>
    <n v="0.2"/>
    <n v="0.52"/>
    <n v="0.38"/>
    <n v="11.28"/>
    <s v="Debit Card"/>
    <s v="Shipped"/>
    <s v="Houston"/>
    <s v="TX"/>
    <s v="United States"/>
  </r>
  <r>
    <s v="ORD0000856"/>
    <x v="313"/>
    <s v="CUST034921"/>
    <s v="Aarav Patel"/>
    <x v="3"/>
    <x v="3"/>
    <s v="NexPro"/>
    <n v="3"/>
    <n v="394.94"/>
    <n v="0"/>
    <n v="94.79"/>
    <n v="7.86"/>
    <n v="1287.47"/>
    <s v="Credit Card"/>
    <s v="Delivered"/>
    <s v="Washington"/>
    <s v="DC"/>
    <s v="United States"/>
  </r>
  <r>
    <s v="ORD0000857"/>
    <x v="674"/>
    <s v="CUST010916"/>
    <s v="Vihaan Patel"/>
    <x v="6"/>
    <x v="1"/>
    <s v="Zenith"/>
    <n v="4"/>
    <n v="189.64"/>
    <n v="0.15"/>
    <n v="77.37"/>
    <n v="14.82"/>
    <n v="736.97"/>
    <s v="Debit Card"/>
    <s v="Delivered"/>
    <s v="San Jose"/>
    <s v="CA"/>
    <s v="United States"/>
  </r>
  <r>
    <s v="ORD0000858"/>
    <x v="675"/>
    <s v="CUST048508"/>
    <s v="Arjun Singh"/>
    <x v="40"/>
    <x v="2"/>
    <s v="CoreTech"/>
    <n v="4"/>
    <n v="99.03"/>
    <n v="0.05"/>
    <n v="45.16"/>
    <n v="8.5299999999999994"/>
    <n v="430"/>
    <s v="Amazon Pay"/>
    <s v="Shipped"/>
    <s v="San Jose"/>
    <s v="CA"/>
    <s v="United States"/>
  </r>
  <r>
    <s v="ORD0000859"/>
    <x v="676"/>
    <s v="CUST028514"/>
    <s v="Vivaan Gupta"/>
    <x v="21"/>
    <x v="5"/>
    <s v="BrightLux"/>
    <n v="2"/>
    <n v="531.69000000000005"/>
    <n v="0"/>
    <n v="85.07"/>
    <n v="10.11"/>
    <n v="1158.56"/>
    <s v="Net Banking"/>
    <s v="Delivered"/>
    <s v="Los Angeles"/>
    <s v="CA"/>
    <s v="India"/>
  </r>
  <r>
    <s v="ORD0000860"/>
    <x v="451"/>
    <s v="CUST018826"/>
    <s v="Neha Singh"/>
    <x v="36"/>
    <x v="4"/>
    <s v="Zenith"/>
    <n v="2"/>
    <n v="444.34"/>
    <n v="0"/>
    <n v="44.43"/>
    <n v="4.2300000000000004"/>
    <n v="937.34"/>
    <s v="Credit Card"/>
    <s v="Delivered"/>
    <s v="Los Angeles"/>
    <s v="CA"/>
    <s v="United States"/>
  </r>
  <r>
    <s v="ORD0000861"/>
    <x v="231"/>
    <s v="CUST017523"/>
    <s v="Neha Joshi"/>
    <x v="46"/>
    <x v="1"/>
    <s v="Apex"/>
    <n v="1"/>
    <n v="257.01"/>
    <n v="0.05"/>
    <n v="12.21"/>
    <n v="14.41"/>
    <n v="270.77999999999997"/>
    <s v="Amazon Pay"/>
    <s v="Shipped"/>
    <s v="San Antonio"/>
    <s v="TX"/>
    <s v="Canada"/>
  </r>
  <r>
    <s v="ORD0000862"/>
    <x v="677"/>
    <s v="CUST047849"/>
    <s v="Kabir Sharma"/>
    <x v="31"/>
    <x v="2"/>
    <s v="UrbanStyle"/>
    <n v="3"/>
    <n v="561.66999999999996"/>
    <n v="0.15"/>
    <n v="114.58"/>
    <n v="11.15"/>
    <n v="1557.99"/>
    <s v="Credit Card"/>
    <s v="Shipped"/>
    <s v="Dallas"/>
    <s v="TX"/>
    <s v="United Kingdom"/>
  </r>
  <r>
    <s v="ORD0000863"/>
    <x v="678"/>
    <s v="CUST008790"/>
    <s v="Aditya Sharma"/>
    <x v="11"/>
    <x v="1"/>
    <s v="CoreTech"/>
    <n v="5"/>
    <n v="162.68"/>
    <n v="0"/>
    <n v="97.61"/>
    <n v="4.18"/>
    <n v="915.19"/>
    <s v="Cash on Delivery"/>
    <s v="Pending"/>
    <s v="San Francisco"/>
    <s v="CA"/>
    <s v="United States"/>
  </r>
  <r>
    <s v="ORD0000864"/>
    <x v="423"/>
    <s v="CUST013852"/>
    <s v="Pooja Kumar"/>
    <x v="2"/>
    <x v="3"/>
    <s v="ReadMore"/>
    <n v="1"/>
    <n v="185.55"/>
    <n v="0"/>
    <n v="9.2799999999999994"/>
    <n v="14.74"/>
    <n v="209.57"/>
    <s v="Debit Card"/>
    <s v="Delivered"/>
    <s v="Austin"/>
    <s v="TX"/>
    <s v="United Kingdom"/>
  </r>
  <r>
    <s v="ORD0000865"/>
    <x v="295"/>
    <s v="CUST036912"/>
    <s v="Arjun Reddy"/>
    <x v="32"/>
    <x v="5"/>
    <s v="ReadMore"/>
    <n v="1"/>
    <n v="196.13"/>
    <n v="0"/>
    <n v="15.69"/>
    <n v="10.44"/>
    <n v="222.26"/>
    <s v="Debit Card"/>
    <s v="Delivered"/>
    <s v="San Antonio"/>
    <s v="TX"/>
    <s v="India"/>
  </r>
  <r>
    <s v="ORD0000866"/>
    <x v="679"/>
    <s v="CUST028860"/>
    <s v="Kabir Reddy"/>
    <x v="22"/>
    <x v="4"/>
    <s v="UrbanStyle"/>
    <n v="1"/>
    <n v="259.39"/>
    <n v="0"/>
    <n v="20.75"/>
    <n v="7.95"/>
    <n v="288.08999999999997"/>
    <s v="Debit Card"/>
    <s v="Delivered"/>
    <s v="San Jose"/>
    <s v="CA"/>
    <s v="United States"/>
  </r>
  <r>
    <s v="ORD0000867"/>
    <x v="15"/>
    <s v="CUST015345"/>
    <s v="Karan Verma"/>
    <x v="28"/>
    <x v="1"/>
    <s v="ReadMore"/>
    <n v="4"/>
    <n v="235.56"/>
    <n v="0.05"/>
    <n v="71.61"/>
    <n v="0.81"/>
    <n v="967.55"/>
    <s v="Debit Card"/>
    <s v="Delivered"/>
    <s v="San Antonio"/>
    <s v="TX"/>
    <s v="United Kingdom"/>
  </r>
  <r>
    <s v="ORD0000868"/>
    <x v="248"/>
    <s v="CUST038463"/>
    <s v="Priya Kumar"/>
    <x v="16"/>
    <x v="5"/>
    <s v="BrightLux"/>
    <n v="4"/>
    <n v="40.69"/>
    <n v="0.05"/>
    <n v="12.37"/>
    <n v="12.4"/>
    <n v="179.39"/>
    <s v="Net Banking"/>
    <s v="Delivered"/>
    <s v="Seattle"/>
    <s v="WA"/>
    <s v="Australia"/>
  </r>
  <r>
    <s v="ORD0000869"/>
    <x v="218"/>
    <s v="CUST027699"/>
    <s v="Priya Verma"/>
    <x v="17"/>
    <x v="3"/>
    <s v="BrightLux"/>
    <n v="4"/>
    <n v="265"/>
    <n v="0"/>
    <n v="190.8"/>
    <n v="2.56"/>
    <n v="1253.3599999999999"/>
    <s v="Credit Card"/>
    <s v="Delivered"/>
    <s v="San Jose"/>
    <s v="CA"/>
    <s v="United States"/>
  </r>
  <r>
    <s v="ORD0000870"/>
    <x v="455"/>
    <s v="CUST035042"/>
    <s v="Vivaan Kumar"/>
    <x v="8"/>
    <x v="2"/>
    <s v="CoreTech"/>
    <n v="4"/>
    <n v="200.64"/>
    <n v="0.1"/>
    <n v="57.78"/>
    <n v="6.73"/>
    <n v="786.81"/>
    <s v="Credit Card"/>
    <s v="Shipped"/>
    <s v="Fort Worth"/>
    <s v="TX"/>
    <s v="United States"/>
  </r>
  <r>
    <s v="ORD0000871"/>
    <x v="422"/>
    <s v="CUST011632"/>
    <s v="Karan Kapoor"/>
    <x v="5"/>
    <x v="4"/>
    <s v="NexPro"/>
    <n v="5"/>
    <n v="525.72"/>
    <n v="0.05"/>
    <n v="199.77"/>
    <n v="7.45"/>
    <n v="2704.39"/>
    <s v="Net Banking"/>
    <s v="Shipped"/>
    <s v="Seattle"/>
    <s v="WA"/>
    <s v="United States"/>
  </r>
  <r>
    <s v="ORD0000872"/>
    <x v="680"/>
    <s v="CUST025500"/>
    <s v="Simran Verma"/>
    <x v="48"/>
    <x v="5"/>
    <s v="Zenith"/>
    <n v="4"/>
    <n v="557.83000000000004"/>
    <n v="0"/>
    <n v="267.76"/>
    <n v="7.45"/>
    <n v="2506.5300000000002"/>
    <s v="Credit Card"/>
    <s v="Delivered"/>
    <s v="Philadelphia"/>
    <s v="PA"/>
    <s v="United States"/>
  </r>
  <r>
    <s v="ORD0000873"/>
    <x v="681"/>
    <s v="CUST030454"/>
    <s v="Vihaan Joshi"/>
    <x v="23"/>
    <x v="3"/>
    <s v="NexPro"/>
    <n v="5"/>
    <n v="508.94"/>
    <n v="0"/>
    <n v="203.58"/>
    <n v="12.96"/>
    <n v="2761.24"/>
    <s v="Credit Card"/>
    <s v="Delivered"/>
    <s v="Columbus"/>
    <s v="OH"/>
    <s v="United States"/>
  </r>
  <r>
    <s v="ORD0000874"/>
    <x v="682"/>
    <s v="CUST042190"/>
    <s v="Kabir Reddy"/>
    <x v="3"/>
    <x v="2"/>
    <s v="KiddoFun"/>
    <n v="3"/>
    <n v="53.46"/>
    <n v="0.05"/>
    <n v="18.28"/>
    <n v="2.29"/>
    <n v="172.93"/>
    <s v="Net Banking"/>
    <s v="Delivered"/>
    <s v="Jacksonville"/>
    <s v="FL"/>
    <s v="United States"/>
  </r>
  <r>
    <s v="ORD0000875"/>
    <x v="683"/>
    <s v="CUST004724"/>
    <s v="Aarav Reddy"/>
    <x v="44"/>
    <x v="2"/>
    <s v="KiddoFun"/>
    <n v="1"/>
    <n v="520.46"/>
    <n v="0.15"/>
    <n v="79.63"/>
    <n v="8.2100000000000009"/>
    <n v="530.23"/>
    <s v="Amazon Pay"/>
    <s v="Shipped"/>
    <s v="Chicago"/>
    <s v="IL"/>
    <s v="United States"/>
  </r>
  <r>
    <s v="ORD0000876"/>
    <x v="684"/>
    <s v="CUST011009"/>
    <s v="Ritika Kumar"/>
    <x v="0"/>
    <x v="0"/>
    <s v="Zenith"/>
    <n v="2"/>
    <n v="271.04000000000002"/>
    <n v="0.2"/>
    <n v="21.68"/>
    <n v="7.82"/>
    <n v="463.16"/>
    <s v="Amazon Pay"/>
    <s v="Delivered"/>
    <s v="Washington"/>
    <s v="DC"/>
    <s v="United States"/>
  </r>
  <r>
    <s v="ORD0000877"/>
    <x v="685"/>
    <s v="CUST011263"/>
    <s v="Arjun Gupta"/>
    <x v="22"/>
    <x v="2"/>
    <s v="UrbanStyle"/>
    <n v="1"/>
    <n v="410.89"/>
    <n v="0.05"/>
    <n v="19.52"/>
    <n v="4.71"/>
    <n v="414.58"/>
    <s v="Debit Card"/>
    <s v="Pending"/>
    <s v="Chicago"/>
    <s v="IL"/>
    <s v="United States"/>
  </r>
  <r>
    <s v="ORD0000878"/>
    <x v="686"/>
    <s v="CUST025577"/>
    <s v="Karan Sharma"/>
    <x v="23"/>
    <x v="2"/>
    <s v="NexPro"/>
    <n v="5"/>
    <n v="297.01"/>
    <n v="0.15"/>
    <n v="151.47999999999999"/>
    <n v="7.01"/>
    <n v="1420.78"/>
    <s v="Credit Card"/>
    <s v="Delivered"/>
    <s v="Denver"/>
    <s v="CO"/>
    <s v="United States"/>
  </r>
  <r>
    <s v="ORD0000879"/>
    <x v="421"/>
    <s v="CUST007567"/>
    <s v="Kabir Patel"/>
    <x v="32"/>
    <x v="5"/>
    <s v="UrbanStyle"/>
    <n v="4"/>
    <n v="261.41000000000003"/>
    <n v="0.1"/>
    <n v="47.05"/>
    <n v="14.63"/>
    <n v="1002.76"/>
    <s v="Amazon Pay"/>
    <s v="Delivered"/>
    <s v="New York"/>
    <s v="NY"/>
    <s v="India"/>
  </r>
  <r>
    <s v="ORD0000880"/>
    <x v="687"/>
    <s v="CUST009433"/>
    <s v="Sneha Kapoor"/>
    <x v="42"/>
    <x v="5"/>
    <s v="Apex"/>
    <n v="5"/>
    <n v="510.26"/>
    <n v="0.05"/>
    <n v="121.19"/>
    <n v="1.85"/>
    <n v="2546.7800000000002"/>
    <s v="Debit Card"/>
    <s v="Shipped"/>
    <s v="Jacksonville"/>
    <s v="FL"/>
    <s v="Australia"/>
  </r>
  <r>
    <s v="ORD0000881"/>
    <x v="688"/>
    <s v="CUST015403"/>
    <s v="Karan Singh"/>
    <x v="17"/>
    <x v="4"/>
    <s v="UrbanStyle"/>
    <n v="2"/>
    <n v="110.53"/>
    <n v="0.15"/>
    <n v="9.4"/>
    <n v="6.03"/>
    <n v="203.33"/>
    <s v="Debit Card"/>
    <s v="Delivered"/>
    <s v="Denver"/>
    <s v="CO"/>
    <s v="India"/>
  </r>
  <r>
    <s v="ORD0000882"/>
    <x v="689"/>
    <s v="CUST008648"/>
    <s v="Aditya Reddy"/>
    <x v="35"/>
    <x v="2"/>
    <s v="CoreTech"/>
    <n v="1"/>
    <n v="46.84"/>
    <n v="0"/>
    <n v="2.34"/>
    <n v="5.78"/>
    <n v="54.96"/>
    <s v="UPI"/>
    <s v="Delivered"/>
    <s v="Charlotte"/>
    <s v="NC"/>
    <s v="United States"/>
  </r>
  <r>
    <s v="ORD0000883"/>
    <x v="690"/>
    <s v="CUST028263"/>
    <s v="Vikas Verma"/>
    <x v="42"/>
    <x v="1"/>
    <s v="ReadMore"/>
    <n v="1"/>
    <n v="509"/>
    <n v="0.05"/>
    <n v="38.68"/>
    <n v="14.37"/>
    <n v="536.6"/>
    <s v="Credit Card"/>
    <s v="Delivered"/>
    <s v="Houston"/>
    <s v="TX"/>
    <s v="United States"/>
  </r>
  <r>
    <s v="ORD0000884"/>
    <x v="691"/>
    <s v="CUST015229"/>
    <s v="Aman Reddy"/>
    <x v="28"/>
    <x v="4"/>
    <s v="KiddoFun"/>
    <n v="3"/>
    <n v="552.08000000000004"/>
    <n v="0"/>
    <n v="132.5"/>
    <n v="12.79"/>
    <n v="1801.53"/>
    <s v="Credit Card"/>
    <s v="Delivered"/>
    <s v="Denver"/>
    <s v="CO"/>
    <s v="United States"/>
  </r>
  <r>
    <s v="ORD0000885"/>
    <x v="207"/>
    <s v="CUST048422"/>
    <s v="Aman Reddy"/>
    <x v="12"/>
    <x v="0"/>
    <s v="CoreTech"/>
    <n v="5"/>
    <n v="444.17"/>
    <n v="0.2"/>
    <n v="88.83"/>
    <n v="13.51"/>
    <n v="1879.02"/>
    <s v="Debit Card"/>
    <s v="Delivered"/>
    <s v="Columbus"/>
    <s v="OH"/>
    <s v="United Kingdom"/>
  </r>
  <r>
    <s v="ORD0000886"/>
    <x v="562"/>
    <s v="CUST020479"/>
    <s v="Sahil Sharma"/>
    <x v="48"/>
    <x v="1"/>
    <s v="Zenith"/>
    <n v="3"/>
    <n v="38.89"/>
    <n v="0.05"/>
    <n v="5.54"/>
    <n v="7.19"/>
    <n v="123.57"/>
    <s v="Debit Card"/>
    <s v="Delivered"/>
    <s v="San Diego"/>
    <s v="CA"/>
    <s v="United States"/>
  </r>
  <r>
    <s v="ORD0000887"/>
    <x v="546"/>
    <s v="CUST034535"/>
    <s v="Sunita Joshi"/>
    <x v="14"/>
    <x v="0"/>
    <s v="NexPro"/>
    <n v="4"/>
    <n v="195.49"/>
    <n v="0"/>
    <n v="93.84"/>
    <n v="14.89"/>
    <n v="890.69"/>
    <s v="Amazon Pay"/>
    <s v="Delivered"/>
    <s v="Philadelphia"/>
    <s v="PA"/>
    <s v="United States"/>
  </r>
  <r>
    <s v="ORD0000888"/>
    <x v="631"/>
    <s v="CUST026099"/>
    <s v="Vivaan Mehta"/>
    <x v="2"/>
    <x v="0"/>
    <s v="ReadMore"/>
    <n v="3"/>
    <n v="209.44"/>
    <n v="0.25"/>
    <n v="0"/>
    <n v="1.46"/>
    <n v="472.7"/>
    <s v="UPI"/>
    <s v="Delivered"/>
    <s v="Seattle"/>
    <s v="WA"/>
    <s v="United States"/>
  </r>
  <r>
    <s v="ORD0000889"/>
    <x v="692"/>
    <s v="CUST010478"/>
    <s v="Vikas Gupta"/>
    <x v="22"/>
    <x v="4"/>
    <s v="UrbanStyle"/>
    <n v="1"/>
    <n v="62.61"/>
    <n v="0.1"/>
    <n v="2.82"/>
    <n v="14.04"/>
    <n v="73.209999999999994"/>
    <s v="Amazon Pay"/>
    <s v="Delivered"/>
    <s v="Austin"/>
    <s v="TX"/>
    <s v="United States"/>
  </r>
  <r>
    <s v="ORD0000890"/>
    <x v="693"/>
    <s v="CUST008107"/>
    <s v="Aarav Patel"/>
    <x v="44"/>
    <x v="1"/>
    <s v="CoreTech"/>
    <n v="1"/>
    <n v="50.94"/>
    <n v="0.1"/>
    <n v="5.5"/>
    <n v="14.97"/>
    <n v="66.319999999999993"/>
    <s v="UPI"/>
    <s v="Delivered"/>
    <s v="Denver"/>
    <s v="CO"/>
    <s v="India"/>
  </r>
  <r>
    <s v="ORD0000891"/>
    <x v="694"/>
    <s v="CUST042291"/>
    <s v="Aditya Patel"/>
    <x v="38"/>
    <x v="4"/>
    <s v="Zenith"/>
    <n v="1"/>
    <n v="123.14"/>
    <n v="0.05"/>
    <n v="5.85"/>
    <n v="9.1999999999999993"/>
    <n v="132.03"/>
    <s v="UPI"/>
    <s v="Pending"/>
    <s v="Dallas"/>
    <s v="TX"/>
    <s v="India"/>
  </r>
  <r>
    <s v="ORD0000892"/>
    <x v="695"/>
    <s v="CUST035578"/>
    <s v="Sneha Verma"/>
    <x v="6"/>
    <x v="2"/>
    <s v="CoreTech"/>
    <n v="4"/>
    <n v="542.23"/>
    <n v="0.05"/>
    <n v="164.84"/>
    <n v="5.4"/>
    <n v="2230.71"/>
    <s v="Amazon Pay"/>
    <s v="Pending"/>
    <s v="New York"/>
    <s v="NY"/>
    <s v="United States"/>
  </r>
  <r>
    <s v="ORD0000893"/>
    <x v="696"/>
    <s v="CUST013902"/>
    <s v="Ritika Patel"/>
    <x v="16"/>
    <x v="2"/>
    <s v="UrbanStyle"/>
    <n v="5"/>
    <n v="543.41999999999996"/>
    <n v="0"/>
    <n v="135.85"/>
    <n v="6.09"/>
    <n v="2859.04"/>
    <s v="Amazon Pay"/>
    <s v="Delivered"/>
    <s v="Fort Worth"/>
    <s v="TX"/>
    <s v="United States"/>
  </r>
  <r>
    <s v="ORD0000894"/>
    <x v="697"/>
    <s v="CUST032339"/>
    <s v="Arjun Sharma"/>
    <x v="28"/>
    <x v="5"/>
    <s v="KiddoFun"/>
    <n v="1"/>
    <n v="499.56"/>
    <n v="0.25"/>
    <n v="29.97"/>
    <n v="6.6"/>
    <n v="411.24"/>
    <s v="Credit Card"/>
    <s v="Cancelled"/>
    <s v="Chicago"/>
    <s v="IL"/>
    <s v="United States"/>
  </r>
  <r>
    <s v="ORD0000895"/>
    <x v="140"/>
    <s v="CUST047258"/>
    <s v="Vikas Reddy"/>
    <x v="1"/>
    <x v="1"/>
    <s v="HomeEase"/>
    <n v="2"/>
    <n v="204.68"/>
    <n v="0.05"/>
    <n v="0"/>
    <n v="12.45"/>
    <n v="401.34"/>
    <s v="Credit Card"/>
    <s v="Delivered"/>
    <s v="Charlotte"/>
    <s v="NC"/>
    <s v="United Kingdom"/>
  </r>
  <r>
    <s v="ORD0000896"/>
    <x v="698"/>
    <s v="CUST027366"/>
    <s v="Anjali Singh"/>
    <x v="14"/>
    <x v="1"/>
    <s v="ReadMore"/>
    <n v="5"/>
    <n v="9.4"/>
    <n v="0"/>
    <n v="3.76"/>
    <n v="4.74"/>
    <n v="55.5"/>
    <s v="Credit Card"/>
    <s v="Delivered"/>
    <s v="Charlotte"/>
    <s v="NC"/>
    <s v="India"/>
  </r>
  <r>
    <s v="ORD0000897"/>
    <x v="699"/>
    <s v="CUST025697"/>
    <s v="Simran Joshi"/>
    <x v="47"/>
    <x v="1"/>
    <s v="NexPro"/>
    <n v="3"/>
    <n v="72.78"/>
    <n v="0"/>
    <n v="17.47"/>
    <n v="9.7200000000000006"/>
    <n v="245.53"/>
    <s v="Credit Card"/>
    <s v="Delivered"/>
    <s v="Houston"/>
    <s v="TX"/>
    <s v="United States"/>
  </r>
  <r>
    <s v="ORD0000898"/>
    <x v="700"/>
    <s v="CUST031918"/>
    <s v="Mohit Singh"/>
    <x v="47"/>
    <x v="0"/>
    <s v="Apex"/>
    <n v="5"/>
    <n v="214.19"/>
    <n v="0.25"/>
    <n v="40.159999999999997"/>
    <n v="12.06"/>
    <n v="855.43"/>
    <s v="Debit Card"/>
    <s v="Shipped"/>
    <s v="Washington"/>
    <s v="DC"/>
    <s v="United States"/>
  </r>
  <r>
    <s v="ORD0000899"/>
    <x v="701"/>
    <s v="CUST041612"/>
    <s v="Aditya Joshi"/>
    <x v="49"/>
    <x v="2"/>
    <s v="HomeEase"/>
    <n v="4"/>
    <n v="433.87"/>
    <n v="0.2"/>
    <n v="69.42"/>
    <n v="11.28"/>
    <n v="1469.08"/>
    <s v="Credit Card"/>
    <s v="Delivered"/>
    <s v="San Jose"/>
    <s v="CA"/>
    <s v="United States"/>
  </r>
  <r>
    <s v="ORD0000900"/>
    <x v="702"/>
    <s v="CUST037981"/>
    <s v="Vivaan Gupta"/>
    <x v="18"/>
    <x v="0"/>
    <s v="HomeEase"/>
    <n v="4"/>
    <n v="375.83"/>
    <n v="0"/>
    <n v="120.27"/>
    <n v="12.07"/>
    <n v="1635.66"/>
    <s v="Debit Card"/>
    <s v="Delivered"/>
    <s v="San Antonio"/>
    <s v="TX"/>
    <s v="United States"/>
  </r>
  <r>
    <s v="ORD0000901"/>
    <x v="275"/>
    <s v="CUST021132"/>
    <s v="Rohit Sharma"/>
    <x v="46"/>
    <x v="2"/>
    <s v="UrbanStyle"/>
    <n v="5"/>
    <n v="355.75"/>
    <n v="0.15"/>
    <n v="120.96"/>
    <n v="6.78"/>
    <n v="1639.68"/>
    <s v="Debit Card"/>
    <s v="Shipped"/>
    <s v="New York"/>
    <s v="NY"/>
    <s v="United States"/>
  </r>
  <r>
    <s v="ORD0000902"/>
    <x v="289"/>
    <s v="CUST042013"/>
    <s v="Rohit Sharma"/>
    <x v="36"/>
    <x v="4"/>
    <s v="FitLife"/>
    <n v="3"/>
    <n v="243.82"/>
    <n v="0.1"/>
    <n v="79"/>
    <n v="13.53"/>
    <n v="750.84"/>
    <s v="Credit Card"/>
    <s v="Delivered"/>
    <s v="Denver"/>
    <s v="CO"/>
    <s v="United States"/>
  </r>
  <r>
    <s v="ORD0000903"/>
    <x v="703"/>
    <s v="CUST009065"/>
    <s v="Anjali Gupta"/>
    <x v="33"/>
    <x v="3"/>
    <s v="NexPro"/>
    <n v="1"/>
    <n v="9.73"/>
    <n v="0.05"/>
    <n v="0.46"/>
    <n v="5.93"/>
    <n v="15.63"/>
    <s v="UPI"/>
    <s v="Delivered"/>
    <s v="Phoenix"/>
    <s v="AZ"/>
    <s v="United States"/>
  </r>
  <r>
    <s v="ORD0000904"/>
    <x v="704"/>
    <s v="CUST025661"/>
    <s v="Aman Mehta"/>
    <x v="3"/>
    <x v="4"/>
    <s v="CoreTech"/>
    <n v="1"/>
    <n v="456.37"/>
    <n v="0"/>
    <n v="36.51"/>
    <n v="14.33"/>
    <n v="507.21"/>
    <s v="Credit Card"/>
    <s v="Delivered"/>
    <s v="Fort Worth"/>
    <s v="TX"/>
    <s v="India"/>
  </r>
  <r>
    <s v="ORD0000905"/>
    <x v="696"/>
    <s v="CUST010281"/>
    <s v="Sahil Joshi"/>
    <x v="22"/>
    <x v="4"/>
    <s v="BrightLux"/>
    <n v="3"/>
    <n v="306.08"/>
    <n v="0.1"/>
    <n v="66.11"/>
    <n v="8.1999999999999993"/>
    <n v="900.73"/>
    <s v="Debit Card"/>
    <s v="Delivered"/>
    <s v="Houston"/>
    <s v="TX"/>
    <s v="United Kingdom"/>
  </r>
  <r>
    <s v="ORD0000906"/>
    <x v="272"/>
    <s v="CUST028142"/>
    <s v="Pooja Sharma"/>
    <x v="20"/>
    <x v="4"/>
    <s v="CoreTech"/>
    <n v="3"/>
    <n v="346.32"/>
    <n v="0"/>
    <n v="83.12"/>
    <n v="13.1"/>
    <n v="1135.18"/>
    <s v="Amazon Pay"/>
    <s v="Delivered"/>
    <s v="Columbus"/>
    <s v="OH"/>
    <s v="India"/>
  </r>
  <r>
    <s v="ORD0000907"/>
    <x v="705"/>
    <s v="CUST023188"/>
    <s v="Rohit Gupta"/>
    <x v="4"/>
    <x v="0"/>
    <s v="KiddoFun"/>
    <n v="1"/>
    <n v="379.17"/>
    <n v="0.15"/>
    <n v="16.11"/>
    <n v="13.58"/>
    <n v="351.98"/>
    <s v="Amazon Pay"/>
    <s v="Delivered"/>
    <s v="Phoenix"/>
    <s v="AZ"/>
    <s v="United States"/>
  </r>
  <r>
    <s v="ORD0000908"/>
    <x v="706"/>
    <s v="CUST005934"/>
    <s v="Vikas Sharma"/>
    <x v="28"/>
    <x v="2"/>
    <s v="BrightLux"/>
    <n v="5"/>
    <n v="77.22"/>
    <n v="0"/>
    <n v="0"/>
    <n v="4.9400000000000004"/>
    <n v="391.04"/>
    <s v="Net Banking"/>
    <s v="Delivered"/>
    <s v="Philadelphia"/>
    <s v="PA"/>
    <s v="India"/>
  </r>
  <r>
    <s v="ORD0000909"/>
    <x v="707"/>
    <s v="CUST035575"/>
    <s v="Anjali Gupta"/>
    <x v="3"/>
    <x v="5"/>
    <s v="FitLife"/>
    <n v="3"/>
    <n v="591.16999999999996"/>
    <n v="0"/>
    <n v="212.82"/>
    <n v="9.48"/>
    <n v="1995.81"/>
    <s v="Credit Card"/>
    <s v="Shipped"/>
    <s v="Fort Worth"/>
    <s v="TX"/>
    <s v="United States"/>
  </r>
  <r>
    <s v="ORD0000910"/>
    <x v="156"/>
    <s v="CUST042654"/>
    <s v="Vihaan Patel"/>
    <x v="21"/>
    <x v="2"/>
    <s v="Apex"/>
    <n v="4"/>
    <n v="44.82"/>
    <n v="0"/>
    <n v="14.34"/>
    <n v="6.59"/>
    <n v="200.21"/>
    <s v="Debit Card"/>
    <s v="Delivered"/>
    <s v="San Diego"/>
    <s v="CA"/>
    <s v="Canada"/>
  </r>
  <r>
    <s v="ORD0000911"/>
    <x v="542"/>
    <s v="CUST028637"/>
    <s v="Karan Mehta"/>
    <x v="25"/>
    <x v="3"/>
    <s v="Zenith"/>
    <n v="4"/>
    <n v="547.36"/>
    <n v="0.05"/>
    <n v="166.4"/>
    <n v="9.69"/>
    <n v="2256.06"/>
    <s v="UPI"/>
    <s v="Shipped"/>
    <s v="Seattle"/>
    <s v="WA"/>
    <s v="Australia"/>
  </r>
  <r>
    <s v="ORD0000912"/>
    <x v="708"/>
    <s v="CUST026919"/>
    <s v="Simran Mehta"/>
    <x v="42"/>
    <x v="2"/>
    <s v="FitLife"/>
    <n v="4"/>
    <n v="329.98"/>
    <n v="0"/>
    <n v="158.38999999999999"/>
    <n v="11.62"/>
    <n v="1489.93"/>
    <s v="Amazon Pay"/>
    <s v="Shipped"/>
    <s v="Columbus"/>
    <s v="OH"/>
    <s v="United States"/>
  </r>
  <r>
    <s v="ORD0000913"/>
    <x v="709"/>
    <s v="CUST012271"/>
    <s v="Anjali Singh"/>
    <x v="9"/>
    <x v="0"/>
    <s v="Apex"/>
    <n v="1"/>
    <n v="540.33000000000004"/>
    <n v="0"/>
    <n v="43.23"/>
    <n v="3.41"/>
    <n v="586.97"/>
    <s v="Debit Card"/>
    <s v="Delivered"/>
    <s v="San Jose"/>
    <s v="CA"/>
    <s v="United Kingdom"/>
  </r>
  <r>
    <s v="ORD0000914"/>
    <x v="710"/>
    <s v="CUST032502"/>
    <s v="Neha Joshi"/>
    <x v="15"/>
    <x v="1"/>
    <s v="Apex"/>
    <n v="5"/>
    <n v="540.42999999999995"/>
    <n v="0"/>
    <n v="324.26"/>
    <n v="12.47"/>
    <n v="3038.88"/>
    <s v="Credit Card"/>
    <s v="Delivered"/>
    <s v="Fort Worth"/>
    <s v="TX"/>
    <s v="United States"/>
  </r>
  <r>
    <s v="ORD0000915"/>
    <x v="711"/>
    <s v="CUST013608"/>
    <s v="Vikas Reddy"/>
    <x v="30"/>
    <x v="5"/>
    <s v="BrightLux"/>
    <n v="3"/>
    <n v="528.51"/>
    <n v="0.1"/>
    <n v="114.16"/>
    <n v="6.75"/>
    <n v="1547.89"/>
    <s v="Cash on Delivery"/>
    <s v="Delivered"/>
    <s v="San Jose"/>
    <s v="CA"/>
    <s v="United States"/>
  </r>
  <r>
    <s v="ORD0000916"/>
    <x v="712"/>
    <s v="CUST005299"/>
    <s v="Pooja Verma"/>
    <x v="40"/>
    <x v="4"/>
    <s v="ReadMore"/>
    <n v="1"/>
    <n v="154.47"/>
    <n v="0.05"/>
    <n v="11.74"/>
    <n v="3.54"/>
    <n v="162.03"/>
    <s v="Credit Card"/>
    <s v="Pending"/>
    <s v="San Jose"/>
    <s v="CA"/>
    <s v="United States"/>
  </r>
  <r>
    <s v="ORD0000917"/>
    <x v="713"/>
    <s v="CUST026882"/>
    <s v="Karan Verma"/>
    <x v="25"/>
    <x v="2"/>
    <s v="BrightLux"/>
    <n v="1"/>
    <n v="536.38"/>
    <n v="0.1"/>
    <n v="86.89"/>
    <n v="9.49"/>
    <n v="579.12"/>
    <s v="Credit Card"/>
    <s v="Delivered"/>
    <s v="Columbus"/>
    <s v="OH"/>
    <s v="United States"/>
  </r>
  <r>
    <s v="ORD0000918"/>
    <x v="714"/>
    <s v="CUST027354"/>
    <s v="Karan Kapoor"/>
    <x v="21"/>
    <x v="1"/>
    <s v="BrightLux"/>
    <n v="1"/>
    <n v="576.5"/>
    <n v="0.1"/>
    <n v="62.26"/>
    <n v="10.88"/>
    <n v="591.99"/>
    <s v="UPI"/>
    <s v="Shipped"/>
    <s v="New York"/>
    <s v="NY"/>
    <s v="Canada"/>
  </r>
  <r>
    <s v="ORD0000919"/>
    <x v="661"/>
    <s v="CUST003379"/>
    <s v="Mohit Reddy"/>
    <x v="27"/>
    <x v="0"/>
    <s v="Apex"/>
    <n v="5"/>
    <n v="82.39"/>
    <n v="0"/>
    <n v="20.6"/>
    <n v="12.4"/>
    <n v="444.95"/>
    <s v="Amazon Pay"/>
    <s v="Delivered"/>
    <s v="Houston"/>
    <s v="TX"/>
    <s v="India"/>
  </r>
  <r>
    <s v="ORD0000920"/>
    <x v="358"/>
    <s v="CUST031864"/>
    <s v="Priya Patel"/>
    <x v="24"/>
    <x v="5"/>
    <s v="ReadMore"/>
    <n v="1"/>
    <n v="73.239999999999995"/>
    <n v="0.05"/>
    <n v="5.57"/>
    <n v="3.42"/>
    <n v="78.569999999999993"/>
    <s v="UPI"/>
    <s v="Delivered"/>
    <s v="Seattle"/>
    <s v="WA"/>
    <s v="United Kingdom"/>
  </r>
  <r>
    <s v="ORD0000921"/>
    <x v="715"/>
    <s v="CUST025864"/>
    <s v="Vihaan Verma"/>
    <x v="3"/>
    <x v="5"/>
    <s v="CoreTech"/>
    <n v="4"/>
    <n v="103.58"/>
    <n v="0.1"/>
    <n v="18.64"/>
    <n v="8.36"/>
    <n v="399.89"/>
    <s v="UPI"/>
    <s v="Delivered"/>
    <s v="Houston"/>
    <s v="TX"/>
    <s v="United States"/>
  </r>
  <r>
    <s v="ORD0000922"/>
    <x v="716"/>
    <s v="CUST043295"/>
    <s v="Anjali Gupta"/>
    <x v="45"/>
    <x v="4"/>
    <s v="HomeEase"/>
    <n v="4"/>
    <n v="296.88"/>
    <n v="0.1"/>
    <n v="53.44"/>
    <n v="1.53"/>
    <n v="1123.74"/>
    <s v="Amazon Pay"/>
    <s v="Delivered"/>
    <s v="Columbus"/>
    <s v="OH"/>
    <s v="Canada"/>
  </r>
  <r>
    <s v="ORD0000923"/>
    <x v="448"/>
    <s v="CUST026151"/>
    <s v="Priya Joshi"/>
    <x v="46"/>
    <x v="5"/>
    <s v="Zenith"/>
    <n v="3"/>
    <n v="32.54"/>
    <n v="0.1"/>
    <n v="0"/>
    <n v="12.4"/>
    <n v="100.26"/>
    <s v="UPI"/>
    <s v="Delivered"/>
    <s v="Columbus"/>
    <s v="OH"/>
    <s v="United States"/>
  </r>
  <r>
    <s v="ORD0000924"/>
    <x v="162"/>
    <s v="CUST042172"/>
    <s v="Kabir Mehta"/>
    <x v="20"/>
    <x v="0"/>
    <s v="FitLife"/>
    <n v="3"/>
    <n v="398.07"/>
    <n v="0.25"/>
    <n v="44.78"/>
    <n v="5.64"/>
    <n v="946.08"/>
    <s v="Credit Card"/>
    <s v="Delivered"/>
    <s v="Denver"/>
    <s v="CO"/>
    <s v="United States"/>
  </r>
  <r>
    <s v="ORD0000925"/>
    <x v="717"/>
    <s v="CUST043250"/>
    <s v="Mohit Joshi"/>
    <x v="35"/>
    <x v="1"/>
    <s v="BrightLux"/>
    <n v="5"/>
    <n v="372.64"/>
    <n v="0.3"/>
    <n v="104.34"/>
    <n v="6.33"/>
    <n v="1414.91"/>
    <s v="Credit Card"/>
    <s v="Delivered"/>
    <s v="Austin"/>
    <s v="TX"/>
    <s v="United States"/>
  </r>
  <r>
    <s v="ORD0000926"/>
    <x v="518"/>
    <s v="CUST034387"/>
    <s v="Vikas Joshi"/>
    <x v="49"/>
    <x v="3"/>
    <s v="FitLife"/>
    <n v="3"/>
    <n v="593.29"/>
    <n v="0.1"/>
    <n v="128.15"/>
    <n v="14.55"/>
    <n v="1744.58"/>
    <s v="Credit Card"/>
    <s v="Delivered"/>
    <s v="Denver"/>
    <s v="CO"/>
    <s v="United States"/>
  </r>
  <r>
    <s v="ORD0000927"/>
    <x v="718"/>
    <s v="CUST008848"/>
    <s v="Vivaan Patel"/>
    <x v="38"/>
    <x v="1"/>
    <s v="FitLife"/>
    <n v="2"/>
    <n v="586.9"/>
    <n v="0"/>
    <n v="58.69"/>
    <n v="2.33"/>
    <n v="1234.82"/>
    <s v="Net Banking"/>
    <s v="Delivered"/>
    <s v="San Antonio"/>
    <s v="TX"/>
    <s v="United States"/>
  </r>
  <r>
    <s v="ORD0000928"/>
    <x v="719"/>
    <s v="CUST043287"/>
    <s v="Kabir Mehta"/>
    <x v="26"/>
    <x v="0"/>
    <s v="Zenith"/>
    <n v="1"/>
    <n v="474.1"/>
    <n v="0.2"/>
    <n v="18.96"/>
    <n v="12.15"/>
    <n v="410.39"/>
    <s v="Credit Card"/>
    <s v="Delivered"/>
    <s v="Los Angeles"/>
    <s v="CA"/>
    <s v="United States"/>
  </r>
  <r>
    <s v="ORD0000929"/>
    <x v="720"/>
    <s v="CUST033163"/>
    <s v="Pooja Sharma"/>
    <x v="3"/>
    <x v="0"/>
    <s v="KiddoFun"/>
    <n v="4"/>
    <n v="95.55"/>
    <n v="0.1"/>
    <n v="17.2"/>
    <n v="5.86"/>
    <n v="367.04"/>
    <s v="Credit Card"/>
    <s v="Delivered"/>
    <s v="Charlotte"/>
    <s v="NC"/>
    <s v="India"/>
  </r>
  <r>
    <s v="ORD0000930"/>
    <x v="721"/>
    <s v="CUST033240"/>
    <s v="Aditya Mehta"/>
    <x v="25"/>
    <x v="4"/>
    <s v="UrbanStyle"/>
    <n v="2"/>
    <n v="236.84"/>
    <n v="0.25"/>
    <n v="28.42"/>
    <n v="9.26"/>
    <n v="392.94"/>
    <s v="Debit Card"/>
    <s v="Pending"/>
    <s v="Chicago"/>
    <s v="IL"/>
    <s v="United States"/>
  </r>
  <r>
    <s v="ORD0000931"/>
    <x v="722"/>
    <s v="CUST030073"/>
    <s v="Vikas Reddy"/>
    <x v="48"/>
    <x v="5"/>
    <s v="UrbanStyle"/>
    <n v="5"/>
    <n v="549.70000000000005"/>
    <n v="0.05"/>
    <n v="130.55000000000001"/>
    <n v="4.1900000000000004"/>
    <n v="2745.82"/>
    <s v="Amazon Pay"/>
    <s v="Delivered"/>
    <s v="Denver"/>
    <s v="CO"/>
    <s v="United States"/>
  </r>
  <r>
    <s v="ORD0000932"/>
    <x v="723"/>
    <s v="CUST009910"/>
    <s v="Mohit Sharma"/>
    <x v="32"/>
    <x v="4"/>
    <s v="HomeEase"/>
    <n v="5"/>
    <n v="62.9"/>
    <n v="0.1"/>
    <n v="33.97"/>
    <n v="7.71"/>
    <n v="324.73"/>
    <s v="Credit Card"/>
    <s v="Delivered"/>
    <s v="Indianapolis"/>
    <s v="IN"/>
    <s v="United States"/>
  </r>
  <r>
    <s v="ORD0000933"/>
    <x v="583"/>
    <s v="CUST046026"/>
    <s v="Arjun Kapoor"/>
    <x v="0"/>
    <x v="0"/>
    <s v="NexPro"/>
    <n v="1"/>
    <n v="325.77"/>
    <n v="0.15"/>
    <n v="33.229999999999997"/>
    <n v="6.01"/>
    <n v="316.14"/>
    <s v="Credit Card"/>
    <s v="Delivered"/>
    <s v="San Jose"/>
    <s v="CA"/>
    <s v="India"/>
  </r>
  <r>
    <s v="ORD0000934"/>
    <x v="292"/>
    <s v="CUST013637"/>
    <s v="Simran Sharma"/>
    <x v="11"/>
    <x v="0"/>
    <s v="FitLife"/>
    <n v="3"/>
    <n v="433.01"/>
    <n v="0.15"/>
    <n v="55.21"/>
    <n v="3.77"/>
    <n v="1163.1600000000001"/>
    <s v="Amazon Pay"/>
    <s v="Delivered"/>
    <s v="San Francisco"/>
    <s v="CA"/>
    <s v="United States"/>
  </r>
  <r>
    <s v="ORD0000935"/>
    <x v="724"/>
    <s v="CUST004153"/>
    <s v="Arjun Verma"/>
    <x v="40"/>
    <x v="5"/>
    <s v="ReadMore"/>
    <n v="2"/>
    <n v="85.61"/>
    <n v="0"/>
    <n v="20.55"/>
    <n v="13.9"/>
    <n v="205.67"/>
    <s v="Amazon Pay"/>
    <s v="Delivered"/>
    <s v="Chicago"/>
    <s v="IL"/>
    <s v="United Kingdom"/>
  </r>
  <r>
    <s v="ORD0000936"/>
    <x v="725"/>
    <s v="CUST031898"/>
    <s v="Sneha Patel"/>
    <x v="5"/>
    <x v="5"/>
    <s v="CoreTech"/>
    <n v="3"/>
    <n v="472.98"/>
    <n v="0.1"/>
    <n v="63.85"/>
    <n v="10.51"/>
    <n v="1351.41"/>
    <s v="Credit Card"/>
    <s v="Delivered"/>
    <s v="San Jose"/>
    <s v="CA"/>
    <s v="United States"/>
  </r>
  <r>
    <s v="ORD0000937"/>
    <x v="726"/>
    <s v="CUST015964"/>
    <s v="Vikas Mehta"/>
    <x v="18"/>
    <x v="5"/>
    <s v="ReadMore"/>
    <n v="2"/>
    <n v="211.1"/>
    <n v="0.05"/>
    <n v="20.05"/>
    <n v="2.83"/>
    <n v="423.97"/>
    <s v="Credit Card"/>
    <s v="Delivered"/>
    <s v="Chicago"/>
    <s v="IL"/>
    <s v="United States"/>
  </r>
  <r>
    <s v="ORD0000938"/>
    <x v="727"/>
    <s v="CUST025040"/>
    <s v="Ritika Sharma"/>
    <x v="30"/>
    <x v="2"/>
    <s v="HomeEase"/>
    <n v="1"/>
    <n v="218.69"/>
    <n v="0.25"/>
    <n v="13.12"/>
    <n v="4.75"/>
    <n v="181.89"/>
    <s v="Credit Card"/>
    <s v="Shipped"/>
    <s v="San Antonio"/>
    <s v="TX"/>
    <s v="United States"/>
  </r>
  <r>
    <s v="ORD0000939"/>
    <x v="728"/>
    <s v="CUST016986"/>
    <s v="Kabir Singh"/>
    <x v="47"/>
    <x v="1"/>
    <s v="Apex"/>
    <n v="5"/>
    <n v="526.08000000000004"/>
    <n v="0.15"/>
    <n v="0"/>
    <n v="8.1199999999999992"/>
    <n v="2243.96"/>
    <s v="Credit Card"/>
    <s v="Shipped"/>
    <s v="Denver"/>
    <s v="CO"/>
    <s v="United States"/>
  </r>
  <r>
    <s v="ORD0000940"/>
    <x v="167"/>
    <s v="CUST037380"/>
    <s v="Simran Patel"/>
    <x v="23"/>
    <x v="2"/>
    <s v="Apex"/>
    <n v="5"/>
    <n v="162.19999999999999"/>
    <n v="0.05"/>
    <n v="0"/>
    <n v="13.53"/>
    <n v="783.98"/>
    <s v="Net Banking"/>
    <s v="Delivered"/>
    <s v="Phoenix"/>
    <s v="AZ"/>
    <s v="India"/>
  </r>
  <r>
    <s v="ORD0000941"/>
    <x v="729"/>
    <s v="CUST035549"/>
    <s v="Vikas Joshi"/>
    <x v="43"/>
    <x v="3"/>
    <s v="UrbanStyle"/>
    <n v="1"/>
    <n v="160.53"/>
    <n v="0"/>
    <n v="12.84"/>
    <n v="14.07"/>
    <n v="187.44"/>
    <s v="Net Banking"/>
    <s v="Shipped"/>
    <s v="Denver"/>
    <s v="CO"/>
    <s v="United Kingdom"/>
  </r>
  <r>
    <s v="ORD0000942"/>
    <x v="173"/>
    <s v="CUST023184"/>
    <s v="Aditya Kapoor"/>
    <x v="45"/>
    <x v="0"/>
    <s v="UrbanStyle"/>
    <n v="5"/>
    <n v="434.27"/>
    <n v="0.2"/>
    <n v="0"/>
    <n v="9.69"/>
    <n v="1746.77"/>
    <s v="Debit Card"/>
    <s v="Delivered"/>
    <s v="Phoenix"/>
    <s v="AZ"/>
    <s v="United Kingdom"/>
  </r>
  <r>
    <s v="ORD0000943"/>
    <x v="268"/>
    <s v="CUST049174"/>
    <s v="Arjun Reddy"/>
    <x v="44"/>
    <x v="0"/>
    <s v="UrbanStyle"/>
    <n v="5"/>
    <n v="70.27"/>
    <n v="0.1"/>
    <n v="15.81"/>
    <n v="6.23"/>
    <n v="338.26"/>
    <s v="Credit Card"/>
    <s v="Delivered"/>
    <s v="Washington"/>
    <s v="DC"/>
    <s v="United States"/>
  </r>
  <r>
    <s v="ORD0000944"/>
    <x v="730"/>
    <s v="CUST029376"/>
    <s v="Vikas Mehta"/>
    <x v="8"/>
    <x v="4"/>
    <s v="CoreTech"/>
    <n v="4"/>
    <n v="493.36"/>
    <n v="0.15"/>
    <n v="83.87"/>
    <n v="9.56"/>
    <n v="1770.85"/>
    <s v="Net Banking"/>
    <s v="Delivered"/>
    <s v="San Francisco"/>
    <s v="CA"/>
    <s v="United States"/>
  </r>
  <r>
    <s v="ORD0000945"/>
    <x v="312"/>
    <s v="CUST029579"/>
    <s v="Anjali Gupta"/>
    <x v="30"/>
    <x v="5"/>
    <s v="BrightLux"/>
    <n v="3"/>
    <n v="321.52"/>
    <n v="0"/>
    <n v="115.75"/>
    <n v="8.6300000000000008"/>
    <n v="1088.94"/>
    <s v="Net Banking"/>
    <s v="Delivered"/>
    <s v="Fort Worth"/>
    <s v="TX"/>
    <s v="United States"/>
  </r>
  <r>
    <s v="ORD0000946"/>
    <x v="41"/>
    <s v="CUST018858"/>
    <s v="Sneha Verma"/>
    <x v="31"/>
    <x v="4"/>
    <s v="NexPro"/>
    <n v="1"/>
    <n v="233.92"/>
    <n v="0"/>
    <n v="28.07"/>
    <n v="6.1"/>
    <n v="268.08999999999997"/>
    <s v="Amazon Pay"/>
    <s v="Delivered"/>
    <s v="Houston"/>
    <s v="TX"/>
    <s v="Australia"/>
  </r>
  <r>
    <s v="ORD0000947"/>
    <x v="251"/>
    <s v="CUST007407"/>
    <s v="Aarav Singh"/>
    <x v="22"/>
    <x v="1"/>
    <s v="CoreTech"/>
    <n v="3"/>
    <n v="452.94"/>
    <n v="0.05"/>
    <n v="64.540000000000006"/>
    <n v="5.36"/>
    <n v="1360.78"/>
    <s v="Credit Card"/>
    <s v="Delivered"/>
    <s v="Houston"/>
    <s v="TX"/>
    <s v="United States"/>
  </r>
  <r>
    <s v="ORD0000948"/>
    <x v="731"/>
    <s v="CUST030037"/>
    <s v="Neha Reddy"/>
    <x v="48"/>
    <x v="0"/>
    <s v="FitLife"/>
    <n v="5"/>
    <n v="104.94"/>
    <n v="0"/>
    <n v="26.24"/>
    <n v="7.71"/>
    <n v="558.65"/>
    <s v="Debit Card"/>
    <s v="Cancelled"/>
    <s v="Washington"/>
    <s v="DC"/>
    <s v="India"/>
  </r>
  <r>
    <s v="ORD0000949"/>
    <x v="453"/>
    <s v="CUST040999"/>
    <s v="Sunita Reddy"/>
    <x v="48"/>
    <x v="0"/>
    <s v="BrightLux"/>
    <n v="3"/>
    <n v="469.04"/>
    <n v="0.1"/>
    <n v="63.32"/>
    <n v="7.86"/>
    <n v="1337.59"/>
    <s v="Debit Card"/>
    <s v="Delivered"/>
    <s v="Indianapolis"/>
    <s v="IN"/>
    <s v="United States"/>
  </r>
  <r>
    <s v="ORD0000950"/>
    <x v="375"/>
    <s v="CUST020213"/>
    <s v="Vihaan Gupta"/>
    <x v="11"/>
    <x v="0"/>
    <s v="Zenith"/>
    <n v="1"/>
    <n v="499.05"/>
    <n v="0.3"/>
    <n v="62.88"/>
    <n v="6.73"/>
    <n v="418.94"/>
    <s v="Debit Card"/>
    <s v="Delivered"/>
    <s v="Denver"/>
    <s v="CO"/>
    <s v="United States"/>
  </r>
  <r>
    <s v="ORD0000951"/>
    <x v="650"/>
    <s v="CUST045999"/>
    <s v="Pooja Joshi"/>
    <x v="47"/>
    <x v="1"/>
    <s v="ReadMore"/>
    <n v="3"/>
    <n v="388.75"/>
    <n v="0"/>
    <n v="139.94999999999999"/>
    <n v="4.57"/>
    <n v="1310.77"/>
    <s v="UPI"/>
    <s v="Delivered"/>
    <s v="Washington"/>
    <s v="DC"/>
    <s v="United States"/>
  </r>
  <r>
    <s v="ORD0000952"/>
    <x v="712"/>
    <s v="CUST024214"/>
    <s v="Rohit Kapoor"/>
    <x v="47"/>
    <x v="4"/>
    <s v="FitLife"/>
    <n v="1"/>
    <n v="297.12"/>
    <n v="0"/>
    <n v="14.86"/>
    <n v="6.85"/>
    <n v="318.83"/>
    <s v="Amazon Pay"/>
    <s v="Pending"/>
    <s v="Charlotte"/>
    <s v="NC"/>
    <s v="United States"/>
  </r>
  <r>
    <s v="ORD0000953"/>
    <x v="732"/>
    <s v="CUST008222"/>
    <s v="Priya Joshi"/>
    <x v="25"/>
    <x v="5"/>
    <s v="BrightLux"/>
    <n v="1"/>
    <n v="237.09"/>
    <n v="0"/>
    <n v="28.45"/>
    <n v="10.17"/>
    <n v="275.70999999999998"/>
    <s v="Debit Card"/>
    <s v="Delivered"/>
    <s v="New York"/>
    <s v="NY"/>
    <s v="United States"/>
  </r>
  <r>
    <s v="ORD0000954"/>
    <x v="733"/>
    <s v="CUST023966"/>
    <s v="Rohit Verma"/>
    <x v="3"/>
    <x v="2"/>
    <s v="UrbanStyle"/>
    <n v="4"/>
    <n v="234.69"/>
    <n v="0"/>
    <n v="46.94"/>
    <n v="4.8"/>
    <n v="990.5"/>
    <s v="UPI"/>
    <s v="Shipped"/>
    <s v="San Antonio"/>
    <s v="TX"/>
    <s v="Australia"/>
  </r>
  <r>
    <s v="ORD0000955"/>
    <x v="734"/>
    <s v="CUST002209"/>
    <s v="Arjun Verma"/>
    <x v="31"/>
    <x v="3"/>
    <s v="HomeEase"/>
    <n v="4"/>
    <n v="288.5"/>
    <n v="0.1"/>
    <n v="124.63"/>
    <n v="9.8699999999999992"/>
    <n v="1173.0999999999999"/>
    <s v="Cash on Delivery"/>
    <s v="Pending"/>
    <s v="San Diego"/>
    <s v="CA"/>
    <s v="United States"/>
  </r>
  <r>
    <s v="ORD0000956"/>
    <x v="735"/>
    <s v="CUST033384"/>
    <s v="Simran Singh"/>
    <x v="24"/>
    <x v="4"/>
    <s v="NexPro"/>
    <n v="3"/>
    <n v="205.31"/>
    <n v="0"/>
    <n v="73.91"/>
    <n v="11.44"/>
    <n v="701.28"/>
    <s v="Credit Card"/>
    <s v="Delivered"/>
    <s v="San Antonio"/>
    <s v="TX"/>
    <s v="United States"/>
  </r>
  <r>
    <s v="ORD0000957"/>
    <x v="491"/>
    <s v="CUST038558"/>
    <s v="Simran Verma"/>
    <x v="21"/>
    <x v="0"/>
    <s v="CoreTech"/>
    <n v="3"/>
    <n v="151.82"/>
    <n v="0.15"/>
    <n v="0"/>
    <n v="5.61"/>
    <n v="392.75"/>
    <s v="Credit Card"/>
    <s v="Delivered"/>
    <s v="New York"/>
    <s v="NY"/>
    <s v="United States"/>
  </r>
  <r>
    <s v="ORD0000958"/>
    <x v="600"/>
    <s v="CUST026933"/>
    <s v="Anjali Patel"/>
    <x v="9"/>
    <x v="4"/>
    <s v="FitLife"/>
    <n v="2"/>
    <n v="306.14999999999998"/>
    <n v="0.05"/>
    <n v="46.53"/>
    <n v="13.86"/>
    <n v="642.07000000000005"/>
    <s v="Debit Card"/>
    <s v="Delivered"/>
    <s v="Chicago"/>
    <s v="IL"/>
    <s v="United States"/>
  </r>
  <r>
    <s v="ORD0000959"/>
    <x v="736"/>
    <s v="CUST022426"/>
    <s v="Aditya Reddy"/>
    <x v="19"/>
    <x v="0"/>
    <s v="FitLife"/>
    <n v="4"/>
    <n v="31.14"/>
    <n v="0"/>
    <n v="0"/>
    <n v="10.01"/>
    <n v="134.57"/>
    <s v="Credit Card"/>
    <s v="Returned"/>
    <s v="San Francisco"/>
    <s v="CA"/>
    <s v="United States"/>
  </r>
  <r>
    <s v="ORD0000960"/>
    <x v="642"/>
    <s v="CUST002182"/>
    <s v="Sahil Gupta"/>
    <x v="33"/>
    <x v="2"/>
    <s v="Apex"/>
    <n v="4"/>
    <n v="147.12"/>
    <n v="0.2"/>
    <n v="23.54"/>
    <n v="3.99"/>
    <n v="498.31"/>
    <s v="Net Banking"/>
    <s v="Delivered"/>
    <s v="New York"/>
    <s v="NY"/>
    <s v="United States"/>
  </r>
  <r>
    <s v="ORD0000961"/>
    <x v="737"/>
    <s v="CUST020408"/>
    <s v="Priya Singh"/>
    <x v="46"/>
    <x v="5"/>
    <s v="Apex"/>
    <n v="3"/>
    <n v="416.67"/>
    <n v="0.1"/>
    <n v="56.25"/>
    <n v="11.92"/>
    <n v="1193.18"/>
    <s v="UPI"/>
    <s v="Shipped"/>
    <s v="Seattle"/>
    <s v="WA"/>
    <s v="United States"/>
  </r>
  <r>
    <s v="ORD0000962"/>
    <x v="738"/>
    <s v="CUST012324"/>
    <s v="Mohit Patel"/>
    <x v="6"/>
    <x v="1"/>
    <s v="KiddoFun"/>
    <n v="4"/>
    <n v="371.94"/>
    <n v="0"/>
    <n v="74.39"/>
    <n v="5.94"/>
    <n v="1568.09"/>
    <s v="Amazon Pay"/>
    <s v="Delivered"/>
    <s v="Indianapolis"/>
    <s v="IN"/>
    <s v="United States"/>
  </r>
  <r>
    <s v="ORD0000963"/>
    <x v="702"/>
    <s v="CUST045887"/>
    <s v="Aman Kumar"/>
    <x v="40"/>
    <x v="5"/>
    <s v="KiddoFun"/>
    <n v="1"/>
    <n v="453.85"/>
    <n v="0.2"/>
    <n v="43.57"/>
    <n v="2"/>
    <n v="408.65"/>
    <s v="Net Banking"/>
    <s v="Shipped"/>
    <s v="San Antonio"/>
    <s v="TX"/>
    <s v="United States"/>
  </r>
  <r>
    <s v="ORD0000964"/>
    <x v="739"/>
    <s v="CUST040761"/>
    <s v="Vihaan Kumar"/>
    <x v="13"/>
    <x v="4"/>
    <s v="BrightLux"/>
    <n v="4"/>
    <n v="530.36"/>
    <n v="0.2"/>
    <n v="84.86"/>
    <n v="10.1"/>
    <n v="1792.11"/>
    <s v="Debit Card"/>
    <s v="Delivered"/>
    <s v="Columbus"/>
    <s v="OH"/>
    <s v="United States"/>
  </r>
  <r>
    <s v="ORD0000965"/>
    <x v="740"/>
    <s v="CUST032848"/>
    <s v="Arjun Kumar"/>
    <x v="0"/>
    <x v="3"/>
    <s v="NexPro"/>
    <n v="4"/>
    <n v="299.77"/>
    <n v="0.15"/>
    <n v="50.96"/>
    <n v="13.65"/>
    <n v="1083.83"/>
    <s v="Credit Card"/>
    <s v="Delivered"/>
    <s v="Charlotte"/>
    <s v="NC"/>
    <s v="United States"/>
  </r>
  <r>
    <s v="ORD0000966"/>
    <x v="564"/>
    <s v="CUST029456"/>
    <s v="Neha Sharma"/>
    <x v="17"/>
    <x v="3"/>
    <s v="KiddoFun"/>
    <n v="1"/>
    <n v="273.77999999999997"/>
    <n v="0.05"/>
    <n v="20.81"/>
    <n v="11.19"/>
    <n v="292.08999999999997"/>
    <s v="Amazon Pay"/>
    <s v="Shipped"/>
    <s v="San Antonio"/>
    <s v="TX"/>
    <s v="United States"/>
  </r>
  <r>
    <s v="ORD0000967"/>
    <x v="741"/>
    <s v="CUST044968"/>
    <s v="Vikas Reddy"/>
    <x v="47"/>
    <x v="3"/>
    <s v="HomeEase"/>
    <n v="1"/>
    <n v="516.11"/>
    <n v="0"/>
    <n v="25.81"/>
    <n v="5.39"/>
    <n v="547.30999999999995"/>
    <s v="Amazon Pay"/>
    <s v="Delivered"/>
    <s v="Indianapolis"/>
    <s v="IN"/>
    <s v="United States"/>
  </r>
  <r>
    <s v="ORD0000968"/>
    <x v="429"/>
    <s v="CUST029109"/>
    <s v="Ritika Patel"/>
    <x v="45"/>
    <x v="0"/>
    <s v="NexPro"/>
    <n v="4"/>
    <n v="278"/>
    <n v="0.2"/>
    <n v="71.17"/>
    <n v="13.7"/>
    <n v="974.47"/>
    <s v="UPI"/>
    <s v="Shipped"/>
    <s v="Los Angeles"/>
    <s v="CA"/>
    <s v="United States"/>
  </r>
  <r>
    <s v="ORD0000969"/>
    <x v="415"/>
    <s v="CUST039899"/>
    <s v="Simran Reddy"/>
    <x v="2"/>
    <x v="5"/>
    <s v="FitLife"/>
    <n v="2"/>
    <n v="466.37"/>
    <n v="0.1"/>
    <n v="67.16"/>
    <n v="6.31"/>
    <n v="912.94"/>
    <s v="Amazon Pay"/>
    <s v="Delivered"/>
    <s v="Indianapolis"/>
    <s v="IN"/>
    <s v="United States"/>
  </r>
  <r>
    <s v="ORD0000970"/>
    <x v="742"/>
    <s v="CUST021624"/>
    <s v="Arjun Kapoor"/>
    <x v="12"/>
    <x v="0"/>
    <s v="NexPro"/>
    <n v="3"/>
    <n v="198.44"/>
    <n v="0"/>
    <n v="47.63"/>
    <n v="10.1"/>
    <n v="653.04999999999995"/>
    <s v="Credit Card"/>
    <s v="Delivered"/>
    <s v="Los Angeles"/>
    <s v="CA"/>
    <s v="United Kingdom"/>
  </r>
  <r>
    <s v="ORD0000971"/>
    <x v="88"/>
    <s v="CUST045461"/>
    <s v="Aditya Verma"/>
    <x v="3"/>
    <x v="4"/>
    <s v="NexPro"/>
    <n v="1"/>
    <n v="566.76"/>
    <n v="0"/>
    <n v="68.010000000000005"/>
    <n v="12.09"/>
    <n v="646.86"/>
    <s v="Credit Card"/>
    <s v="Shipped"/>
    <s v="Fort Worth"/>
    <s v="TX"/>
    <s v="United States"/>
  </r>
  <r>
    <s v="ORD0000972"/>
    <x v="743"/>
    <s v="CUST012521"/>
    <s v="Priya Mehta"/>
    <x v="36"/>
    <x v="5"/>
    <s v="Apex"/>
    <n v="4"/>
    <n v="578.16999999999996"/>
    <n v="0"/>
    <n v="115.63"/>
    <n v="0.88"/>
    <n v="2429.19"/>
    <s v="Credit Card"/>
    <s v="Delivered"/>
    <s v="San Jose"/>
    <s v="CA"/>
    <s v="India"/>
  </r>
  <r>
    <s v="ORD0000973"/>
    <x v="744"/>
    <s v="CUST000447"/>
    <s v="Neha Reddy"/>
    <x v="37"/>
    <x v="1"/>
    <s v="FitLife"/>
    <n v="5"/>
    <n v="440.1"/>
    <n v="0.25"/>
    <n v="198.04"/>
    <n v="0.63"/>
    <n v="1849.04"/>
    <s v="Amazon Pay"/>
    <s v="Delivered"/>
    <s v="Phoenix"/>
    <s v="AZ"/>
    <s v="United Kingdom"/>
  </r>
  <r>
    <s v="ORD0000974"/>
    <x v="303"/>
    <s v="CUST031147"/>
    <s v="Karan Mehta"/>
    <x v="14"/>
    <x v="5"/>
    <s v="KiddoFun"/>
    <n v="2"/>
    <n v="464.64"/>
    <n v="0.05"/>
    <n v="0"/>
    <n v="4.32"/>
    <n v="887.14"/>
    <s v="Net Banking"/>
    <s v="Shipped"/>
    <s v="Philadelphia"/>
    <s v="PA"/>
    <s v="United States"/>
  </r>
  <r>
    <s v="ORD0000975"/>
    <x v="479"/>
    <s v="CUST013256"/>
    <s v="Ritika Verma"/>
    <x v="1"/>
    <x v="4"/>
    <s v="CoreTech"/>
    <n v="3"/>
    <n v="232.1"/>
    <n v="0.2"/>
    <n v="27.85"/>
    <n v="7.52"/>
    <n v="592.41"/>
    <s v="UPI"/>
    <s v="Delivered"/>
    <s v="San Jose"/>
    <s v="CA"/>
    <s v="United States"/>
  </r>
  <r>
    <s v="ORD0000976"/>
    <x v="427"/>
    <s v="CUST025628"/>
    <s v="Arjun Patel"/>
    <x v="31"/>
    <x v="3"/>
    <s v="KiddoFun"/>
    <n v="2"/>
    <n v="309.22000000000003"/>
    <n v="0"/>
    <n v="30.92"/>
    <n v="1.17"/>
    <n v="650.53"/>
    <s v="UPI"/>
    <s v="Delivered"/>
    <s v="Chicago"/>
    <s v="IL"/>
    <s v="United States"/>
  </r>
  <r>
    <s v="ORD0000977"/>
    <x v="745"/>
    <s v="CUST038189"/>
    <s v="Aditya Joshi"/>
    <x v="42"/>
    <x v="5"/>
    <s v="FitLife"/>
    <n v="1"/>
    <n v="452.51"/>
    <n v="0.2"/>
    <n v="28.96"/>
    <n v="13.73"/>
    <n v="404.7"/>
    <s v="Debit Card"/>
    <s v="Shipped"/>
    <s v="Fort Worth"/>
    <s v="TX"/>
    <s v="Australia"/>
  </r>
  <r>
    <s v="ORD0000978"/>
    <x v="207"/>
    <s v="CUST009786"/>
    <s v="Simran Reddy"/>
    <x v="12"/>
    <x v="1"/>
    <s v="HomeEase"/>
    <n v="1"/>
    <n v="332.74"/>
    <n v="0"/>
    <n v="39.93"/>
    <n v="7.2"/>
    <n v="379.87"/>
    <s v="Debit Card"/>
    <s v="Returned"/>
    <s v="Jacksonville"/>
    <s v="FL"/>
    <s v="United States"/>
  </r>
  <r>
    <s v="ORD0000979"/>
    <x v="746"/>
    <s v="CUST033747"/>
    <s v="Vikas Singh"/>
    <x v="28"/>
    <x v="5"/>
    <s v="FitLife"/>
    <n v="3"/>
    <n v="449.66"/>
    <n v="0"/>
    <n v="107.92"/>
    <n v="0.12"/>
    <n v="1457.02"/>
    <s v="Credit Card"/>
    <s v="Delivered"/>
    <s v="San Diego"/>
    <s v="CA"/>
    <s v="United States"/>
  </r>
  <r>
    <s v="ORD0000980"/>
    <x v="5"/>
    <s v="CUST032797"/>
    <s v="Sahil Kapoor"/>
    <x v="38"/>
    <x v="3"/>
    <s v="KiddoFun"/>
    <n v="4"/>
    <n v="402.24"/>
    <n v="0"/>
    <n v="128.72"/>
    <n v="1.27"/>
    <n v="1738.95"/>
    <s v="Credit Card"/>
    <s v="Delivered"/>
    <s v="Columbus"/>
    <s v="OH"/>
    <s v="United States"/>
  </r>
  <r>
    <s v="ORD0000981"/>
    <x v="747"/>
    <s v="CUST018809"/>
    <s v="Mohit Singh"/>
    <x v="8"/>
    <x v="5"/>
    <s v="BrightLux"/>
    <n v="1"/>
    <n v="210.25"/>
    <n v="0"/>
    <n v="10.51"/>
    <n v="1.21"/>
    <n v="221.97"/>
    <s v="Net Banking"/>
    <s v="Delivered"/>
    <s v="San Diego"/>
    <s v="CA"/>
    <s v="United Kingdom"/>
  </r>
  <r>
    <s v="ORD0000982"/>
    <x v="488"/>
    <s v="CUST018358"/>
    <s v="Karan Reddy"/>
    <x v="4"/>
    <x v="1"/>
    <s v="FitLife"/>
    <n v="5"/>
    <n v="176.23"/>
    <n v="0"/>
    <n v="105.74"/>
    <n v="9.8800000000000008"/>
    <n v="996.77"/>
    <s v="Amazon Pay"/>
    <s v="Shipped"/>
    <s v="Seattle"/>
    <s v="WA"/>
    <s v="Canada"/>
  </r>
  <r>
    <s v="ORD0000983"/>
    <x v="748"/>
    <s v="CUST027961"/>
    <s v="Vivaan Verma"/>
    <x v="14"/>
    <x v="4"/>
    <s v="FitLife"/>
    <n v="5"/>
    <n v="504.78"/>
    <n v="0"/>
    <n v="201.91"/>
    <n v="3.27"/>
    <n v="2729.08"/>
    <s v="Net Banking"/>
    <s v="Delivered"/>
    <s v="Houston"/>
    <s v="TX"/>
    <s v="United States"/>
  </r>
  <r>
    <s v="ORD0000984"/>
    <x v="749"/>
    <s v="CUST016417"/>
    <s v="Aman Singh"/>
    <x v="4"/>
    <x v="4"/>
    <s v="ReadMore"/>
    <n v="4"/>
    <n v="214.2"/>
    <n v="0"/>
    <n v="102.82"/>
    <n v="9.9600000000000009"/>
    <n v="969.58"/>
    <s v="UPI"/>
    <s v="Delivered"/>
    <s v="Dallas"/>
    <s v="TX"/>
    <s v="India"/>
  </r>
  <r>
    <s v="ORD0000985"/>
    <x v="354"/>
    <s v="CUST005056"/>
    <s v="Priya Singh"/>
    <x v="29"/>
    <x v="1"/>
    <s v="ReadMore"/>
    <n v="5"/>
    <n v="574.23"/>
    <n v="0"/>
    <n v="229.69"/>
    <n v="8.39"/>
    <n v="3109.23"/>
    <s v="Credit Card"/>
    <s v="Delivered"/>
    <s v="Washington"/>
    <s v="DC"/>
    <s v="United States"/>
  </r>
  <r>
    <s v="ORD0000986"/>
    <x v="750"/>
    <s v="CUST035716"/>
    <s v="Mohit Patel"/>
    <x v="24"/>
    <x v="1"/>
    <s v="FitLife"/>
    <n v="5"/>
    <n v="94.26"/>
    <n v="0.05"/>
    <n v="0"/>
    <n v="11.49"/>
    <n v="459.22"/>
    <s v="Credit Card"/>
    <s v="Shipped"/>
    <s v="Columbus"/>
    <s v="OH"/>
    <s v="United States"/>
  </r>
  <r>
    <s v="ORD0000987"/>
    <x v="733"/>
    <s v="CUST040437"/>
    <s v="Sneha Patel"/>
    <x v="40"/>
    <x v="1"/>
    <s v="NexPro"/>
    <n v="2"/>
    <n v="518.37"/>
    <n v="0"/>
    <n v="124.41"/>
    <n v="4.05"/>
    <n v="1165.2"/>
    <s v="Amazon Pay"/>
    <s v="Delivered"/>
    <s v="Indianapolis"/>
    <s v="IN"/>
    <s v="United States"/>
  </r>
  <r>
    <s v="ORD0000988"/>
    <x v="751"/>
    <s v="CUST009488"/>
    <s v="Aman Gupta"/>
    <x v="34"/>
    <x v="5"/>
    <s v="Zenith"/>
    <n v="2"/>
    <n v="427.16"/>
    <n v="0"/>
    <n v="102.52"/>
    <n v="4.1500000000000004"/>
    <n v="960.99"/>
    <s v="Net Banking"/>
    <s v="Delivered"/>
    <s v="Fort Worth"/>
    <s v="TX"/>
    <s v="Australia"/>
  </r>
  <r>
    <s v="ORD0000989"/>
    <x v="752"/>
    <s v="CUST018933"/>
    <s v="Aditya Gupta"/>
    <x v="17"/>
    <x v="5"/>
    <s v="NexPro"/>
    <n v="5"/>
    <n v="498.31"/>
    <n v="0"/>
    <n v="199.32"/>
    <n v="12.95"/>
    <n v="2703.82"/>
    <s v="UPI"/>
    <s v="Delivered"/>
    <s v="Dallas"/>
    <s v="TX"/>
    <s v="United States"/>
  </r>
  <r>
    <s v="ORD0000990"/>
    <x v="440"/>
    <s v="CUST041859"/>
    <s v="Rohit Reddy"/>
    <x v="42"/>
    <x v="2"/>
    <s v="Apex"/>
    <n v="5"/>
    <n v="525.02"/>
    <n v="0.15"/>
    <n v="178.51"/>
    <n v="4.3899999999999997"/>
    <n v="2414.2399999999998"/>
    <s v="Amazon Pay"/>
    <s v="Delivered"/>
    <s v="San Diego"/>
    <s v="CA"/>
    <s v="Australia"/>
  </r>
  <r>
    <s v="ORD0000991"/>
    <x v="753"/>
    <s v="CUST004799"/>
    <s v="Pooja Singh"/>
    <x v="14"/>
    <x v="0"/>
    <s v="CoreTech"/>
    <n v="5"/>
    <n v="240.73"/>
    <n v="0.15"/>
    <n v="81.849999999999994"/>
    <n v="6.73"/>
    <n v="1111.68"/>
    <s v="Amazon Pay"/>
    <s v="Delivered"/>
    <s v="San Francisco"/>
    <s v="CA"/>
    <s v="United States"/>
  </r>
  <r>
    <s v="ORD0000992"/>
    <x v="754"/>
    <s v="CUST018326"/>
    <s v="Priya Kapoor"/>
    <x v="5"/>
    <x v="1"/>
    <s v="NexPro"/>
    <n v="5"/>
    <n v="219.88"/>
    <n v="0.05"/>
    <n v="52.22"/>
    <n v="14.84"/>
    <n v="1111.49"/>
    <s v="Credit Card"/>
    <s v="Delivered"/>
    <s v="San Diego"/>
    <s v="CA"/>
    <s v="United States"/>
  </r>
  <r>
    <s v="ORD0000993"/>
    <x v="755"/>
    <s v="CUST011346"/>
    <s v="Sahil Verma"/>
    <x v="47"/>
    <x v="5"/>
    <s v="HomeEase"/>
    <n v="1"/>
    <n v="202.33"/>
    <n v="0"/>
    <n v="10.119999999999999"/>
    <n v="9.1"/>
    <n v="221.55"/>
    <s v="Debit Card"/>
    <s v="Delivered"/>
    <s v="San Diego"/>
    <s v="CA"/>
    <s v="India"/>
  </r>
  <r>
    <s v="ORD0000994"/>
    <x v="182"/>
    <s v="CUST043616"/>
    <s v="Aman Singh"/>
    <x v="17"/>
    <x v="1"/>
    <s v="FitLife"/>
    <n v="4"/>
    <n v="327.29000000000002"/>
    <n v="0.1"/>
    <n v="0"/>
    <n v="1.04"/>
    <n v="1179.28"/>
    <s v="Credit Card"/>
    <s v="Delivered"/>
    <s v="Charlotte"/>
    <s v="NC"/>
    <s v="United States"/>
  </r>
  <r>
    <s v="ORD0000995"/>
    <x v="756"/>
    <s v="CUST003218"/>
    <s v="Ritika Kapoor"/>
    <x v="3"/>
    <x v="5"/>
    <s v="HomeEase"/>
    <n v="1"/>
    <n v="28.68"/>
    <n v="0"/>
    <n v="2.29"/>
    <n v="4.46"/>
    <n v="35.43"/>
    <s v="Amazon Pay"/>
    <s v="Delivered"/>
    <s v="Phoenix"/>
    <s v="AZ"/>
    <s v="United States"/>
  </r>
  <r>
    <s v="ORD0000996"/>
    <x v="264"/>
    <s v="CUST023097"/>
    <s v="Arjun Singh"/>
    <x v="11"/>
    <x v="2"/>
    <s v="Zenith"/>
    <n v="3"/>
    <n v="205.85"/>
    <n v="0.05"/>
    <n v="46.93"/>
    <n v="4.1100000000000003"/>
    <n v="637.71"/>
    <s v="Credit Card"/>
    <s v="Delivered"/>
    <s v="Denver"/>
    <s v="CO"/>
    <s v="United States"/>
  </r>
  <r>
    <s v="ORD0000997"/>
    <x v="301"/>
    <s v="CUST029402"/>
    <s v="Kabir Kapoor"/>
    <x v="37"/>
    <x v="1"/>
    <s v="Zenith"/>
    <n v="3"/>
    <n v="354.79"/>
    <n v="0"/>
    <n v="127.72"/>
    <n v="6.11"/>
    <n v="1198.2"/>
    <s v="Credit Card"/>
    <s v="Delivered"/>
    <s v="Denver"/>
    <s v="CO"/>
    <s v="United States"/>
  </r>
  <r>
    <s v="ORD0000998"/>
    <x v="164"/>
    <s v="CUST044953"/>
    <s v="Anjali Kapoor"/>
    <x v="48"/>
    <x v="2"/>
    <s v="Zenith"/>
    <n v="4"/>
    <n v="468.74"/>
    <n v="0.05"/>
    <n v="320.62"/>
    <n v="1.2"/>
    <n v="2103.0300000000002"/>
    <s v="Net Banking"/>
    <s v="Delivered"/>
    <s v="Austin"/>
    <s v="TX"/>
    <s v="United States"/>
  </r>
  <r>
    <s v="ORD0000999"/>
    <x v="757"/>
    <s v="CUST039196"/>
    <s v="Vivaan Sharma"/>
    <x v="27"/>
    <x v="1"/>
    <s v="KiddoFun"/>
    <n v="4"/>
    <n v="44.82"/>
    <n v="0.05"/>
    <n v="13.63"/>
    <n v="0.53"/>
    <n v="184.48"/>
    <s v="UPI"/>
    <s v="Returned"/>
    <s v="Seattle"/>
    <s v="WA"/>
    <s v="United States"/>
  </r>
  <r>
    <s v="ORD0001000"/>
    <x v="758"/>
    <s v="CUST049148"/>
    <s v="Aditya Sharma"/>
    <x v="44"/>
    <x v="5"/>
    <s v="BrightLux"/>
    <n v="5"/>
    <n v="137.56"/>
    <n v="0"/>
    <n v="34.39"/>
    <n v="9.0399999999999991"/>
    <n v="731.23"/>
    <s v="Net Banking"/>
    <s v="Returned"/>
    <s v="Denver"/>
    <s v="CO"/>
    <s v="United Stat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s v="CUST001504"/>
    <s v="Vihaan Sharma"/>
    <s v="Drone Mini"/>
    <x v="0"/>
    <x v="0"/>
    <n v="3"/>
    <n v="106.59"/>
    <n v="0"/>
    <n v="0"/>
    <n v="0.09"/>
    <n v="319.86"/>
    <x v="0"/>
    <x v="0"/>
    <s v="Washington"/>
    <s v="DC"/>
    <s v="India"/>
  </r>
  <r>
    <x v="1"/>
    <x v="1"/>
    <s v="CUST000178"/>
    <s v="Pooja Kumari"/>
    <s v="Microphone"/>
    <x v="1"/>
    <x v="1"/>
    <n v="1"/>
    <n v="251.37"/>
    <n v="0.05"/>
    <n v="19.100000000000001"/>
    <n v="1.74"/>
    <n v="259.64"/>
    <x v="1"/>
    <x v="0"/>
    <s v="Fort Worth"/>
    <s v="TX"/>
    <s v="United States"/>
  </r>
  <r>
    <x v="2"/>
    <x v="2"/>
    <s v="CUST047516"/>
    <s v="Sneha Singh"/>
    <s v="Power Bank 20000mAh"/>
    <x v="2"/>
    <x v="1"/>
    <n v="3"/>
    <n v="35.03"/>
    <n v="0.1"/>
    <n v="7.57"/>
    <n v="5.91"/>
    <n v="108.06"/>
    <x v="0"/>
    <x v="0"/>
    <s v="Austin"/>
    <s v="TX"/>
    <s v="United States"/>
  </r>
  <r>
    <x v="3"/>
    <x v="3"/>
    <s v="CUST030059"/>
    <s v="Vihaan Reddy"/>
    <s v="Webcam Full HD"/>
    <x v="1"/>
    <x v="2"/>
    <n v="5"/>
    <n v="33.58"/>
    <n v="0.15"/>
    <n v="11.42"/>
    <n v="5.53"/>
    <n v="159.66"/>
    <x v="2"/>
    <x v="0"/>
    <s v="Charlotte"/>
    <s v="NC"/>
    <s v="India"/>
  </r>
  <r>
    <x v="4"/>
    <x v="4"/>
    <s v="CUST048677"/>
    <s v="Aditya Kapoor"/>
    <s v="T-Shirt"/>
    <x v="2"/>
    <x v="3"/>
    <n v="2"/>
    <n v="515.64"/>
    <n v="0.25"/>
    <n v="38.67"/>
    <n v="9.23"/>
    <n v="821.36"/>
    <x v="3"/>
    <x v="1"/>
    <s v="San Antonio"/>
    <s v="TX"/>
    <s v="Canada"/>
  </r>
  <r>
    <x v="5"/>
    <x v="5"/>
    <s v="CUST042705"/>
    <s v="Karan Sharma"/>
    <s v="Cookware Set"/>
    <x v="0"/>
    <x v="4"/>
    <n v="4"/>
    <n v="449.73"/>
    <n v="0"/>
    <n v="215.87"/>
    <n v="2.74"/>
    <n v="2017.53"/>
    <x v="4"/>
    <x v="0"/>
    <s v="Los Angeles"/>
    <s v="CA"/>
    <s v="United States"/>
  </r>
  <r>
    <x v="6"/>
    <x v="6"/>
    <s v="CUST037667"/>
    <s v="Aarav Verma"/>
    <s v="Dress Shirt"/>
    <x v="2"/>
    <x v="1"/>
    <n v="2"/>
    <n v="219.81"/>
    <n v="0.2"/>
    <n v="28.14"/>
    <n v="14.97"/>
    <n v="394.81"/>
    <x v="4"/>
    <x v="0"/>
    <s v="Chicago"/>
    <s v="IL"/>
    <s v="Australia"/>
  </r>
  <r>
    <x v="7"/>
    <x v="7"/>
    <s v="CUST031165"/>
    <s v="Rohit Kumar"/>
    <s v="Jeans"/>
    <x v="3"/>
    <x v="3"/>
    <n v="2"/>
    <n v="306.51"/>
    <n v="0.05"/>
    <n v="29.12"/>
    <n v="6.24"/>
    <n v="617.73"/>
    <x v="0"/>
    <x v="2"/>
    <s v="Denver"/>
    <s v="CO"/>
    <s v="India"/>
  </r>
  <r>
    <x v="8"/>
    <x v="8"/>
    <s v="CUST026965"/>
    <s v="Aman Kapoor"/>
    <s v="Kids Toy Car"/>
    <x v="4"/>
    <x v="5"/>
    <n v="4"/>
    <n v="146.09"/>
    <n v="0"/>
    <n v="46.75"/>
    <n v="7.03"/>
    <n v="638.14"/>
    <x v="0"/>
    <x v="0"/>
    <s v="Washington"/>
    <s v="DC"/>
    <s v="United States"/>
  </r>
  <r>
    <x v="9"/>
    <x v="9"/>
    <s v="CUST029472"/>
    <s v="Aarav Reddy"/>
    <s v="Wireless Earbuds"/>
    <x v="2"/>
    <x v="5"/>
    <n v="2"/>
    <n v="278.20999999999998"/>
    <n v="0.1"/>
    <n v="60.09"/>
    <n v="4.88"/>
    <n v="565.75"/>
    <x v="3"/>
    <x v="0"/>
    <s v="Houston"/>
    <s v="TX"/>
    <s v="United States"/>
  </r>
  <r>
    <x v="10"/>
    <x v="10"/>
    <s v="CUST005346"/>
    <s v="Rohit Reddy"/>
    <s v="Car Charger"/>
    <x v="0"/>
    <x v="6"/>
    <n v="1"/>
    <n v="141.41999999999999"/>
    <n v="0.05"/>
    <n v="6.72"/>
    <n v="9.6999999999999993"/>
    <n v="150.77000000000001"/>
    <x v="1"/>
    <x v="0"/>
    <s v="Jacksonville"/>
    <s v="FL"/>
    <s v="Australia"/>
  </r>
  <r>
    <x v="11"/>
    <x v="11"/>
    <s v="CUST046088"/>
    <s v="Karan Kumar"/>
    <s v="Projector Mini"/>
    <x v="1"/>
    <x v="3"/>
    <n v="5"/>
    <n v="346.56"/>
    <n v="0.05"/>
    <n v="131.69"/>
    <n v="13.38"/>
    <n v="1791.23"/>
    <x v="3"/>
    <x v="3"/>
    <s v="Charlotte"/>
    <s v="NC"/>
    <s v="Australia"/>
  </r>
  <r>
    <x v="12"/>
    <x v="12"/>
    <s v="CUST026576"/>
    <s v="Simran Kapoor"/>
    <s v="Vacuum Cleaner"/>
    <x v="1"/>
    <x v="2"/>
    <n v="4"/>
    <n v="496.76"/>
    <n v="0.05"/>
    <n v="94.38"/>
    <n v="4.43"/>
    <n v="1986.5"/>
    <x v="4"/>
    <x v="0"/>
    <s v="New York"/>
    <s v="NY"/>
    <s v="United States"/>
  </r>
  <r>
    <x v="13"/>
    <x v="13"/>
    <s v="CUST006051"/>
    <s v="Pooja Sharma"/>
    <s v="Microphone"/>
    <x v="1"/>
    <x v="5"/>
    <n v="3"/>
    <n v="523.27"/>
    <n v="0"/>
    <n v="188.38"/>
    <n v="8.0399999999999991"/>
    <n v="1766.23"/>
    <x v="0"/>
    <x v="3"/>
    <s v="Seattle"/>
    <s v="WA"/>
    <s v="United States"/>
  </r>
  <r>
    <x v="14"/>
    <x v="14"/>
    <s v="CUST025111"/>
    <s v="Mohit Mehta"/>
    <s v="Desk Plant"/>
    <x v="0"/>
    <x v="6"/>
    <n v="4"/>
    <n v="291.37"/>
    <n v="0.1"/>
    <n v="52.45"/>
    <n v="1.76"/>
    <n v="1103.1400000000001"/>
    <x v="5"/>
    <x v="0"/>
    <s v="Indianapolis"/>
    <s v="IN"/>
    <s v="United States"/>
  </r>
  <r>
    <x v="15"/>
    <x v="15"/>
    <s v="CUST040957"/>
    <s v="Anjali Gupta"/>
    <s v="Jeans"/>
    <x v="4"/>
    <x v="6"/>
    <n v="4"/>
    <n v="533.12"/>
    <n v="0.25"/>
    <n v="79.97"/>
    <n v="2.58"/>
    <n v="1681.91"/>
    <x v="1"/>
    <x v="0"/>
    <s v="Jacksonville"/>
    <s v="FL"/>
    <s v="United States"/>
  </r>
  <r>
    <x v="16"/>
    <x v="16"/>
    <s v="CUST000735"/>
    <s v="Arjun Kumar"/>
    <s v="Running Shoes"/>
    <x v="1"/>
    <x v="2"/>
    <n v="4"/>
    <n v="453.47"/>
    <n v="0.1"/>
    <n v="0"/>
    <n v="4.3899999999999997"/>
    <n v="1636.88"/>
    <x v="1"/>
    <x v="0"/>
    <s v="Philadelphia"/>
    <s v="PA"/>
    <s v="United States"/>
  </r>
  <r>
    <x v="17"/>
    <x v="17"/>
    <s v="CUST038237"/>
    <s v="Anjali Verma"/>
    <s v="Graphic Tablet"/>
    <x v="3"/>
    <x v="3"/>
    <n v="5"/>
    <n v="547.58000000000004"/>
    <n v="0"/>
    <n v="0"/>
    <n v="10.06"/>
    <n v="2747.96"/>
    <x v="1"/>
    <x v="0"/>
    <s v="Seattle"/>
    <s v="WA"/>
    <s v="United States"/>
  </r>
  <r>
    <x v="18"/>
    <x v="18"/>
    <s v="CUST040211"/>
    <s v="Aditya Mehta"/>
    <s v="Puzzle 1000pc"/>
    <x v="5"/>
    <x v="4"/>
    <n v="5"/>
    <n v="529.19000000000005"/>
    <n v="0"/>
    <n v="317.51"/>
    <n v="4.57"/>
    <n v="2968.03"/>
    <x v="1"/>
    <x v="4"/>
    <s v="Phoenix"/>
    <s v="AZ"/>
    <s v="United States"/>
  </r>
  <r>
    <x v="19"/>
    <x v="19"/>
    <s v="CUST046893"/>
    <s v="Vihaan Patel"/>
    <s v="Microphone"/>
    <x v="4"/>
    <x v="6"/>
    <n v="3"/>
    <n v="303.52999999999997"/>
    <n v="0"/>
    <n v="72.849999999999994"/>
    <n v="4.18"/>
    <n v="987.62"/>
    <x v="4"/>
    <x v="0"/>
    <s v="San Diego"/>
    <s v="CA"/>
    <s v="United States"/>
  </r>
  <r>
    <x v="20"/>
    <x v="20"/>
    <s v="CUST041508"/>
    <s v="Vikas Kapoor"/>
    <s v="Jeans"/>
    <x v="3"/>
    <x v="5"/>
    <n v="1"/>
    <n v="226.26"/>
    <n v="0"/>
    <n v="11.31"/>
    <n v="9.5500000000000007"/>
    <n v="247.12"/>
    <x v="3"/>
    <x v="0"/>
    <s v="Fort Worth"/>
    <s v="TX"/>
    <s v="United States"/>
  </r>
  <r>
    <x v="21"/>
    <x v="21"/>
    <s v="CUST048817"/>
    <s v="Pooja Sharma"/>
    <s v="Smartwatch"/>
    <x v="0"/>
    <x v="4"/>
    <n v="4"/>
    <n v="493.47"/>
    <n v="0"/>
    <n v="98.69"/>
    <n v="11.8"/>
    <n v="2084.37"/>
    <x v="3"/>
    <x v="0"/>
    <s v="Chicago"/>
    <s v="IL"/>
    <s v="Australia"/>
  </r>
  <r>
    <x v="22"/>
    <x v="22"/>
    <s v="CUST048828"/>
    <s v="Simran Reddy"/>
    <s v="Smartphone Case"/>
    <x v="3"/>
    <x v="5"/>
    <n v="5"/>
    <n v="452.12"/>
    <n v="0"/>
    <n v="113.03"/>
    <n v="9.6199999999999992"/>
    <n v="2383.25"/>
    <x v="0"/>
    <x v="0"/>
    <s v="Phoenix"/>
    <s v="AZ"/>
    <s v="Canada"/>
  </r>
  <r>
    <x v="23"/>
    <x v="23"/>
    <s v="CUST033080"/>
    <s v="Vihaan Mehta"/>
    <s v="Backpack"/>
    <x v="5"/>
    <x v="4"/>
    <n v="3"/>
    <n v="107.95"/>
    <n v="0.1"/>
    <n v="0"/>
    <n v="8.2899999999999991"/>
    <n v="299.76"/>
    <x v="5"/>
    <x v="0"/>
    <s v="Dallas"/>
    <s v="TX"/>
    <s v="United States"/>
  </r>
  <r>
    <x v="24"/>
    <x v="24"/>
    <s v="CUST041929"/>
    <s v="Aditya Reddy"/>
    <s v="4K Monitor"/>
    <x v="3"/>
    <x v="3"/>
    <n v="1"/>
    <n v="16.68"/>
    <n v="0.15"/>
    <n v="1.1299999999999999"/>
    <n v="2.39"/>
    <n v="17.7"/>
    <x v="3"/>
    <x v="0"/>
    <s v="Jacksonville"/>
    <s v="FL"/>
    <s v="United States"/>
  </r>
  <r>
    <x v="25"/>
    <x v="25"/>
    <s v="CUST035043"/>
    <s v="Priya Kapoor"/>
    <s v="Dress Shirt"/>
    <x v="2"/>
    <x v="5"/>
    <n v="4"/>
    <n v="380.23"/>
    <n v="0.2"/>
    <n v="60.84"/>
    <n v="9.2799999999999994"/>
    <n v="1286.8599999999999"/>
    <x v="1"/>
    <x v="2"/>
    <s v="Columbus"/>
    <s v="OH"/>
    <s v="Canada"/>
  </r>
  <r>
    <x v="26"/>
    <x v="26"/>
    <s v="CUST043777"/>
    <s v="Vikas Kapoor"/>
    <s v="Smart Light Bulb"/>
    <x v="3"/>
    <x v="1"/>
    <n v="3"/>
    <n v="569.69000000000005"/>
    <n v="0.25"/>
    <n v="153.82"/>
    <n v="14.27"/>
    <n v="1449.89"/>
    <x v="3"/>
    <x v="0"/>
    <s v="San Francisco"/>
    <s v="CA"/>
    <s v="United States"/>
  </r>
  <r>
    <x v="27"/>
    <x v="27"/>
    <s v="CUST037985"/>
    <s v="Rohit Verma"/>
    <s v="LED Desk Lamp"/>
    <x v="0"/>
    <x v="6"/>
    <n v="3"/>
    <n v="138.33000000000001"/>
    <n v="0"/>
    <n v="49.8"/>
    <n v="3.37"/>
    <n v="468.16"/>
    <x v="0"/>
    <x v="0"/>
    <s v="San Antonio"/>
    <s v="TX"/>
    <s v="United Kingdom"/>
  </r>
  <r>
    <x v="28"/>
    <x v="28"/>
    <s v="CUST000721"/>
    <s v="Vivaan Kumar"/>
    <s v="Smart Light Bulb"/>
    <x v="5"/>
    <x v="2"/>
    <n v="3"/>
    <n v="381.45"/>
    <n v="0"/>
    <n v="205.98"/>
    <n v="8.99"/>
    <n v="1359.32"/>
    <x v="3"/>
    <x v="0"/>
    <s v="Denver"/>
    <s v="CO"/>
    <s v="United States"/>
  </r>
  <r>
    <x v="29"/>
    <x v="29"/>
    <s v="CUST008013"/>
    <s v="Priya Verma"/>
    <s v="Phone Tripod"/>
    <x v="3"/>
    <x v="4"/>
    <n v="5"/>
    <n v="199.99"/>
    <n v="0"/>
    <n v="179.99"/>
    <n v="5.19"/>
    <n v="1185.1300000000001"/>
    <x v="4"/>
    <x v="0"/>
    <s v="Phoenix"/>
    <s v="AZ"/>
    <s v="United States"/>
  </r>
  <r>
    <x v="30"/>
    <x v="30"/>
    <s v="CUST018693"/>
    <s v="Sneha Verma"/>
    <s v="Car Charger"/>
    <x v="0"/>
    <x v="5"/>
    <n v="2"/>
    <n v="269.8"/>
    <n v="0"/>
    <n v="97.13"/>
    <n v="1.49"/>
    <n v="638.22"/>
    <x v="0"/>
    <x v="0"/>
    <s v="Charlotte"/>
    <s v="NC"/>
    <s v="United Kingdom"/>
  </r>
  <r>
    <x v="31"/>
    <x v="31"/>
    <s v="CUST044089"/>
    <s v="Sunita Gupta"/>
    <s v="Gaming Mouse"/>
    <x v="4"/>
    <x v="7"/>
    <n v="4"/>
    <n v="126.5"/>
    <n v="0.1"/>
    <n v="22.77"/>
    <n v="7.01"/>
    <n v="485.18"/>
    <x v="3"/>
    <x v="3"/>
    <s v="Houston"/>
    <s v="TX"/>
    <s v="India"/>
  </r>
  <r>
    <x v="32"/>
    <x v="32"/>
    <s v="CUST011946"/>
    <s v="Simran Patel"/>
    <s v="Memory Card 128GB"/>
    <x v="5"/>
    <x v="8"/>
    <n v="2"/>
    <n v="151.94999999999999"/>
    <n v="0.05"/>
    <n v="14.44"/>
    <n v="3.5"/>
    <n v="306.64"/>
    <x v="3"/>
    <x v="0"/>
    <s v="Washington"/>
    <s v="DC"/>
    <s v="United States"/>
  </r>
  <r>
    <x v="33"/>
    <x v="33"/>
    <s v="CUST049225"/>
    <s v="Mohit Patel"/>
    <s v="Car Charger"/>
    <x v="2"/>
    <x v="6"/>
    <n v="1"/>
    <n v="218.74"/>
    <n v="0"/>
    <n v="10.94"/>
    <n v="12.22"/>
    <n v="241.9"/>
    <x v="3"/>
    <x v="0"/>
    <s v="Austin"/>
    <s v="TX"/>
    <s v="United States"/>
  </r>
  <r>
    <x v="34"/>
    <x v="34"/>
    <s v="CUST048518"/>
    <s v="Vikas Kumar"/>
    <s v="Backpack"/>
    <x v="4"/>
    <x v="0"/>
    <n v="5"/>
    <n v="294.8"/>
    <n v="0.1"/>
    <n v="159.19"/>
    <n v="4.08"/>
    <n v="1489.87"/>
    <x v="3"/>
    <x v="3"/>
    <s v="Fort Worth"/>
    <s v="TX"/>
    <s v="United States"/>
  </r>
  <r>
    <x v="35"/>
    <x v="35"/>
    <s v="CUST047957"/>
    <s v="Pooja Verma"/>
    <s v="Puzzle 1000pc"/>
    <x v="0"/>
    <x v="0"/>
    <n v="1"/>
    <n v="357.76"/>
    <n v="0.25"/>
    <n v="0"/>
    <n v="6.76"/>
    <n v="275.08"/>
    <x v="1"/>
    <x v="0"/>
    <s v="Columbus"/>
    <s v="OH"/>
    <s v="United Kingdom"/>
  </r>
  <r>
    <x v="36"/>
    <x v="36"/>
    <s v="CUST043577"/>
    <s v="Kabir Singh"/>
    <s v="Board Game"/>
    <x v="5"/>
    <x v="8"/>
    <n v="5"/>
    <n v="448.89"/>
    <n v="0"/>
    <n v="179.56"/>
    <n v="3.3"/>
    <n v="2427.31"/>
    <x v="3"/>
    <x v="0"/>
    <s v="Phoenix"/>
    <s v="AZ"/>
    <s v="United States"/>
  </r>
  <r>
    <x v="37"/>
    <x v="37"/>
    <s v="CUST029566"/>
    <s v="Sahil Kumar"/>
    <s v="Instant Pot"/>
    <x v="5"/>
    <x v="4"/>
    <n v="4"/>
    <n v="300.89"/>
    <n v="0"/>
    <n v="144.43"/>
    <n v="0.43"/>
    <n v="1348.42"/>
    <x v="3"/>
    <x v="0"/>
    <s v="Fort Worth"/>
    <s v="TX"/>
    <s v="United States"/>
  </r>
  <r>
    <x v="38"/>
    <x v="38"/>
    <s v="CUST004199"/>
    <s v="Mohit Joshi"/>
    <s v="Microphone"/>
    <x v="1"/>
    <x v="7"/>
    <n v="5"/>
    <n v="512.88"/>
    <n v="0.25"/>
    <n v="96.17"/>
    <n v="11.33"/>
    <n v="2030.8"/>
    <x v="1"/>
    <x v="0"/>
    <s v="San Antonio"/>
    <s v="TX"/>
    <s v="United Kingdom"/>
  </r>
  <r>
    <x v="39"/>
    <x v="39"/>
    <s v="CUST042096"/>
    <s v="Sunita Gupta"/>
    <s v="Smartwatch"/>
    <x v="0"/>
    <x v="6"/>
    <n v="2"/>
    <n v="81.819999999999993"/>
    <n v="0.1"/>
    <n v="7.36"/>
    <n v="4.47"/>
    <n v="159.11000000000001"/>
    <x v="3"/>
    <x v="0"/>
    <s v="Jacksonville"/>
    <s v="FL"/>
    <s v="United States"/>
  </r>
  <r>
    <x v="40"/>
    <x v="40"/>
    <s v="CUST017203"/>
    <s v="Sahil Kumar"/>
    <s v="Desk Plant"/>
    <x v="4"/>
    <x v="2"/>
    <n v="3"/>
    <n v="215.9"/>
    <n v="0"/>
    <n v="77.72"/>
    <n v="8.4499999999999993"/>
    <n v="733.87"/>
    <x v="4"/>
    <x v="0"/>
    <s v="Chicago"/>
    <s v="IL"/>
    <s v="United States"/>
  </r>
  <r>
    <x v="41"/>
    <x v="41"/>
    <s v="CUST046853"/>
    <s v="Anjali Sharma"/>
    <s v="Water Bottle"/>
    <x v="0"/>
    <x v="6"/>
    <n v="5"/>
    <n v="574.28"/>
    <n v="0.1"/>
    <n v="129.21"/>
    <n v="2.23"/>
    <n v="2715.7"/>
    <x v="0"/>
    <x v="0"/>
    <s v="San Antonio"/>
    <s v="TX"/>
    <s v="United States"/>
  </r>
  <r>
    <x v="42"/>
    <x v="42"/>
    <s v="CUST020850"/>
    <s v="Sneha Sharma"/>
    <s v="Kids Toy Car"/>
    <x v="1"/>
    <x v="7"/>
    <n v="4"/>
    <n v="109.59"/>
    <n v="0"/>
    <n v="35.07"/>
    <n v="7.59"/>
    <n v="481.02"/>
    <x v="1"/>
    <x v="0"/>
    <s v="San Diego"/>
    <s v="CA"/>
    <s v="India"/>
  </r>
  <r>
    <x v="43"/>
    <x v="43"/>
    <s v="CUST039744"/>
    <s v="Anjali Mehta"/>
    <s v="Running Shoes"/>
    <x v="3"/>
    <x v="6"/>
    <n v="3"/>
    <n v="88.46"/>
    <n v="0.15"/>
    <n v="40.6"/>
    <n v="2.73"/>
    <n v="268.89999999999998"/>
    <x v="3"/>
    <x v="1"/>
    <s v="San Antonio"/>
    <s v="TX"/>
    <s v="United States"/>
  </r>
  <r>
    <x v="44"/>
    <x v="44"/>
    <s v="CUST017434"/>
    <s v="Pooja Verma"/>
    <s v="Desk Plant"/>
    <x v="5"/>
    <x v="5"/>
    <n v="4"/>
    <n v="395.64"/>
    <n v="0.05"/>
    <n v="120.27"/>
    <n v="3.89"/>
    <n v="1627.59"/>
    <x v="0"/>
    <x v="0"/>
    <s v="Houston"/>
    <s v="TX"/>
    <s v="United States"/>
  </r>
  <r>
    <x v="45"/>
    <x v="45"/>
    <s v="CUST045893"/>
    <s v="Rohit Kapoor"/>
    <s v="Portable SSD 1TB"/>
    <x v="3"/>
    <x v="6"/>
    <n v="2"/>
    <n v="449.14"/>
    <n v="0.05"/>
    <n v="0"/>
    <n v="5.62"/>
    <n v="858.99"/>
    <x v="0"/>
    <x v="0"/>
    <s v="New York"/>
    <s v="NY"/>
    <s v="United States"/>
  </r>
  <r>
    <x v="46"/>
    <x v="46"/>
    <s v="CUST033696"/>
    <s v="Anjali Kumar"/>
    <s v="Graphic Tablet"/>
    <x v="5"/>
    <x v="8"/>
    <n v="4"/>
    <n v="121.45"/>
    <n v="0"/>
    <n v="0"/>
    <n v="3.75"/>
    <n v="489.55"/>
    <x v="4"/>
    <x v="0"/>
    <s v="Austin"/>
    <s v="TX"/>
    <s v="United States"/>
  </r>
  <r>
    <x v="47"/>
    <x v="47"/>
    <s v="CUST032008"/>
    <s v="Neha Mehta"/>
    <s v="Dress Shirt"/>
    <x v="3"/>
    <x v="7"/>
    <n v="2"/>
    <n v="140.88999999999999"/>
    <n v="0.05"/>
    <n v="21.42"/>
    <n v="0.48"/>
    <n v="289.58999999999997"/>
    <x v="0"/>
    <x v="0"/>
    <s v="San Diego"/>
    <s v="CA"/>
    <s v="Australia"/>
  </r>
  <r>
    <x v="48"/>
    <x v="48"/>
    <s v="CUST011785"/>
    <s v="Simran Singh"/>
    <s v="Drone Mini"/>
    <x v="0"/>
    <x v="4"/>
    <n v="3"/>
    <n v="249.84"/>
    <n v="0.2"/>
    <n v="47.97"/>
    <n v="3.26"/>
    <n v="650.85"/>
    <x v="0"/>
    <x v="0"/>
    <s v="San Antonio"/>
    <s v="TX"/>
    <s v="Australia"/>
  </r>
  <r>
    <x v="49"/>
    <x v="49"/>
    <s v="CUST001846"/>
    <s v="Pooja Singh"/>
    <s v="Noise Cancelling Headphones"/>
    <x v="0"/>
    <x v="3"/>
    <n v="3"/>
    <n v="482.37"/>
    <n v="0.15"/>
    <n v="61.5"/>
    <n v="8.73"/>
    <n v="1300.27"/>
    <x v="5"/>
    <x v="0"/>
    <s v="San Jose"/>
    <s v="CA"/>
    <s v="India"/>
  </r>
  <r>
    <x v="50"/>
    <x v="48"/>
    <s v="CUST048348"/>
    <s v="Sneha Reddy"/>
    <s v="Memory Card 128GB"/>
    <x v="0"/>
    <x v="7"/>
    <n v="3"/>
    <n v="244.83"/>
    <n v="0.25"/>
    <n v="0"/>
    <n v="8.07"/>
    <n v="558.94000000000005"/>
    <x v="2"/>
    <x v="0"/>
    <s v="San Jose"/>
    <s v="CA"/>
    <s v="Australia"/>
  </r>
  <r>
    <x v="51"/>
    <x v="50"/>
    <s v="CUST027076"/>
    <s v="Sahil Gupta"/>
    <s v="Graphic Tablet"/>
    <x v="5"/>
    <x v="1"/>
    <n v="4"/>
    <n v="353.85"/>
    <n v="0.05"/>
    <n v="67.23"/>
    <n v="6.09"/>
    <n v="1417.95"/>
    <x v="0"/>
    <x v="0"/>
    <s v="Columbus"/>
    <s v="OH"/>
    <s v="United States"/>
  </r>
  <r>
    <x v="52"/>
    <x v="51"/>
    <s v="CUST012995"/>
    <s v="Ritika Mehta"/>
    <s v="Novel Bestseller"/>
    <x v="5"/>
    <x v="9"/>
    <n v="3"/>
    <n v="324.76"/>
    <n v="0.3"/>
    <n v="34.1"/>
    <n v="0.75"/>
    <n v="716.85"/>
    <x v="0"/>
    <x v="3"/>
    <s v="Seattle"/>
    <s v="WA"/>
    <s v="United States"/>
  </r>
  <r>
    <x v="53"/>
    <x v="52"/>
    <s v="CUST030633"/>
    <s v="Ritika Mehta"/>
    <s v="Children's Book"/>
    <x v="4"/>
    <x v="7"/>
    <n v="1"/>
    <n v="491.78"/>
    <n v="0.1"/>
    <n v="53.11"/>
    <n v="5.14"/>
    <n v="500.85"/>
    <x v="1"/>
    <x v="0"/>
    <s v="Charlotte"/>
    <s v="NC"/>
    <s v="India"/>
  </r>
  <r>
    <x v="54"/>
    <x v="53"/>
    <s v="CUST013482"/>
    <s v="Vikas Kumar"/>
    <s v="Power Bank 20000mAh"/>
    <x v="5"/>
    <x v="9"/>
    <n v="4"/>
    <n v="549.22"/>
    <n v="0.05"/>
    <n v="104.35"/>
    <n v="8.2200000000000006"/>
    <n v="2199.61"/>
    <x v="4"/>
    <x v="0"/>
    <s v="Chicago"/>
    <s v="IL"/>
    <s v="United States"/>
  </r>
  <r>
    <x v="55"/>
    <x v="54"/>
    <s v="CUST030091"/>
    <s v="Arjun Reddy"/>
    <s v="Power Bank 20000mAh"/>
    <x v="1"/>
    <x v="5"/>
    <n v="4"/>
    <n v="364.08"/>
    <n v="0.25"/>
    <n v="131.07"/>
    <n v="12.95"/>
    <n v="1236.26"/>
    <x v="3"/>
    <x v="2"/>
    <s v="Chicago"/>
    <s v="IL"/>
    <s v="United States"/>
  </r>
  <r>
    <x v="56"/>
    <x v="55"/>
    <s v="CUST031856"/>
    <s v="Neha Verma"/>
    <s v="Water Bottle"/>
    <x v="4"/>
    <x v="6"/>
    <n v="2"/>
    <n v="509.59"/>
    <n v="0"/>
    <n v="183.45"/>
    <n v="3.79"/>
    <n v="1206.42"/>
    <x v="3"/>
    <x v="3"/>
    <s v="San Jose"/>
    <s v="CA"/>
    <s v="United States"/>
  </r>
  <r>
    <x v="57"/>
    <x v="56"/>
    <s v="CUST040925"/>
    <s v="Vivaan Verma"/>
    <s v="Laptop Sleeve"/>
    <x v="2"/>
    <x v="1"/>
    <n v="5"/>
    <n v="182.55"/>
    <n v="0"/>
    <n v="45.64"/>
    <n v="12.08"/>
    <n v="970.47"/>
    <x v="4"/>
    <x v="0"/>
    <s v="San Diego"/>
    <s v="CA"/>
    <s v="Canada"/>
  </r>
  <r>
    <x v="58"/>
    <x v="57"/>
    <s v="CUST031615"/>
    <s v="Arjun Singh"/>
    <s v="Air Fryer"/>
    <x v="3"/>
    <x v="5"/>
    <n v="3"/>
    <n v="184.7"/>
    <n v="0.3"/>
    <n v="46.54"/>
    <n v="7.98"/>
    <n v="442.39"/>
    <x v="0"/>
    <x v="0"/>
    <s v="Dallas"/>
    <s v="TX"/>
    <s v="United States"/>
  </r>
  <r>
    <x v="59"/>
    <x v="58"/>
    <s v="CUST018312"/>
    <s v="Karan Kapoor"/>
    <s v="Winter Jacket"/>
    <x v="5"/>
    <x v="9"/>
    <n v="2"/>
    <n v="439.8"/>
    <n v="0"/>
    <n v="43.98"/>
    <n v="7.55"/>
    <n v="931.13"/>
    <x v="1"/>
    <x v="0"/>
    <s v="Jacksonville"/>
    <s v="FL"/>
    <s v="India"/>
  </r>
  <r>
    <x v="60"/>
    <x v="59"/>
    <s v="CUST017070"/>
    <s v="Aditya Mehta"/>
    <s v="Router"/>
    <x v="0"/>
    <x v="0"/>
    <n v="4"/>
    <n v="593.02"/>
    <n v="0.05"/>
    <n v="405.63"/>
    <n v="9.18"/>
    <n v="2668.29"/>
    <x v="4"/>
    <x v="3"/>
    <s v="Austin"/>
    <s v="TX"/>
    <s v="India"/>
  </r>
  <r>
    <x v="61"/>
    <x v="60"/>
    <s v="CUST026591"/>
    <s v="Sunita Kapoor"/>
    <s v="Running Shoes"/>
    <x v="1"/>
    <x v="4"/>
    <n v="3"/>
    <n v="131.36000000000001"/>
    <n v="0"/>
    <n v="70.930000000000007"/>
    <n v="7.25"/>
    <n v="472.26"/>
    <x v="4"/>
    <x v="0"/>
    <s v="Charlotte"/>
    <s v="NC"/>
    <s v="Canada"/>
  </r>
  <r>
    <x v="62"/>
    <x v="61"/>
    <s v="CUST006724"/>
    <s v="Simran Reddy"/>
    <s v="USB-C Charger"/>
    <x v="3"/>
    <x v="6"/>
    <n v="3"/>
    <n v="71.260000000000005"/>
    <n v="0.1"/>
    <n v="23.09"/>
    <n v="11.28"/>
    <n v="226.77"/>
    <x v="3"/>
    <x v="4"/>
    <s v="Fort Worth"/>
    <s v="TX"/>
    <s v="United States"/>
  </r>
  <r>
    <x v="63"/>
    <x v="62"/>
    <s v="CUST026258"/>
    <s v="Pooja Reddy"/>
    <s v="Router"/>
    <x v="0"/>
    <x v="8"/>
    <n v="5"/>
    <n v="107.11"/>
    <n v="0.05"/>
    <n v="25.44"/>
    <n v="12.92"/>
    <n v="547.13"/>
    <x v="4"/>
    <x v="0"/>
    <s v="Chicago"/>
    <s v="IL"/>
    <s v="United States"/>
  </r>
  <r>
    <x v="64"/>
    <x v="63"/>
    <s v="CUST000139"/>
    <s v="Aarav Verma"/>
    <s v="Graphic Tablet"/>
    <x v="3"/>
    <x v="2"/>
    <n v="5"/>
    <n v="417.28"/>
    <n v="0.15"/>
    <n v="88.67"/>
    <n v="9.65"/>
    <n v="1871.76"/>
    <x v="1"/>
    <x v="4"/>
    <s v="Los Angeles"/>
    <s v="CA"/>
    <s v="India"/>
  </r>
  <r>
    <x v="65"/>
    <x v="64"/>
    <s v="CUST038107"/>
    <s v="Sahil Gupta"/>
    <s v="Router"/>
    <x v="0"/>
    <x v="7"/>
    <n v="2"/>
    <n v="559.03"/>
    <n v="0.1"/>
    <n v="50.31"/>
    <n v="11.62"/>
    <n v="1068.18"/>
    <x v="1"/>
    <x v="0"/>
    <s v="Indianapolis"/>
    <s v="IN"/>
    <s v="United States"/>
  </r>
  <r>
    <x v="66"/>
    <x v="65"/>
    <s v="CUST015763"/>
    <s v="Anjali Verma"/>
    <s v="Car Charger"/>
    <x v="1"/>
    <x v="0"/>
    <n v="4"/>
    <n v="203.84"/>
    <n v="0.1"/>
    <n v="36.69"/>
    <n v="13.68"/>
    <n v="784.19"/>
    <x v="5"/>
    <x v="0"/>
    <s v="Charlotte"/>
    <s v="NC"/>
    <s v="India"/>
  </r>
  <r>
    <x v="67"/>
    <x v="66"/>
    <s v="CUST041458"/>
    <s v="Priya Mehta"/>
    <s v="4K Monitor"/>
    <x v="2"/>
    <x v="2"/>
    <n v="4"/>
    <n v="129.9"/>
    <n v="0.05"/>
    <n v="59.23"/>
    <n v="9.1300000000000008"/>
    <n v="561.98"/>
    <x v="5"/>
    <x v="0"/>
    <s v="Indianapolis"/>
    <s v="IN"/>
    <s v="United States"/>
  </r>
  <r>
    <x v="68"/>
    <x v="67"/>
    <s v="CUST033817"/>
    <s v="Mohit Joshi"/>
    <s v="Novel Bestseller"/>
    <x v="0"/>
    <x v="9"/>
    <n v="5"/>
    <n v="105.16"/>
    <n v="0"/>
    <n v="26.29"/>
    <n v="13.29"/>
    <n v="565.38"/>
    <x v="4"/>
    <x v="0"/>
    <s v="Columbus"/>
    <s v="OH"/>
    <s v="United States"/>
  </r>
  <r>
    <x v="69"/>
    <x v="68"/>
    <s v="CUST041366"/>
    <s v="Aarav Gupta"/>
    <s v="Webcam Full HD"/>
    <x v="5"/>
    <x v="0"/>
    <n v="1"/>
    <n v="82.79"/>
    <n v="0"/>
    <n v="6.62"/>
    <n v="8.76"/>
    <n v="98.17"/>
    <x v="0"/>
    <x v="0"/>
    <s v="Denver"/>
    <s v="CO"/>
    <s v="United States"/>
  </r>
  <r>
    <x v="70"/>
    <x v="69"/>
    <s v="CUST005372"/>
    <s v="Aman Singh"/>
    <s v="Water Bottle"/>
    <x v="4"/>
    <x v="2"/>
    <n v="4"/>
    <n v="433.7"/>
    <n v="0.15"/>
    <n v="176.95"/>
    <n v="10.58"/>
    <n v="1662.11"/>
    <x v="0"/>
    <x v="0"/>
    <s v="San Jose"/>
    <s v="CA"/>
    <s v="United States"/>
  </r>
  <r>
    <x v="71"/>
    <x v="70"/>
    <s v="CUST018135"/>
    <s v="Aman Verma"/>
    <s v="Fitness Band"/>
    <x v="1"/>
    <x v="2"/>
    <n v="3"/>
    <n v="137.1"/>
    <n v="0"/>
    <n v="32.9"/>
    <n v="12.88"/>
    <n v="457.08"/>
    <x v="1"/>
    <x v="3"/>
    <s v="Jacksonville"/>
    <s v="FL"/>
    <s v="United States"/>
  </r>
  <r>
    <x v="72"/>
    <x v="71"/>
    <s v="CUST043454"/>
    <s v="Priya Reddy"/>
    <s v="Winter Jacket"/>
    <x v="3"/>
    <x v="8"/>
    <n v="5"/>
    <n v="582.66"/>
    <n v="0"/>
    <n v="233.06"/>
    <n v="14.07"/>
    <n v="3160.43"/>
    <x v="4"/>
    <x v="3"/>
    <s v="Dallas"/>
    <s v="TX"/>
    <s v="United States"/>
  </r>
  <r>
    <x v="73"/>
    <x v="72"/>
    <s v="CUST007050"/>
    <s v="Kabir Kumar"/>
    <s v="Graphic Tablet"/>
    <x v="1"/>
    <x v="8"/>
    <n v="2"/>
    <n v="522.55999999999995"/>
    <n v="0"/>
    <n v="83.61"/>
    <n v="0.43"/>
    <n v="1129.1600000000001"/>
    <x v="3"/>
    <x v="3"/>
    <s v="Indianapolis"/>
    <s v="IN"/>
    <s v="United States"/>
  </r>
  <r>
    <x v="74"/>
    <x v="73"/>
    <s v="CUST027444"/>
    <s v="Arjun Patel"/>
    <s v="Smartwatch"/>
    <x v="4"/>
    <x v="9"/>
    <n v="2"/>
    <n v="354.18"/>
    <n v="0.05"/>
    <n v="80.75"/>
    <n v="2.4900000000000002"/>
    <n v="756.18"/>
    <x v="3"/>
    <x v="3"/>
    <s v="Houston"/>
    <s v="TX"/>
    <s v="United States"/>
  </r>
  <r>
    <x v="75"/>
    <x v="29"/>
    <s v="CUST042061"/>
    <s v="Mohit Reddy"/>
    <s v="Smartwatch"/>
    <x v="2"/>
    <x v="8"/>
    <n v="4"/>
    <n v="437.47"/>
    <n v="0"/>
    <n v="314.98"/>
    <n v="8.82"/>
    <n v="2073.6799999999998"/>
    <x v="3"/>
    <x v="3"/>
    <s v="Philadelphia"/>
    <s v="PA"/>
    <s v="Canada"/>
  </r>
  <r>
    <x v="76"/>
    <x v="74"/>
    <s v="CUST016864"/>
    <s v="Aman Sharma"/>
    <s v="Sunglasses"/>
    <x v="3"/>
    <x v="9"/>
    <n v="1"/>
    <n v="392.71"/>
    <n v="0.1"/>
    <n v="42.41"/>
    <n v="7.82"/>
    <n v="403.67"/>
    <x v="0"/>
    <x v="0"/>
    <s v="San Jose"/>
    <s v="CA"/>
    <s v="United States"/>
  </r>
  <r>
    <x v="77"/>
    <x v="75"/>
    <s v="CUST028956"/>
    <s v="Kabir Patel"/>
    <s v="Fitness Band"/>
    <x v="5"/>
    <x v="4"/>
    <n v="1"/>
    <n v="592.91"/>
    <n v="0.05"/>
    <n v="28.16"/>
    <n v="6.83"/>
    <n v="598.25"/>
    <x v="2"/>
    <x v="0"/>
    <s v="Dallas"/>
    <s v="TX"/>
    <s v="United States"/>
  </r>
  <r>
    <x v="78"/>
    <x v="76"/>
    <s v="CUST001710"/>
    <s v="Neha Sharma"/>
    <s v="Portable SSD 1TB"/>
    <x v="1"/>
    <x v="8"/>
    <n v="2"/>
    <n v="76.97"/>
    <n v="0"/>
    <n v="7.7"/>
    <n v="4.91"/>
    <n v="166.55"/>
    <x v="0"/>
    <x v="0"/>
    <s v="Chicago"/>
    <s v="IL"/>
    <s v="Australia"/>
  </r>
  <r>
    <x v="79"/>
    <x v="77"/>
    <s v="CUST023701"/>
    <s v="Vihaan Patel"/>
    <s v="Mechanical Keyboard"/>
    <x v="5"/>
    <x v="8"/>
    <n v="1"/>
    <n v="534.30999999999995"/>
    <n v="0.1"/>
    <n v="57.71"/>
    <n v="14.47"/>
    <n v="553.05999999999995"/>
    <x v="1"/>
    <x v="3"/>
    <s v="San Francisco"/>
    <s v="CA"/>
    <s v="India"/>
  </r>
  <r>
    <x v="80"/>
    <x v="78"/>
    <s v="CUST005263"/>
    <s v="Priya Kumar"/>
    <s v="Smartwatch"/>
    <x v="3"/>
    <x v="0"/>
    <n v="2"/>
    <n v="402.77"/>
    <n v="0.05"/>
    <n v="38.26"/>
    <n v="13.08"/>
    <n v="816.6"/>
    <x v="4"/>
    <x v="0"/>
    <s v="Austin"/>
    <s v="TX"/>
    <s v="India"/>
  </r>
  <r>
    <x v="81"/>
    <x v="79"/>
    <s v="CUST014979"/>
    <s v="Vivaan Kumar"/>
    <s v="Dress Shirt"/>
    <x v="1"/>
    <x v="4"/>
    <n v="3"/>
    <n v="335.1"/>
    <n v="0.1"/>
    <n v="72.38"/>
    <n v="4.24"/>
    <n v="981.39"/>
    <x v="1"/>
    <x v="3"/>
    <s v="Chicago"/>
    <s v="IL"/>
    <s v="United States"/>
  </r>
  <r>
    <x v="82"/>
    <x v="80"/>
    <s v="CUST038225"/>
    <s v="Ritika Verma"/>
    <s v="Air Fryer"/>
    <x v="0"/>
    <x v="1"/>
    <n v="3"/>
    <n v="258.13"/>
    <n v="0.05"/>
    <n v="132.41999999999999"/>
    <n v="7.69"/>
    <n v="875.78"/>
    <x v="4"/>
    <x v="0"/>
    <s v="Austin"/>
    <s v="TX"/>
    <s v="United States"/>
  </r>
  <r>
    <x v="83"/>
    <x v="81"/>
    <s v="CUST028769"/>
    <s v="Aditya Joshi"/>
    <s v="Microphone"/>
    <x v="4"/>
    <x v="3"/>
    <n v="1"/>
    <n v="594.66999999999996"/>
    <n v="0.15"/>
    <n v="40.44"/>
    <n v="7.22"/>
    <n v="553.13"/>
    <x v="0"/>
    <x v="0"/>
    <s v="Fort Worth"/>
    <s v="TX"/>
    <s v="United States"/>
  </r>
  <r>
    <x v="84"/>
    <x v="82"/>
    <s v="CUST049605"/>
    <s v="Aditya Reddy"/>
    <s v="Smart Light Bulb"/>
    <x v="5"/>
    <x v="6"/>
    <n v="4"/>
    <n v="494.13"/>
    <n v="0.05"/>
    <n v="225.32"/>
    <n v="7.18"/>
    <n v="2110.19"/>
    <x v="3"/>
    <x v="0"/>
    <s v="Austin"/>
    <s v="TX"/>
    <s v="United States"/>
  </r>
  <r>
    <x v="85"/>
    <x v="83"/>
    <s v="CUST015624"/>
    <s v="Arjun Singh"/>
    <s v="Electric Kettle"/>
    <x v="4"/>
    <x v="3"/>
    <n v="4"/>
    <n v="15.47"/>
    <n v="0.05"/>
    <n v="10.58"/>
    <n v="3.91"/>
    <n v="73.28"/>
    <x v="3"/>
    <x v="3"/>
    <s v="Houston"/>
    <s v="TX"/>
    <s v="United States"/>
  </r>
  <r>
    <x v="86"/>
    <x v="84"/>
    <s v="CUST026490"/>
    <s v="Neha Reddy"/>
    <s v="Electric Kettle"/>
    <x v="4"/>
    <x v="1"/>
    <n v="4"/>
    <n v="28.59"/>
    <n v="0"/>
    <n v="20.58"/>
    <n v="13.02"/>
    <n v="147.96"/>
    <x v="3"/>
    <x v="0"/>
    <s v="Los Angeles"/>
    <s v="CA"/>
    <s v="United States"/>
  </r>
  <r>
    <x v="87"/>
    <x v="85"/>
    <s v="CUST001370"/>
    <s v="Mohit Gupta"/>
    <s v="Cookware Set"/>
    <x v="5"/>
    <x v="6"/>
    <n v="5"/>
    <n v="456.58"/>
    <n v="0.15"/>
    <n v="155.24"/>
    <n v="7.48"/>
    <n v="2103.1799999999998"/>
    <x v="1"/>
    <x v="0"/>
    <s v="Philadelphia"/>
    <s v="PA"/>
    <s v="Canada"/>
  </r>
  <r>
    <x v="88"/>
    <x v="86"/>
    <s v="CUST043394"/>
    <s v="Aman Kapoor"/>
    <s v="T-Shirt"/>
    <x v="0"/>
    <x v="2"/>
    <n v="3"/>
    <n v="324.31"/>
    <n v="0.2"/>
    <n v="62.27"/>
    <n v="4.63"/>
    <n v="845.24"/>
    <x v="0"/>
    <x v="0"/>
    <s v="Denver"/>
    <s v="CO"/>
    <s v="United States"/>
  </r>
  <r>
    <x v="89"/>
    <x v="87"/>
    <s v="CUST039077"/>
    <s v="Karan Kumar"/>
    <s v="Instant Pot"/>
    <x v="0"/>
    <x v="4"/>
    <n v="5"/>
    <n v="342.26"/>
    <n v="0.2"/>
    <n v="109.52"/>
    <n v="7.29"/>
    <n v="1485.85"/>
    <x v="3"/>
    <x v="2"/>
    <s v="Fort Worth"/>
    <s v="TX"/>
    <s v="United States"/>
  </r>
  <r>
    <x v="90"/>
    <x v="88"/>
    <s v="CUST007564"/>
    <s v="Sahil Kumar"/>
    <s v="Air Fryer"/>
    <x v="2"/>
    <x v="9"/>
    <n v="5"/>
    <n v="201.16"/>
    <n v="0.2"/>
    <n v="64.37"/>
    <n v="9.3800000000000008"/>
    <n v="878.39"/>
    <x v="4"/>
    <x v="0"/>
    <s v="Denver"/>
    <s v="CO"/>
    <s v="United States"/>
  </r>
  <r>
    <x v="91"/>
    <x v="89"/>
    <s v="CUST033299"/>
    <s v="Priya Mehta"/>
    <s v="Phone Tripod"/>
    <x v="4"/>
    <x v="4"/>
    <n v="4"/>
    <n v="555.99"/>
    <n v="0.05"/>
    <n v="253.53"/>
    <n v="1.26"/>
    <n v="2367.5500000000002"/>
    <x v="5"/>
    <x v="1"/>
    <s v="Dallas"/>
    <s v="TX"/>
    <s v="United States"/>
  </r>
  <r>
    <x v="92"/>
    <x v="90"/>
    <s v="CUST039707"/>
    <s v="Vikas Joshi"/>
    <s v="Water Bottle"/>
    <x v="1"/>
    <x v="1"/>
    <n v="5"/>
    <n v="138.56"/>
    <n v="0.2"/>
    <n v="27.71"/>
    <n v="7.71"/>
    <n v="589.66"/>
    <x v="4"/>
    <x v="3"/>
    <s v="San Francisco"/>
    <s v="CA"/>
    <s v="United States"/>
  </r>
  <r>
    <x v="93"/>
    <x v="91"/>
    <s v="CUST043458"/>
    <s v="Aman Joshi"/>
    <s v="Wireless Charger"/>
    <x v="2"/>
    <x v="6"/>
    <n v="4"/>
    <n v="409.78"/>
    <n v="0"/>
    <n v="295.04000000000002"/>
    <n v="14.29"/>
    <n v="1948.45"/>
    <x v="4"/>
    <x v="3"/>
    <s v="Dallas"/>
    <s v="TX"/>
    <s v="United States"/>
  </r>
  <r>
    <x v="94"/>
    <x v="92"/>
    <s v="CUST001552"/>
    <s v="Vihaan Kumar"/>
    <s v="Phone Tripod"/>
    <x v="5"/>
    <x v="3"/>
    <n v="4"/>
    <n v="42.31"/>
    <n v="0.1"/>
    <n v="12.19"/>
    <n v="1.28"/>
    <n v="165.79"/>
    <x v="1"/>
    <x v="0"/>
    <s v="Chicago"/>
    <s v="IL"/>
    <s v="United States"/>
  </r>
  <r>
    <x v="95"/>
    <x v="93"/>
    <s v="CUST039426"/>
    <s v="Sneha Verma"/>
    <s v="HDMI Cable 2m"/>
    <x v="5"/>
    <x v="9"/>
    <n v="1"/>
    <n v="170.88"/>
    <n v="0.2"/>
    <n v="16.399999999999999"/>
    <n v="7.6"/>
    <n v="160.69999999999999"/>
    <x v="3"/>
    <x v="0"/>
    <s v="Charlotte"/>
    <s v="NC"/>
    <s v="United States"/>
  </r>
  <r>
    <x v="96"/>
    <x v="94"/>
    <s v="CUST049557"/>
    <s v="Anjali Sharma"/>
    <s v="Wireless Charger"/>
    <x v="0"/>
    <x v="9"/>
    <n v="3"/>
    <n v="548.16999999999996"/>
    <n v="0.05"/>
    <n v="0"/>
    <n v="2.63"/>
    <n v="1564.91"/>
    <x v="4"/>
    <x v="0"/>
    <s v="Fort Worth"/>
    <s v="TX"/>
    <s v="United States"/>
  </r>
  <r>
    <x v="97"/>
    <x v="95"/>
    <s v="CUST033386"/>
    <s v="Ritika Reddy"/>
    <s v="Smart Light Bulb"/>
    <x v="5"/>
    <x v="8"/>
    <n v="4"/>
    <n v="260.91000000000003"/>
    <n v="0"/>
    <n v="83.49"/>
    <n v="2.86"/>
    <n v="1129.99"/>
    <x v="4"/>
    <x v="4"/>
    <s v="San Francisco"/>
    <s v="CA"/>
    <s v="United States"/>
  </r>
  <r>
    <x v="98"/>
    <x v="96"/>
    <s v="CUST018449"/>
    <s v="Sneha Kapoor"/>
    <s v="Jeans"/>
    <x v="0"/>
    <x v="8"/>
    <n v="5"/>
    <n v="384.56"/>
    <n v="0.15"/>
    <n v="130.75"/>
    <n v="12.62"/>
    <n v="1777.75"/>
    <x v="4"/>
    <x v="0"/>
    <s v="Chicago"/>
    <s v="IL"/>
    <s v="United States"/>
  </r>
  <r>
    <x v="99"/>
    <x v="97"/>
    <s v="CUST012492"/>
    <s v="Sneha Sharma"/>
    <s v="Cookware Set"/>
    <x v="5"/>
    <x v="5"/>
    <n v="1"/>
    <n v="206.2"/>
    <n v="0"/>
    <n v="16.5"/>
    <n v="9.08"/>
    <n v="231.78"/>
    <x v="3"/>
    <x v="0"/>
    <s v="Phoenix"/>
    <s v="AZ"/>
    <s v="India"/>
  </r>
  <r>
    <x v="100"/>
    <x v="98"/>
    <s v="CUST015367"/>
    <s v="Aditya Sharma"/>
    <s v="Vacuum Cleaner"/>
    <x v="4"/>
    <x v="4"/>
    <n v="4"/>
    <n v="369.47"/>
    <n v="0.25"/>
    <n v="199.51"/>
    <n v="4.5599999999999996"/>
    <n v="1312.48"/>
    <x v="3"/>
    <x v="0"/>
    <s v="Philadelphia"/>
    <s v="PA"/>
    <s v="United States"/>
  </r>
  <r>
    <x v="101"/>
    <x v="3"/>
    <s v="CUST009929"/>
    <s v="Sneha Verma"/>
    <s v="Drone Mini"/>
    <x v="0"/>
    <x v="7"/>
    <n v="1"/>
    <n v="29.37"/>
    <n v="0"/>
    <n v="1.47"/>
    <n v="5.45"/>
    <n v="36.29"/>
    <x v="3"/>
    <x v="0"/>
    <s v="New York"/>
    <s v="NY"/>
    <s v="United States"/>
  </r>
  <r>
    <x v="102"/>
    <x v="99"/>
    <s v="CUST030254"/>
    <s v="Vivaan Patel"/>
    <s v="Phone Tripod"/>
    <x v="1"/>
    <x v="5"/>
    <n v="2"/>
    <n v="159.82"/>
    <n v="0.05"/>
    <n v="15.18"/>
    <n v="2.5499999999999998"/>
    <n v="321.39"/>
    <x v="0"/>
    <x v="0"/>
    <s v="San Diego"/>
    <s v="CA"/>
    <s v="United States"/>
  </r>
  <r>
    <x v="103"/>
    <x v="100"/>
    <s v="CUST041994"/>
    <s v="Aditya Reddy"/>
    <s v="Kids Toy Car"/>
    <x v="3"/>
    <x v="8"/>
    <n v="4"/>
    <n v="548.39"/>
    <n v="0"/>
    <n v="109.68"/>
    <n v="12.26"/>
    <n v="2315.5"/>
    <x v="4"/>
    <x v="0"/>
    <s v="Indianapolis"/>
    <s v="IN"/>
    <s v="United States"/>
  </r>
  <r>
    <x v="104"/>
    <x v="101"/>
    <s v="CUST034561"/>
    <s v="Sneha Gupta"/>
    <s v="Puzzle 1000pc"/>
    <x v="5"/>
    <x v="6"/>
    <n v="3"/>
    <n v="99.05"/>
    <n v="0.05"/>
    <n v="33.880000000000003"/>
    <n v="0.71"/>
    <n v="316.88"/>
    <x v="3"/>
    <x v="0"/>
    <s v="Austin"/>
    <s v="TX"/>
    <s v="United States"/>
  </r>
  <r>
    <x v="105"/>
    <x v="102"/>
    <s v="CUST028297"/>
    <s v="Neha Kumar"/>
    <s v="Electric Kettle"/>
    <x v="3"/>
    <x v="0"/>
    <n v="1"/>
    <n v="113.27"/>
    <n v="0.05"/>
    <n v="5.38"/>
    <n v="0.22"/>
    <n v="113.21"/>
    <x v="4"/>
    <x v="0"/>
    <s v="Austin"/>
    <s v="TX"/>
    <s v="United States"/>
  </r>
  <r>
    <x v="106"/>
    <x v="103"/>
    <s v="CUST002237"/>
    <s v="Sahil Singh"/>
    <s v="Smart Light Bulb"/>
    <x v="4"/>
    <x v="1"/>
    <n v="3"/>
    <n v="297.26"/>
    <n v="0.05"/>
    <n v="101.66"/>
    <n v="5.24"/>
    <n v="954.09"/>
    <x v="3"/>
    <x v="2"/>
    <s v="Indianapolis"/>
    <s v="IN"/>
    <s v="United States"/>
  </r>
  <r>
    <x v="107"/>
    <x v="104"/>
    <s v="CUST007600"/>
    <s v="Ritika Kapoor"/>
    <s v="Desk Organizer"/>
    <x v="2"/>
    <x v="6"/>
    <n v="1"/>
    <n v="483.5"/>
    <n v="0"/>
    <n v="38.68"/>
    <n v="4.62"/>
    <n v="526.79999999999995"/>
    <x v="0"/>
    <x v="0"/>
    <s v="Los Angeles"/>
    <s v="CA"/>
    <s v="United States"/>
  </r>
  <r>
    <x v="108"/>
    <x v="105"/>
    <s v="CUST010526"/>
    <s v="Neha Kumar"/>
    <s v="Laptop Sleeve"/>
    <x v="4"/>
    <x v="6"/>
    <n v="3"/>
    <n v="127.42"/>
    <n v="0.15"/>
    <n v="16.25"/>
    <n v="1.88"/>
    <n v="343.05"/>
    <x v="0"/>
    <x v="0"/>
    <s v="Dallas"/>
    <s v="TX"/>
    <s v="United States"/>
  </r>
  <r>
    <x v="109"/>
    <x v="106"/>
    <s v="CUST024904"/>
    <s v="Neha Mehta"/>
    <s v="Cookware Set"/>
    <x v="4"/>
    <x v="6"/>
    <n v="5"/>
    <n v="520.69000000000005"/>
    <n v="0"/>
    <n v="130.16999999999999"/>
    <n v="9.98"/>
    <n v="2743.6"/>
    <x v="5"/>
    <x v="0"/>
    <s v="Phoenix"/>
    <s v="AZ"/>
    <s v="India"/>
  </r>
  <r>
    <x v="110"/>
    <x v="107"/>
    <s v="CUST033463"/>
    <s v="Rohit Verma"/>
    <s v="T-Shirt"/>
    <x v="2"/>
    <x v="0"/>
    <n v="5"/>
    <n v="61.48"/>
    <n v="0"/>
    <n v="55.33"/>
    <n v="2.64"/>
    <n v="365.37"/>
    <x v="1"/>
    <x v="0"/>
    <s v="San Antonio"/>
    <s v="TX"/>
    <s v="United States"/>
  </r>
  <r>
    <x v="111"/>
    <x v="108"/>
    <s v="CUST015883"/>
    <s v="Vihaan Mehta"/>
    <s v="Water Bottle"/>
    <x v="0"/>
    <x v="3"/>
    <n v="5"/>
    <n v="314"/>
    <n v="0"/>
    <n v="282.60000000000002"/>
    <n v="8.14"/>
    <n v="1860.74"/>
    <x v="0"/>
    <x v="0"/>
    <s v="San Francisco"/>
    <s v="CA"/>
    <s v="United States"/>
  </r>
  <r>
    <x v="112"/>
    <x v="109"/>
    <s v="CUST035697"/>
    <s v="Vikas Mehta"/>
    <s v="Yoga Mat"/>
    <x v="4"/>
    <x v="1"/>
    <n v="4"/>
    <n v="189.7"/>
    <n v="0.25"/>
    <n v="28.46"/>
    <n v="13.2"/>
    <n v="610.76"/>
    <x v="1"/>
    <x v="1"/>
    <s v="Austin"/>
    <s v="TX"/>
    <s v="United States"/>
  </r>
  <r>
    <x v="113"/>
    <x v="110"/>
    <s v="CUST010676"/>
    <s v="Karan Joshi"/>
    <s v="Smart Light Bulb"/>
    <x v="2"/>
    <x v="6"/>
    <n v="2"/>
    <n v="103.29"/>
    <n v="0.2"/>
    <n v="0"/>
    <n v="0.55000000000000004"/>
    <n v="165.81"/>
    <x v="1"/>
    <x v="3"/>
    <s v="San Antonio"/>
    <s v="TX"/>
    <s v="United States"/>
  </r>
  <r>
    <x v="114"/>
    <x v="111"/>
    <s v="CUST037855"/>
    <s v="Vivaan Verma"/>
    <s v="Noise Cancelling Headphones"/>
    <x v="1"/>
    <x v="1"/>
    <n v="3"/>
    <n v="167.08"/>
    <n v="0"/>
    <n v="40.1"/>
    <n v="7.29"/>
    <n v="548.63"/>
    <x v="1"/>
    <x v="0"/>
    <s v="Los Angeles"/>
    <s v="CA"/>
    <s v="United States"/>
  </r>
  <r>
    <x v="115"/>
    <x v="112"/>
    <s v="CUST013803"/>
    <s v="Vivaan Mehta"/>
    <s v="Backpack"/>
    <x v="4"/>
    <x v="3"/>
    <n v="4"/>
    <n v="468.57"/>
    <n v="0.25"/>
    <n v="70.290000000000006"/>
    <n v="14.63"/>
    <n v="1490.63"/>
    <x v="0"/>
    <x v="3"/>
    <s v="Los Angeles"/>
    <s v="CA"/>
    <s v="United States"/>
  </r>
  <r>
    <x v="116"/>
    <x v="113"/>
    <s v="CUST041291"/>
    <s v="Anjali Verma"/>
    <s v="Projector Mini"/>
    <x v="2"/>
    <x v="6"/>
    <n v="2"/>
    <n v="25.31"/>
    <n v="0"/>
    <n v="0"/>
    <n v="14.69"/>
    <n v="65.31"/>
    <x v="0"/>
    <x v="3"/>
    <s v="Fort Worth"/>
    <s v="TX"/>
    <s v="United States"/>
  </r>
  <r>
    <x v="117"/>
    <x v="114"/>
    <s v="CUST025351"/>
    <s v="Sneha Kumar"/>
    <s v="Gaming Mouse"/>
    <x v="4"/>
    <x v="3"/>
    <n v="2"/>
    <n v="590.96"/>
    <n v="0.05"/>
    <n v="134.74"/>
    <n v="5.5"/>
    <n v="1263.06"/>
    <x v="3"/>
    <x v="0"/>
    <s v="Denver"/>
    <s v="CO"/>
    <s v="United States"/>
  </r>
  <r>
    <x v="118"/>
    <x v="115"/>
    <s v="CUST023478"/>
    <s v="Rohit Reddy"/>
    <s v="Portable SSD 1TB"/>
    <x v="1"/>
    <x v="7"/>
    <n v="2"/>
    <n v="433.24"/>
    <n v="0.05"/>
    <n v="98.78"/>
    <n v="10.23"/>
    <n v="932.17"/>
    <x v="2"/>
    <x v="3"/>
    <s v="Philadelphia"/>
    <s v="PA"/>
    <s v="United States"/>
  </r>
  <r>
    <x v="119"/>
    <x v="116"/>
    <s v="CUST029783"/>
    <s v="Simran Singh"/>
    <s v="Novel Bestseller"/>
    <x v="0"/>
    <x v="8"/>
    <n v="4"/>
    <n v="187.75"/>
    <n v="0.05"/>
    <n v="128.41999999999999"/>
    <n v="9.52"/>
    <n v="851.39"/>
    <x v="3"/>
    <x v="0"/>
    <s v="San Francisco"/>
    <s v="CA"/>
    <s v="United States"/>
  </r>
  <r>
    <x v="120"/>
    <x v="117"/>
    <s v="CUST001056"/>
    <s v="Karan Singh"/>
    <s v="Electric Kettle"/>
    <x v="3"/>
    <x v="2"/>
    <n v="5"/>
    <n v="230.99"/>
    <n v="0.15"/>
    <n v="117.8"/>
    <n v="10.69"/>
    <n v="1110.2"/>
    <x v="4"/>
    <x v="0"/>
    <s v="Columbus"/>
    <s v="OH"/>
    <s v="United States"/>
  </r>
  <r>
    <x v="121"/>
    <x v="118"/>
    <s v="CUST026942"/>
    <s v="Pooja Joshi"/>
    <s v="4K Monitor"/>
    <x v="4"/>
    <x v="2"/>
    <n v="5"/>
    <n v="246.13"/>
    <n v="0.1"/>
    <n v="0"/>
    <n v="9.69"/>
    <n v="1117.28"/>
    <x v="1"/>
    <x v="3"/>
    <s v="Austin"/>
    <s v="TX"/>
    <s v="Canada"/>
  </r>
  <r>
    <x v="122"/>
    <x v="119"/>
    <s v="CUST027791"/>
    <s v="Sneha Verma"/>
    <s v="Novel Bestseller"/>
    <x v="1"/>
    <x v="4"/>
    <n v="1"/>
    <n v="18.66"/>
    <n v="0"/>
    <n v="0.93"/>
    <n v="5.03"/>
    <n v="24.62"/>
    <x v="1"/>
    <x v="0"/>
    <s v="San Francisco"/>
    <s v="CA"/>
    <s v="United States"/>
  </r>
  <r>
    <x v="123"/>
    <x v="120"/>
    <s v="CUST019410"/>
    <s v="Simran Reddy"/>
    <s v="HDMI Cable 2m"/>
    <x v="2"/>
    <x v="6"/>
    <n v="2"/>
    <n v="48.99"/>
    <n v="0.25"/>
    <n v="3.67"/>
    <n v="1.59"/>
    <n v="78.739999999999995"/>
    <x v="1"/>
    <x v="0"/>
    <s v="San Jose"/>
    <s v="CA"/>
    <s v="United States"/>
  </r>
  <r>
    <x v="124"/>
    <x v="121"/>
    <s v="CUST009308"/>
    <s v="Vihaan Sharma"/>
    <s v="Backpack"/>
    <x v="4"/>
    <x v="6"/>
    <n v="5"/>
    <n v="200.05"/>
    <n v="0.05"/>
    <n v="114.03"/>
    <n v="2.34"/>
    <n v="1066.6099999999999"/>
    <x v="3"/>
    <x v="0"/>
    <s v="Houston"/>
    <s v="TX"/>
    <s v="United Kingdom"/>
  </r>
  <r>
    <x v="125"/>
    <x v="122"/>
    <s v="CUST004285"/>
    <s v="Sahil Sharma"/>
    <s v="4K Monitor"/>
    <x v="5"/>
    <x v="5"/>
    <n v="4"/>
    <n v="149.47"/>
    <n v="0"/>
    <n v="71.75"/>
    <n v="10.48"/>
    <n v="680.11"/>
    <x v="4"/>
    <x v="0"/>
    <s v="Houston"/>
    <s v="TX"/>
    <s v="United States"/>
  </r>
  <r>
    <x v="126"/>
    <x v="123"/>
    <s v="CUST037966"/>
    <s v="Aditya Kumar"/>
    <s v="Winter Jacket"/>
    <x v="4"/>
    <x v="8"/>
    <n v="3"/>
    <n v="460.51"/>
    <n v="0.05"/>
    <n v="157.49"/>
    <n v="3.17"/>
    <n v="1473.11"/>
    <x v="3"/>
    <x v="0"/>
    <s v="Charlotte"/>
    <s v="NC"/>
    <s v="United States"/>
  </r>
  <r>
    <x v="127"/>
    <x v="124"/>
    <s v="CUST025421"/>
    <s v="Mohit Mehta"/>
    <s v="Novel Bestseller"/>
    <x v="1"/>
    <x v="2"/>
    <n v="5"/>
    <n v="141.31"/>
    <n v="0.15"/>
    <n v="72.069999999999993"/>
    <n v="14.56"/>
    <n v="687.2"/>
    <x v="0"/>
    <x v="0"/>
    <s v="Denver"/>
    <s v="CO"/>
    <s v="United States"/>
  </r>
  <r>
    <x v="128"/>
    <x v="125"/>
    <s v="CUST039352"/>
    <s v="Neha Joshi"/>
    <s v="Smartwatch"/>
    <x v="0"/>
    <x v="5"/>
    <n v="3"/>
    <n v="204.15"/>
    <n v="0.1"/>
    <n v="66.14"/>
    <n v="10.09"/>
    <n v="627.44000000000005"/>
    <x v="3"/>
    <x v="0"/>
    <s v="Dallas"/>
    <s v="TX"/>
    <s v="United States"/>
  </r>
  <r>
    <x v="129"/>
    <x v="126"/>
    <s v="CUST032886"/>
    <s v="Rohit Mehta"/>
    <s v="Instant Pot"/>
    <x v="0"/>
    <x v="0"/>
    <n v="4"/>
    <n v="577.36"/>
    <n v="0.2"/>
    <n v="92.38"/>
    <n v="4.08"/>
    <n v="1944.01"/>
    <x v="0"/>
    <x v="0"/>
    <s v="Houston"/>
    <s v="TX"/>
    <s v="United States"/>
  </r>
  <r>
    <x v="130"/>
    <x v="127"/>
    <s v="CUST014360"/>
    <s v="Vivaan Singh"/>
    <s v="Novel Bestseller"/>
    <x v="5"/>
    <x v="4"/>
    <n v="2"/>
    <n v="509.27"/>
    <n v="0"/>
    <n v="0"/>
    <n v="6.71"/>
    <n v="1025.25"/>
    <x v="5"/>
    <x v="3"/>
    <s v="Los Angeles"/>
    <s v="CA"/>
    <s v="United States"/>
  </r>
  <r>
    <x v="131"/>
    <x v="128"/>
    <s v="CUST007708"/>
    <s v="Sunita Sharma"/>
    <s v="Jeans"/>
    <x v="2"/>
    <x v="2"/>
    <n v="3"/>
    <n v="496.12"/>
    <n v="0"/>
    <n v="74.42"/>
    <n v="5.91"/>
    <n v="1568.69"/>
    <x v="5"/>
    <x v="4"/>
    <s v="Charlotte"/>
    <s v="NC"/>
    <s v="Australia"/>
  </r>
  <r>
    <x v="132"/>
    <x v="129"/>
    <s v="CUST013067"/>
    <s v="Sunita Gupta"/>
    <s v="Sunglasses"/>
    <x v="2"/>
    <x v="3"/>
    <n v="3"/>
    <n v="497.74"/>
    <n v="0"/>
    <n v="179.19"/>
    <n v="7.58"/>
    <n v="1679.99"/>
    <x v="3"/>
    <x v="0"/>
    <s v="Seattle"/>
    <s v="WA"/>
    <s v="United States"/>
  </r>
  <r>
    <x v="133"/>
    <x v="130"/>
    <s v="CUST046835"/>
    <s v="Simran Gupta"/>
    <s v="HDMI Cable 2m"/>
    <x v="0"/>
    <x v="1"/>
    <n v="4"/>
    <n v="384.81"/>
    <n v="0"/>
    <n v="184.71"/>
    <n v="13.11"/>
    <n v="1737.06"/>
    <x v="3"/>
    <x v="1"/>
    <s v="San Diego"/>
    <s v="CA"/>
    <s v="United States"/>
  </r>
  <r>
    <x v="134"/>
    <x v="131"/>
    <s v="CUST011228"/>
    <s v="Karan Reddy"/>
    <s v="Smartphone Case"/>
    <x v="3"/>
    <x v="6"/>
    <n v="2"/>
    <n v="321.45999999999998"/>
    <n v="0.1"/>
    <n v="69.44"/>
    <n v="5.41"/>
    <n v="653.48"/>
    <x v="2"/>
    <x v="0"/>
    <s v="Los Angeles"/>
    <s v="CA"/>
    <s v="India"/>
  </r>
  <r>
    <x v="135"/>
    <x v="132"/>
    <s v="CUST046806"/>
    <s v="Neha Singh"/>
    <s v="Action Camera"/>
    <x v="3"/>
    <x v="4"/>
    <n v="5"/>
    <n v="498.26"/>
    <n v="0.05"/>
    <n v="189.34"/>
    <n v="3.64"/>
    <n v="2559.7199999999998"/>
    <x v="4"/>
    <x v="3"/>
    <s v="Washington"/>
    <s v="DC"/>
    <s v="United Kingdom"/>
  </r>
  <r>
    <x v="136"/>
    <x v="133"/>
    <s v="CUST014033"/>
    <s v="Rohit Gupta"/>
    <s v="Children's Book"/>
    <x v="0"/>
    <x v="7"/>
    <n v="5"/>
    <n v="211.88"/>
    <n v="0.1"/>
    <n v="76.28"/>
    <n v="9.75"/>
    <n v="1039.49"/>
    <x v="4"/>
    <x v="0"/>
    <s v="Philadelphia"/>
    <s v="PA"/>
    <s v="United States"/>
  </r>
  <r>
    <x v="137"/>
    <x v="134"/>
    <s v="CUST040569"/>
    <s v="Rohit Sharma"/>
    <s v="Dress Shirt"/>
    <x v="2"/>
    <x v="4"/>
    <n v="2"/>
    <n v="333.88"/>
    <n v="0.05"/>
    <n v="0"/>
    <n v="10.61"/>
    <n v="644.98"/>
    <x v="3"/>
    <x v="3"/>
    <s v="Jacksonville"/>
    <s v="FL"/>
    <s v="India"/>
  </r>
  <r>
    <x v="138"/>
    <x v="135"/>
    <s v="CUST041172"/>
    <s v="Ritika Reddy"/>
    <s v="Instant Pot"/>
    <x v="5"/>
    <x v="6"/>
    <n v="2"/>
    <n v="522.65"/>
    <n v="0.05"/>
    <n v="79.44"/>
    <n v="13.86"/>
    <n v="1086.33"/>
    <x v="3"/>
    <x v="0"/>
    <s v="Fort Worth"/>
    <s v="TX"/>
    <s v="United States"/>
  </r>
  <r>
    <x v="139"/>
    <x v="136"/>
    <s v="CUST001601"/>
    <s v="Vivaan Patel"/>
    <s v="Laptop Sleeve"/>
    <x v="3"/>
    <x v="1"/>
    <n v="4"/>
    <n v="67.78"/>
    <n v="0.05"/>
    <n v="20.61"/>
    <n v="11.17"/>
    <n v="289.33999999999997"/>
    <x v="2"/>
    <x v="0"/>
    <s v="Columbus"/>
    <s v="OH"/>
    <s v="United States"/>
  </r>
  <r>
    <x v="140"/>
    <x v="137"/>
    <s v="CUST046508"/>
    <s v="Vivaan Sharma"/>
    <s v="Board Game"/>
    <x v="0"/>
    <x v="2"/>
    <n v="5"/>
    <n v="22.67"/>
    <n v="0"/>
    <n v="0"/>
    <n v="13.16"/>
    <n v="126.51"/>
    <x v="0"/>
    <x v="0"/>
    <s v="Seattle"/>
    <s v="WA"/>
    <s v="United States"/>
  </r>
  <r>
    <x v="141"/>
    <x v="138"/>
    <s v="CUST027712"/>
    <s v="Ritika Joshi"/>
    <s v="Electric Kettle"/>
    <x v="1"/>
    <x v="1"/>
    <n v="5"/>
    <n v="544.52"/>
    <n v="0.25"/>
    <n v="245.03"/>
    <n v="2.79"/>
    <n v="2289.77"/>
    <x v="2"/>
    <x v="2"/>
    <s v="San Antonio"/>
    <s v="TX"/>
    <s v="United States"/>
  </r>
  <r>
    <x v="142"/>
    <x v="139"/>
    <s v="CUST029705"/>
    <s v="Aman Reddy"/>
    <s v="Car Charger"/>
    <x v="5"/>
    <x v="8"/>
    <n v="1"/>
    <n v="431.01"/>
    <n v="0"/>
    <n v="0"/>
    <n v="2.23"/>
    <n v="433.24"/>
    <x v="1"/>
    <x v="3"/>
    <s v="Houston"/>
    <s v="TX"/>
    <s v="United States"/>
  </r>
  <r>
    <x v="143"/>
    <x v="140"/>
    <s v="CUST008224"/>
    <s v="Mohit Sharma"/>
    <s v="Children's Book"/>
    <x v="0"/>
    <x v="9"/>
    <n v="3"/>
    <n v="346.56"/>
    <n v="0.15"/>
    <n v="44.19"/>
    <n v="1.85"/>
    <n v="929.77"/>
    <x v="3"/>
    <x v="0"/>
    <s v="Philadelphia"/>
    <s v="PA"/>
    <s v="United States"/>
  </r>
  <r>
    <x v="144"/>
    <x v="141"/>
    <s v="CUST046362"/>
    <s v="Aman Verma"/>
    <s v="Graphic Tablet"/>
    <x v="0"/>
    <x v="0"/>
    <n v="1"/>
    <n v="87.79"/>
    <n v="0"/>
    <n v="15.8"/>
    <n v="10.92"/>
    <n v="114.51"/>
    <x v="3"/>
    <x v="0"/>
    <s v="New York"/>
    <s v="NY"/>
    <s v="United Kingdom"/>
  </r>
  <r>
    <x v="145"/>
    <x v="142"/>
    <s v="CUST005950"/>
    <s v="Mohit Verma"/>
    <s v="Instant Pot"/>
    <x v="1"/>
    <x v="6"/>
    <n v="4"/>
    <n v="596.79999999999995"/>
    <n v="0.05"/>
    <n v="272.14"/>
    <n v="2.1"/>
    <n v="2542.08"/>
    <x v="3"/>
    <x v="0"/>
    <s v="Washington"/>
    <s v="DC"/>
    <s v="India"/>
  </r>
  <r>
    <x v="146"/>
    <x v="143"/>
    <s v="CUST037485"/>
    <s v="Kabir Verma"/>
    <s v="Instant Pot"/>
    <x v="5"/>
    <x v="3"/>
    <n v="1"/>
    <n v="194.17"/>
    <n v="0"/>
    <n v="9.7100000000000009"/>
    <n v="5.33"/>
    <n v="209.21"/>
    <x v="3"/>
    <x v="0"/>
    <s v="San Francisco"/>
    <s v="CA"/>
    <s v="India"/>
  </r>
  <r>
    <x v="147"/>
    <x v="144"/>
    <s v="CUST027818"/>
    <s v="Sneha Mehta"/>
    <s v="Winter Jacket"/>
    <x v="2"/>
    <x v="8"/>
    <n v="2"/>
    <n v="42.52"/>
    <n v="0.05"/>
    <n v="4.04"/>
    <n v="11.11"/>
    <n v="95.94"/>
    <x v="3"/>
    <x v="0"/>
    <s v="Chicago"/>
    <s v="IL"/>
    <s v="United States"/>
  </r>
  <r>
    <x v="148"/>
    <x v="145"/>
    <s v="CUST048304"/>
    <s v="Vihaan Kapoor"/>
    <s v="Board Game"/>
    <x v="3"/>
    <x v="5"/>
    <n v="3"/>
    <n v="262.02"/>
    <n v="0.15"/>
    <n v="120.27"/>
    <n v="7.09"/>
    <n v="795.51"/>
    <x v="3"/>
    <x v="4"/>
    <s v="Chicago"/>
    <s v="IL"/>
    <s v="United States"/>
  </r>
  <r>
    <x v="149"/>
    <x v="146"/>
    <s v="CUST033670"/>
    <s v="Sneha Kapoor"/>
    <s v="Portable SSD 1TB"/>
    <x v="3"/>
    <x v="9"/>
    <n v="3"/>
    <n v="43.8"/>
    <n v="0"/>
    <n v="10.51"/>
    <n v="6.23"/>
    <n v="148.13999999999999"/>
    <x v="2"/>
    <x v="3"/>
    <s v="Columbus"/>
    <s v="OH"/>
    <s v="United States"/>
  </r>
  <r>
    <x v="150"/>
    <x v="147"/>
    <s v="CUST038774"/>
    <s v="Kabir Sharma"/>
    <s v="Instant Pot"/>
    <x v="2"/>
    <x v="4"/>
    <n v="4"/>
    <n v="306.01"/>
    <n v="0.3"/>
    <n v="42.84"/>
    <n v="9.24"/>
    <n v="908.91"/>
    <x v="0"/>
    <x v="0"/>
    <s v="Austin"/>
    <s v="TX"/>
    <s v="United Kingdom"/>
  </r>
  <r>
    <x v="151"/>
    <x v="148"/>
    <s v="CUST026880"/>
    <s v="Kabir Verma"/>
    <s v="T-Shirt"/>
    <x v="4"/>
    <x v="2"/>
    <n v="4"/>
    <n v="251.6"/>
    <n v="0.1"/>
    <n v="108.69"/>
    <n v="13.75"/>
    <n v="1028.2"/>
    <x v="5"/>
    <x v="0"/>
    <s v="New York"/>
    <s v="NY"/>
    <s v="United Kingdom"/>
  </r>
  <r>
    <x v="152"/>
    <x v="149"/>
    <s v="CUST044830"/>
    <s v="Karan Kapoor"/>
    <s v="Smartphone Case"/>
    <x v="5"/>
    <x v="4"/>
    <n v="3"/>
    <n v="431.79"/>
    <n v="0"/>
    <n v="64.77"/>
    <n v="11.24"/>
    <n v="1371.38"/>
    <x v="3"/>
    <x v="0"/>
    <s v="Columbus"/>
    <s v="OH"/>
    <s v="United States"/>
  </r>
  <r>
    <x v="153"/>
    <x v="150"/>
    <s v="CUST040087"/>
    <s v="Ritika Reddy"/>
    <s v="Cookware Set"/>
    <x v="0"/>
    <x v="5"/>
    <n v="4"/>
    <n v="291.13"/>
    <n v="0.15"/>
    <n v="49.49"/>
    <n v="2.52"/>
    <n v="1041.8499999999999"/>
    <x v="0"/>
    <x v="0"/>
    <s v="Phoenix"/>
    <s v="AZ"/>
    <s v="United Kingdom"/>
  </r>
  <r>
    <x v="154"/>
    <x v="151"/>
    <s v="CUST026727"/>
    <s v="Anjali Gupta"/>
    <s v="Running Shoes"/>
    <x v="2"/>
    <x v="5"/>
    <n v="3"/>
    <n v="414.46"/>
    <n v="0.25"/>
    <n v="111.9"/>
    <n v="4.6900000000000004"/>
    <n v="1049.1199999999999"/>
    <x v="1"/>
    <x v="0"/>
    <s v="Philadelphia"/>
    <s v="PA"/>
    <s v="United States"/>
  </r>
  <r>
    <x v="155"/>
    <x v="152"/>
    <s v="CUST011225"/>
    <s v="Rohit Patel"/>
    <s v="Sunglasses"/>
    <x v="5"/>
    <x v="0"/>
    <n v="3"/>
    <n v="180.87"/>
    <n v="0"/>
    <n v="27.13"/>
    <n v="2.04"/>
    <n v="571.78"/>
    <x v="0"/>
    <x v="0"/>
    <s v="Seattle"/>
    <s v="WA"/>
    <s v="United States"/>
  </r>
  <r>
    <x v="156"/>
    <x v="153"/>
    <s v="CUST031885"/>
    <s v="Sneha Gupta"/>
    <s v="Memory Card 128GB"/>
    <x v="4"/>
    <x v="9"/>
    <n v="5"/>
    <n v="104.18"/>
    <n v="0.1"/>
    <n v="0"/>
    <n v="8.69"/>
    <n v="477.5"/>
    <x v="3"/>
    <x v="3"/>
    <s v="Phoenix"/>
    <s v="AZ"/>
    <s v="United Kingdom"/>
  </r>
  <r>
    <x v="157"/>
    <x v="154"/>
    <s v="CUST016025"/>
    <s v="Sunita Singh"/>
    <s v="Phone Tripod"/>
    <x v="0"/>
    <x v="9"/>
    <n v="2"/>
    <n v="400.69"/>
    <n v="0.1"/>
    <n v="57.7"/>
    <n v="10.68"/>
    <n v="789.62"/>
    <x v="3"/>
    <x v="2"/>
    <s v="Houston"/>
    <s v="TX"/>
    <s v="Canada"/>
  </r>
  <r>
    <x v="158"/>
    <x v="155"/>
    <s v="CUST036113"/>
    <s v="Priya Joshi"/>
    <s v="Mechanical Keyboard"/>
    <x v="1"/>
    <x v="7"/>
    <n v="3"/>
    <n v="479.99"/>
    <n v="0.25"/>
    <n v="129.6"/>
    <n v="8.69"/>
    <n v="1218.27"/>
    <x v="4"/>
    <x v="0"/>
    <s v="Austin"/>
    <s v="TX"/>
    <s v="United States"/>
  </r>
  <r>
    <x v="159"/>
    <x v="156"/>
    <s v="CUST043628"/>
    <s v="Anjali Verma"/>
    <s v="4K Monitor"/>
    <x v="4"/>
    <x v="8"/>
    <n v="1"/>
    <n v="247.54"/>
    <n v="0.05"/>
    <n v="28.22"/>
    <n v="2.0699999999999998"/>
    <n v="265.45"/>
    <x v="1"/>
    <x v="0"/>
    <s v="Chicago"/>
    <s v="IL"/>
    <s v="United States"/>
  </r>
  <r>
    <x v="160"/>
    <x v="157"/>
    <s v="CUST020507"/>
    <s v="Aarav Joshi"/>
    <s v="Sunglasses"/>
    <x v="3"/>
    <x v="7"/>
    <n v="3"/>
    <n v="14.51"/>
    <n v="0.05"/>
    <n v="4.96"/>
    <n v="0.82"/>
    <n v="47.13"/>
    <x v="3"/>
    <x v="0"/>
    <s v="Seattle"/>
    <s v="WA"/>
    <s v="United States"/>
  </r>
  <r>
    <x v="161"/>
    <x v="158"/>
    <s v="CUST012422"/>
    <s v="Kabir Kapoor"/>
    <s v="Vacuum Cleaner"/>
    <x v="5"/>
    <x v="9"/>
    <n v="5"/>
    <n v="216.33"/>
    <n v="0.2"/>
    <n v="0"/>
    <n v="9.73"/>
    <n v="875.05"/>
    <x v="3"/>
    <x v="0"/>
    <s v="San Antonio"/>
    <s v="TX"/>
    <s v="United States"/>
  </r>
  <r>
    <x v="162"/>
    <x v="159"/>
    <s v="CUST009807"/>
    <s v="Vihaan Verma"/>
    <s v="Graphic Tablet"/>
    <x v="1"/>
    <x v="4"/>
    <n v="3"/>
    <n v="38.53"/>
    <n v="0"/>
    <n v="5.78"/>
    <n v="8.4"/>
    <n v="129.77000000000001"/>
    <x v="0"/>
    <x v="0"/>
    <s v="San Antonio"/>
    <s v="TX"/>
    <s v="United States"/>
  </r>
  <r>
    <x v="163"/>
    <x v="100"/>
    <s v="CUST048496"/>
    <s v="Sahil Kumar"/>
    <s v="Air Fryer"/>
    <x v="5"/>
    <x v="9"/>
    <n v="3"/>
    <n v="465.66"/>
    <n v="0.1"/>
    <n v="62.86"/>
    <n v="0.89"/>
    <n v="1321.03"/>
    <x v="1"/>
    <x v="4"/>
    <s v="Dallas"/>
    <s v="TX"/>
    <s v="United States"/>
  </r>
  <r>
    <x v="164"/>
    <x v="160"/>
    <s v="CUST029400"/>
    <s v="Aman Gupta"/>
    <s v="Instant Pot"/>
    <x v="5"/>
    <x v="0"/>
    <n v="5"/>
    <n v="35.270000000000003"/>
    <n v="0"/>
    <n v="21.16"/>
    <n v="12.99"/>
    <n v="210.5"/>
    <x v="0"/>
    <x v="0"/>
    <s v="Philadelphia"/>
    <s v="PA"/>
    <s v="United States"/>
  </r>
  <r>
    <x v="165"/>
    <x v="161"/>
    <s v="CUST004811"/>
    <s v="Arjun Patel"/>
    <s v="External HDD 2TB"/>
    <x v="1"/>
    <x v="1"/>
    <n v="2"/>
    <n v="82.5"/>
    <n v="0.05"/>
    <n v="18.809999999999999"/>
    <n v="13.79"/>
    <n v="189.35"/>
    <x v="3"/>
    <x v="0"/>
    <s v="San Francisco"/>
    <s v="CA"/>
    <s v="United States"/>
  </r>
  <r>
    <x v="166"/>
    <x v="162"/>
    <s v="CUST008669"/>
    <s v="Aditya Kumar"/>
    <s v="Desk Plant"/>
    <x v="1"/>
    <x v="3"/>
    <n v="4"/>
    <n v="298.95999999999998"/>
    <n v="0.1"/>
    <n v="86.1"/>
    <n v="3.63"/>
    <n v="1165.99"/>
    <x v="1"/>
    <x v="0"/>
    <s v="Jacksonville"/>
    <s v="FL"/>
    <s v="United States"/>
  </r>
  <r>
    <x v="167"/>
    <x v="163"/>
    <s v="CUST035784"/>
    <s v="Vikas Gupta"/>
    <s v="Instant Pot"/>
    <x v="3"/>
    <x v="9"/>
    <n v="5"/>
    <n v="232.62"/>
    <n v="0.05"/>
    <n v="88.4"/>
    <n v="9.35"/>
    <n v="1202.7"/>
    <x v="3"/>
    <x v="3"/>
    <s v="Austin"/>
    <s v="TX"/>
    <s v="United States"/>
  </r>
  <r>
    <x v="168"/>
    <x v="148"/>
    <s v="CUST027512"/>
    <s v="Mohit Joshi"/>
    <s v="Fitness Band"/>
    <x v="0"/>
    <x v="5"/>
    <n v="4"/>
    <n v="493.2"/>
    <n v="0.2"/>
    <n v="189.39"/>
    <n v="3.74"/>
    <n v="1771.37"/>
    <x v="5"/>
    <x v="0"/>
    <s v="Dallas"/>
    <s v="TX"/>
    <s v="Canada"/>
  </r>
  <r>
    <x v="169"/>
    <x v="164"/>
    <s v="CUST023754"/>
    <s v="Sahil Gupta"/>
    <s v="HDMI Cable 2m"/>
    <x v="2"/>
    <x v="0"/>
    <n v="4"/>
    <n v="497.42"/>
    <n v="0.05"/>
    <n v="226.82"/>
    <n v="12.34"/>
    <n v="2129.36"/>
    <x v="0"/>
    <x v="0"/>
    <s v="Jacksonville"/>
    <s v="FL"/>
    <s v="Canada"/>
  </r>
  <r>
    <x v="170"/>
    <x v="165"/>
    <s v="CUST011579"/>
    <s v="Kabir Reddy"/>
    <s v="Novel Bestseller"/>
    <x v="2"/>
    <x v="3"/>
    <n v="1"/>
    <n v="154.24"/>
    <n v="0.05"/>
    <n v="17.579999999999998"/>
    <n v="9.86"/>
    <n v="173.97"/>
    <x v="4"/>
    <x v="0"/>
    <s v="Denver"/>
    <s v="CO"/>
    <s v="United States"/>
  </r>
  <r>
    <x v="171"/>
    <x v="166"/>
    <s v="CUST003082"/>
    <s v="Aarav Reddy"/>
    <s v="Yoga Mat"/>
    <x v="4"/>
    <x v="1"/>
    <n v="3"/>
    <n v="497.52"/>
    <n v="0.15"/>
    <n v="228.36"/>
    <n v="0.91"/>
    <n v="1497.95"/>
    <x v="3"/>
    <x v="0"/>
    <s v="Austin"/>
    <s v="TX"/>
    <s v="United States"/>
  </r>
  <r>
    <x v="172"/>
    <x v="167"/>
    <s v="CUST040193"/>
    <s v="Priya Verma"/>
    <s v="Running Shoes"/>
    <x v="0"/>
    <x v="1"/>
    <n v="4"/>
    <n v="64.53"/>
    <n v="0"/>
    <n v="0"/>
    <n v="13.67"/>
    <n v="271.79000000000002"/>
    <x v="1"/>
    <x v="0"/>
    <s v="New York"/>
    <s v="NY"/>
    <s v="United States"/>
  </r>
  <r>
    <x v="173"/>
    <x v="168"/>
    <s v="CUST014061"/>
    <s v="Arjun Gupta"/>
    <s v="Office Chair"/>
    <x v="5"/>
    <x v="7"/>
    <n v="4"/>
    <n v="331.21"/>
    <n v="0"/>
    <n v="66.239999999999995"/>
    <n v="5.9"/>
    <n v="1396.98"/>
    <x v="5"/>
    <x v="0"/>
    <s v="San Jose"/>
    <s v="CA"/>
    <s v="United States"/>
  </r>
  <r>
    <x v="174"/>
    <x v="169"/>
    <s v="CUST028212"/>
    <s v="Vihaan Verma"/>
    <s v="Instant Pot"/>
    <x v="2"/>
    <x v="9"/>
    <n v="4"/>
    <n v="155.87"/>
    <n v="0.1"/>
    <n v="28.06"/>
    <n v="7.79"/>
    <n v="596.98"/>
    <x v="3"/>
    <x v="0"/>
    <s v="Los Angeles"/>
    <s v="CA"/>
    <s v="United States"/>
  </r>
  <r>
    <x v="175"/>
    <x v="170"/>
    <s v="CUST010967"/>
    <s v="Sahil Singh"/>
    <s v="USB-C Charger"/>
    <x v="2"/>
    <x v="8"/>
    <n v="1"/>
    <n v="598.75"/>
    <n v="0.1"/>
    <n v="26.94"/>
    <n v="3.35"/>
    <n v="569.16999999999996"/>
    <x v="3"/>
    <x v="4"/>
    <s v="Denver"/>
    <s v="CO"/>
    <s v="United Kingdom"/>
  </r>
  <r>
    <x v="176"/>
    <x v="171"/>
    <s v="CUST022674"/>
    <s v="Pooja Gupta"/>
    <s v="Smart Light Bulb"/>
    <x v="5"/>
    <x v="6"/>
    <n v="5"/>
    <n v="489.41"/>
    <n v="0.05"/>
    <n v="278.95999999999998"/>
    <n v="7.24"/>
    <n v="2610.9"/>
    <x v="1"/>
    <x v="0"/>
    <s v="Chicago"/>
    <s v="IL"/>
    <s v="United States"/>
  </r>
  <r>
    <x v="177"/>
    <x v="172"/>
    <s v="CUST048983"/>
    <s v="Kabir Kumar"/>
    <s v="Gaming Mouse"/>
    <x v="3"/>
    <x v="2"/>
    <n v="4"/>
    <n v="131.22"/>
    <n v="0.1"/>
    <n v="0"/>
    <n v="14.12"/>
    <n v="486.51"/>
    <x v="0"/>
    <x v="0"/>
    <s v="Charlotte"/>
    <s v="NC"/>
    <s v="India"/>
  </r>
  <r>
    <x v="178"/>
    <x v="173"/>
    <s v="CUST016133"/>
    <s v="Anjali Kumar"/>
    <s v="Drone Mini"/>
    <x v="3"/>
    <x v="6"/>
    <n v="2"/>
    <n v="176.38"/>
    <n v="0.05"/>
    <n v="26.81"/>
    <n v="11.05"/>
    <n v="372.98"/>
    <x v="5"/>
    <x v="0"/>
    <s v="Los Angeles"/>
    <s v="CA"/>
    <s v="United States"/>
  </r>
  <r>
    <x v="179"/>
    <x v="174"/>
    <s v="CUST044928"/>
    <s v="Pooja Reddy"/>
    <s v="Wireless Earbuds"/>
    <x v="4"/>
    <x v="8"/>
    <n v="1"/>
    <n v="418.7"/>
    <n v="0.3"/>
    <n v="23.45"/>
    <n v="4.4800000000000004"/>
    <n v="321.02"/>
    <x v="4"/>
    <x v="0"/>
    <s v="Jacksonville"/>
    <s v="FL"/>
    <s v="United States"/>
  </r>
  <r>
    <x v="180"/>
    <x v="175"/>
    <s v="CUST024560"/>
    <s v="Neha Gupta"/>
    <s v="Smartwatch"/>
    <x v="1"/>
    <x v="4"/>
    <n v="2"/>
    <n v="531.4"/>
    <n v="0"/>
    <n v="127.54"/>
    <n v="4.49"/>
    <n v="1194.83"/>
    <x v="2"/>
    <x v="0"/>
    <s v="Dallas"/>
    <s v="TX"/>
    <s v="United States"/>
  </r>
  <r>
    <x v="181"/>
    <x v="176"/>
    <s v="CUST019814"/>
    <s v="Vivaan Verma"/>
    <s v="Novel Bestseller"/>
    <x v="0"/>
    <x v="8"/>
    <n v="5"/>
    <n v="341.7"/>
    <n v="0.1"/>
    <n v="276.77999999999997"/>
    <n v="1.7"/>
    <n v="1816.13"/>
    <x v="1"/>
    <x v="0"/>
    <s v="New York"/>
    <s v="NY"/>
    <s v="United States"/>
  </r>
  <r>
    <x v="182"/>
    <x v="177"/>
    <s v="CUST015222"/>
    <s v="Karan Gupta"/>
    <s v="Air Fryer"/>
    <x v="5"/>
    <x v="4"/>
    <n v="2"/>
    <n v="375.82"/>
    <n v="0.05"/>
    <n v="35.700000000000003"/>
    <n v="13.55"/>
    <n v="763.31"/>
    <x v="1"/>
    <x v="4"/>
    <s v="Houston"/>
    <s v="TX"/>
    <s v="Australia"/>
  </r>
  <r>
    <x v="183"/>
    <x v="178"/>
    <s v="CUST015733"/>
    <s v="Vivaan Sharma"/>
    <s v="Running Shoes"/>
    <x v="1"/>
    <x v="7"/>
    <n v="3"/>
    <n v="99.26"/>
    <n v="0"/>
    <n v="23.82"/>
    <n v="5.19"/>
    <n v="326.79000000000002"/>
    <x v="4"/>
    <x v="3"/>
    <s v="Fort Worth"/>
    <s v="TX"/>
    <s v="United States"/>
  </r>
  <r>
    <x v="184"/>
    <x v="179"/>
    <s v="CUST023655"/>
    <s v="Anjali Singh"/>
    <s v="Sunglasses"/>
    <x v="1"/>
    <x v="2"/>
    <n v="2"/>
    <n v="572.09"/>
    <n v="0"/>
    <n v="91.53"/>
    <n v="2.64"/>
    <n v="1238.3499999999999"/>
    <x v="3"/>
    <x v="3"/>
    <s v="Chicago"/>
    <s v="IL"/>
    <s v="United States"/>
  </r>
  <r>
    <x v="185"/>
    <x v="180"/>
    <s v="CUST021204"/>
    <s v="Pooja Singh"/>
    <s v="Projector Mini"/>
    <x v="3"/>
    <x v="1"/>
    <n v="2"/>
    <n v="495.32"/>
    <n v="0"/>
    <n v="49.53"/>
    <n v="10.01"/>
    <n v="1050.18"/>
    <x v="3"/>
    <x v="2"/>
    <s v="Phoenix"/>
    <s v="AZ"/>
    <s v="United States"/>
  </r>
  <r>
    <x v="186"/>
    <x v="181"/>
    <s v="CUST016221"/>
    <s v="Simran Reddy"/>
    <s v="Children's Book"/>
    <x v="4"/>
    <x v="2"/>
    <n v="2"/>
    <n v="190.82"/>
    <n v="0.2"/>
    <n v="15.27"/>
    <n v="7.58"/>
    <n v="328.16"/>
    <x v="0"/>
    <x v="0"/>
    <s v="San Diego"/>
    <s v="CA"/>
    <s v="Canada"/>
  </r>
  <r>
    <x v="187"/>
    <x v="182"/>
    <s v="CUST036912"/>
    <s v="Karan Reddy"/>
    <s v="USB-C Charger"/>
    <x v="1"/>
    <x v="0"/>
    <n v="1"/>
    <n v="50.92"/>
    <n v="0.2"/>
    <n v="3.26"/>
    <n v="1.3"/>
    <n v="45.3"/>
    <x v="5"/>
    <x v="0"/>
    <s v="Philadelphia"/>
    <s v="PA"/>
    <s v="United States"/>
  </r>
  <r>
    <x v="188"/>
    <x v="183"/>
    <s v="CUST043111"/>
    <s v="Aarav Verma"/>
    <s v="Puzzle 1000pc"/>
    <x v="3"/>
    <x v="7"/>
    <n v="5"/>
    <n v="129.25"/>
    <n v="0.15"/>
    <n v="43.94"/>
    <n v="6.24"/>
    <n v="599.49"/>
    <x v="3"/>
    <x v="3"/>
    <s v="Charlotte"/>
    <s v="NC"/>
    <s v="United States"/>
  </r>
  <r>
    <x v="189"/>
    <x v="184"/>
    <s v="CUST034016"/>
    <s v="Aditya Singh"/>
    <s v="Car Charger"/>
    <x v="4"/>
    <x v="2"/>
    <n v="3"/>
    <n v="416.84"/>
    <n v="0.15"/>
    <n v="85.04"/>
    <n v="14.4"/>
    <n v="1162.3800000000001"/>
    <x v="0"/>
    <x v="0"/>
    <s v="Phoenix"/>
    <s v="AZ"/>
    <s v="United States"/>
  </r>
  <r>
    <x v="190"/>
    <x v="138"/>
    <s v="CUST040748"/>
    <s v="Sahil Sharma"/>
    <s v="Dress Shirt"/>
    <x v="4"/>
    <x v="3"/>
    <n v="5"/>
    <n v="319.27999999999997"/>
    <n v="0.05"/>
    <n v="75.83"/>
    <n v="12.39"/>
    <n v="1604.8"/>
    <x v="1"/>
    <x v="0"/>
    <s v="San Diego"/>
    <s v="CA"/>
    <s v="United States"/>
  </r>
  <r>
    <x v="191"/>
    <x v="185"/>
    <s v="CUST004207"/>
    <s v="Vikas Kapoor"/>
    <s v="Microphone"/>
    <x v="0"/>
    <x v="2"/>
    <n v="2"/>
    <n v="67.540000000000006"/>
    <n v="0.05"/>
    <n v="10.27"/>
    <n v="1.64"/>
    <n v="140.24"/>
    <x v="1"/>
    <x v="0"/>
    <s v="San Antonio"/>
    <s v="TX"/>
    <s v="Canada"/>
  </r>
  <r>
    <x v="192"/>
    <x v="186"/>
    <s v="CUST041282"/>
    <s v="Sahil Singh"/>
    <s v="Noise Cancelling Headphones"/>
    <x v="3"/>
    <x v="4"/>
    <n v="2"/>
    <n v="289.23"/>
    <n v="0.1"/>
    <n v="0"/>
    <n v="13.08"/>
    <n v="533.69000000000005"/>
    <x v="1"/>
    <x v="0"/>
    <s v="Indianapolis"/>
    <s v="IN"/>
    <s v="United States"/>
  </r>
  <r>
    <x v="193"/>
    <x v="187"/>
    <s v="CUST044672"/>
    <s v="Karan Singh"/>
    <s v="LED Desk Lamp"/>
    <x v="1"/>
    <x v="4"/>
    <n v="2"/>
    <n v="373.58"/>
    <n v="0.2"/>
    <n v="47.82"/>
    <n v="8.74"/>
    <n v="654.29"/>
    <x v="3"/>
    <x v="0"/>
    <s v="San Jose"/>
    <s v="CA"/>
    <s v="United States"/>
  </r>
  <r>
    <x v="194"/>
    <x v="188"/>
    <s v="CUST004859"/>
    <s v="Vivaan Gupta"/>
    <s v="Portable SSD 1TB"/>
    <x v="4"/>
    <x v="2"/>
    <n v="4"/>
    <n v="359.89"/>
    <n v="0.05"/>
    <n v="68.38"/>
    <n v="13.15"/>
    <n v="1449.11"/>
    <x v="3"/>
    <x v="0"/>
    <s v="Washington"/>
    <s v="DC"/>
    <s v="United States"/>
  </r>
  <r>
    <x v="195"/>
    <x v="189"/>
    <s v="CUST007154"/>
    <s v="Vikas Sharma"/>
    <s v="Sunglasses"/>
    <x v="3"/>
    <x v="9"/>
    <n v="5"/>
    <n v="449.1"/>
    <n v="0.1"/>
    <n v="101.05"/>
    <n v="7.48"/>
    <n v="2129.48"/>
    <x v="5"/>
    <x v="0"/>
    <s v="San Diego"/>
    <s v="CA"/>
    <s v="United States"/>
  </r>
  <r>
    <x v="196"/>
    <x v="190"/>
    <s v="CUST035993"/>
    <s v="Vikas Kumar"/>
    <s v="Instant Pot"/>
    <x v="5"/>
    <x v="4"/>
    <n v="3"/>
    <n v="270.41000000000003"/>
    <n v="0.1"/>
    <n v="36.51"/>
    <n v="3.91"/>
    <n v="770.53"/>
    <x v="1"/>
    <x v="0"/>
    <s v="Houston"/>
    <s v="TX"/>
    <s v="United States"/>
  </r>
  <r>
    <x v="197"/>
    <x v="191"/>
    <s v="CUST027565"/>
    <s v="Sneha Verma"/>
    <s v="LED Desk Lamp"/>
    <x v="1"/>
    <x v="8"/>
    <n v="2"/>
    <n v="387.31"/>
    <n v="0"/>
    <n v="92.95"/>
    <n v="7.12"/>
    <n v="874.69"/>
    <x v="0"/>
    <x v="0"/>
    <s v="San Francisco"/>
    <s v="CA"/>
    <s v="United States"/>
  </r>
  <r>
    <x v="198"/>
    <x v="192"/>
    <s v="CUST010007"/>
    <s v="Vikas Reddy"/>
    <s v="Wireless Charger"/>
    <x v="0"/>
    <x v="5"/>
    <n v="3"/>
    <n v="272.14"/>
    <n v="0"/>
    <n v="97.97"/>
    <n v="11.16"/>
    <n v="925.55"/>
    <x v="4"/>
    <x v="0"/>
    <s v="San Jose"/>
    <s v="CA"/>
    <s v="Canada"/>
  </r>
  <r>
    <x v="199"/>
    <x v="193"/>
    <s v="CUST022505"/>
    <s v="Karan Kapoor"/>
    <s v="Desk Organizer"/>
    <x v="1"/>
    <x v="7"/>
    <n v="1"/>
    <n v="420.62"/>
    <n v="0"/>
    <n v="21.03"/>
    <n v="5.69"/>
    <n v="447.34"/>
    <x v="1"/>
    <x v="3"/>
    <s v="Dallas"/>
    <s v="TX"/>
    <s v="United States"/>
  </r>
  <r>
    <x v="200"/>
    <x v="194"/>
    <s v="CUST007081"/>
    <s v="Arjun Kumar"/>
    <s v="Kids Toy Car"/>
    <x v="2"/>
    <x v="6"/>
    <n v="4"/>
    <n v="575.92999999999995"/>
    <n v="0"/>
    <n v="0"/>
    <n v="14.5"/>
    <n v="2318.2199999999998"/>
    <x v="3"/>
    <x v="0"/>
    <s v="Dallas"/>
    <s v="TX"/>
    <s v="India"/>
  </r>
  <r>
    <x v="201"/>
    <x v="195"/>
    <s v="CUST042401"/>
    <s v="Mohit Singh"/>
    <s v="LED Desk Lamp"/>
    <x v="3"/>
    <x v="0"/>
    <n v="5"/>
    <n v="167.97"/>
    <n v="0"/>
    <n v="0"/>
    <n v="8.35"/>
    <n v="848.2"/>
    <x v="4"/>
    <x v="0"/>
    <s v="Dallas"/>
    <s v="TX"/>
    <s v="United States"/>
  </r>
  <r>
    <x v="202"/>
    <x v="196"/>
    <s v="CUST040825"/>
    <s v="Karan Sharma"/>
    <s v="4K Monitor"/>
    <x v="3"/>
    <x v="1"/>
    <n v="5"/>
    <n v="471.14"/>
    <n v="0"/>
    <n v="188.46"/>
    <n v="4.18"/>
    <n v="2548.34"/>
    <x v="1"/>
    <x v="0"/>
    <s v="Denver"/>
    <s v="CO"/>
    <s v="Canada"/>
  </r>
  <r>
    <x v="203"/>
    <x v="197"/>
    <s v="CUST022812"/>
    <s v="Mohit Patel"/>
    <s v="Webcam Full HD"/>
    <x v="3"/>
    <x v="1"/>
    <n v="3"/>
    <n v="461.7"/>
    <n v="0.05"/>
    <n v="65.790000000000006"/>
    <n v="13.58"/>
    <n v="1395.21"/>
    <x v="3"/>
    <x v="4"/>
    <s v="Fort Worth"/>
    <s v="TX"/>
    <s v="India"/>
  </r>
  <r>
    <x v="204"/>
    <x v="198"/>
    <s v="CUST029448"/>
    <s v="Karan Kumar"/>
    <s v="Smart Light Bulb"/>
    <x v="4"/>
    <x v="7"/>
    <n v="2"/>
    <n v="303.77"/>
    <n v="0.25"/>
    <n v="22.78"/>
    <n v="11.47"/>
    <n v="489.9"/>
    <x v="4"/>
    <x v="0"/>
    <s v="Columbus"/>
    <s v="OH"/>
    <s v="Australia"/>
  </r>
  <r>
    <x v="205"/>
    <x v="150"/>
    <s v="CUST025313"/>
    <s v="Pooja Singh"/>
    <s v="Electric Kettle"/>
    <x v="5"/>
    <x v="9"/>
    <n v="4"/>
    <n v="312.36"/>
    <n v="0.1"/>
    <n v="0"/>
    <n v="2.52"/>
    <n v="1127.02"/>
    <x v="3"/>
    <x v="0"/>
    <s v="Columbus"/>
    <s v="OH"/>
    <s v="United States"/>
  </r>
  <r>
    <x v="206"/>
    <x v="199"/>
    <s v="CUST029438"/>
    <s v="Vihaan Mehta"/>
    <s v="Car Charger"/>
    <x v="0"/>
    <x v="2"/>
    <n v="3"/>
    <n v="59.09"/>
    <n v="0.15"/>
    <n v="0"/>
    <n v="14.12"/>
    <n v="164.8"/>
    <x v="5"/>
    <x v="0"/>
    <s v="Chicago"/>
    <s v="IL"/>
    <s v="India"/>
  </r>
  <r>
    <x v="207"/>
    <x v="200"/>
    <s v="CUST001181"/>
    <s v="Vivaan Joshi"/>
    <s v="Water Bottle"/>
    <x v="0"/>
    <x v="4"/>
    <n v="1"/>
    <n v="266.91000000000003"/>
    <n v="0.05"/>
    <n v="20.29"/>
    <n v="7.33"/>
    <n v="281.18"/>
    <x v="1"/>
    <x v="0"/>
    <s v="Phoenix"/>
    <s v="AZ"/>
    <s v="India"/>
  </r>
  <r>
    <x v="208"/>
    <x v="201"/>
    <s v="CUST017264"/>
    <s v="Sneha Kumar"/>
    <s v="Kids Toy Car"/>
    <x v="5"/>
    <x v="3"/>
    <n v="3"/>
    <n v="568.01"/>
    <n v="0"/>
    <n v="0"/>
    <n v="12.94"/>
    <n v="1716.97"/>
    <x v="3"/>
    <x v="0"/>
    <s v="San Jose"/>
    <s v="CA"/>
    <s v="United Kingdom"/>
  </r>
  <r>
    <x v="209"/>
    <x v="141"/>
    <s v="CUST039608"/>
    <s v="Simran Patel"/>
    <s v="Children's Book"/>
    <x v="0"/>
    <x v="1"/>
    <n v="2"/>
    <n v="454.72"/>
    <n v="0.05"/>
    <n v="69.12"/>
    <n v="0.31"/>
    <n v="933.4"/>
    <x v="5"/>
    <x v="3"/>
    <s v="Los Angeles"/>
    <s v="CA"/>
    <s v="India"/>
  </r>
  <r>
    <x v="210"/>
    <x v="202"/>
    <s v="CUST019237"/>
    <s v="Priya Kumar"/>
    <s v="Desk Plant"/>
    <x v="0"/>
    <x v="0"/>
    <n v="3"/>
    <n v="189.12"/>
    <n v="0.2"/>
    <n v="36.31"/>
    <n v="3.6"/>
    <n v="493.8"/>
    <x v="0"/>
    <x v="0"/>
    <s v="New York"/>
    <s v="NY"/>
    <s v="United Kingdom"/>
  </r>
  <r>
    <x v="211"/>
    <x v="93"/>
    <s v="CUST035731"/>
    <s v="Sneha Sharma"/>
    <s v="Board Game"/>
    <x v="1"/>
    <x v="0"/>
    <n v="5"/>
    <n v="104.68"/>
    <n v="0.15"/>
    <n v="35.590000000000003"/>
    <n v="2.38"/>
    <n v="482.86"/>
    <x v="4"/>
    <x v="0"/>
    <s v="Washington"/>
    <s v="DC"/>
    <s v="United States"/>
  </r>
  <r>
    <x v="212"/>
    <x v="71"/>
    <s v="CUST012280"/>
    <s v="Rohit Mehta"/>
    <s v="Children's Book"/>
    <x v="4"/>
    <x v="0"/>
    <n v="2"/>
    <n v="116.03"/>
    <n v="0.2"/>
    <n v="14.85"/>
    <n v="5.54"/>
    <n v="206.04"/>
    <x v="2"/>
    <x v="0"/>
    <s v="Columbus"/>
    <s v="OH"/>
    <s v="India"/>
  </r>
  <r>
    <x v="213"/>
    <x v="203"/>
    <s v="CUST003507"/>
    <s v="Anjali Gupta"/>
    <s v="Electric Kettle"/>
    <x v="2"/>
    <x v="5"/>
    <n v="3"/>
    <n v="83.31"/>
    <n v="0"/>
    <n v="19.989999999999998"/>
    <n v="3.48"/>
    <n v="273.39999999999998"/>
    <x v="4"/>
    <x v="0"/>
    <s v="Fort Worth"/>
    <s v="TX"/>
    <s v="United States"/>
  </r>
  <r>
    <x v="214"/>
    <x v="204"/>
    <s v="CUST023893"/>
    <s v="Aditya Gupta"/>
    <s v="Bluetooth Speaker"/>
    <x v="5"/>
    <x v="3"/>
    <n v="3"/>
    <n v="556.67999999999995"/>
    <n v="0"/>
    <n v="83.5"/>
    <n v="1.06"/>
    <n v="1754.6"/>
    <x v="0"/>
    <x v="0"/>
    <s v="Fort Worth"/>
    <s v="TX"/>
    <s v="Canada"/>
  </r>
  <r>
    <x v="215"/>
    <x v="205"/>
    <s v="CUST008440"/>
    <s v="Vikas Reddy"/>
    <s v="Air Fryer"/>
    <x v="1"/>
    <x v="6"/>
    <n v="3"/>
    <n v="404.76"/>
    <n v="0"/>
    <n v="218.57"/>
    <n v="10.5"/>
    <n v="1443.35"/>
    <x v="0"/>
    <x v="0"/>
    <s v="Jacksonville"/>
    <s v="FL"/>
    <s v="United States"/>
  </r>
  <r>
    <x v="216"/>
    <x v="206"/>
    <s v="CUST019363"/>
    <s v="Sunita Reddy"/>
    <s v="Laptop Sleeve"/>
    <x v="3"/>
    <x v="7"/>
    <n v="5"/>
    <n v="470.82"/>
    <n v="0.1"/>
    <n v="169.5"/>
    <n v="12.39"/>
    <n v="2300.58"/>
    <x v="0"/>
    <x v="0"/>
    <s v="Denver"/>
    <s v="CO"/>
    <s v="United States"/>
  </r>
  <r>
    <x v="217"/>
    <x v="207"/>
    <s v="CUST034266"/>
    <s v="Anjali Sharma"/>
    <s v="Smartphone Case"/>
    <x v="1"/>
    <x v="2"/>
    <n v="5"/>
    <n v="88.24"/>
    <n v="0"/>
    <n v="35.299999999999997"/>
    <n v="13.44"/>
    <n v="489.94"/>
    <x v="0"/>
    <x v="0"/>
    <s v="Houston"/>
    <s v="TX"/>
    <s v="India"/>
  </r>
  <r>
    <x v="218"/>
    <x v="208"/>
    <s v="CUST026742"/>
    <s v="Vihaan Gupta"/>
    <s v="Backpack"/>
    <x v="1"/>
    <x v="5"/>
    <n v="3"/>
    <n v="410.9"/>
    <n v="0"/>
    <n v="98.62"/>
    <n v="0.56999999999999995"/>
    <n v="1331.89"/>
    <x v="3"/>
    <x v="0"/>
    <s v="San Diego"/>
    <s v="CA"/>
    <s v="India"/>
  </r>
  <r>
    <x v="219"/>
    <x v="209"/>
    <s v="CUST020572"/>
    <s v="Mohit Kapoor"/>
    <s v="Running Shoes"/>
    <x v="2"/>
    <x v="9"/>
    <n v="4"/>
    <n v="485.32"/>
    <n v="0.15"/>
    <n v="132.01"/>
    <n v="8.34"/>
    <n v="1790.44"/>
    <x v="1"/>
    <x v="0"/>
    <s v="Dallas"/>
    <s v="TX"/>
    <s v="United States"/>
  </r>
  <r>
    <x v="220"/>
    <x v="47"/>
    <s v="CUST012246"/>
    <s v="Pooja Sharma"/>
    <s v="Jeans"/>
    <x v="2"/>
    <x v="5"/>
    <n v="1"/>
    <n v="49.31"/>
    <n v="0"/>
    <n v="2.4700000000000002"/>
    <n v="0.69"/>
    <n v="52.47"/>
    <x v="0"/>
    <x v="0"/>
    <s v="Charlotte"/>
    <s v="NC"/>
    <s v="United States"/>
  </r>
  <r>
    <x v="221"/>
    <x v="210"/>
    <s v="CUST021328"/>
    <s v="Vihaan Kapoor"/>
    <s v="Electric Kettle"/>
    <x v="4"/>
    <x v="8"/>
    <n v="4"/>
    <n v="389.67"/>
    <n v="0.05"/>
    <n v="118.46"/>
    <n v="3.29"/>
    <n v="1602.5"/>
    <x v="3"/>
    <x v="0"/>
    <s v="San Diego"/>
    <s v="CA"/>
    <s v="United States"/>
  </r>
  <r>
    <x v="222"/>
    <x v="211"/>
    <s v="CUST017932"/>
    <s v="Karan Patel"/>
    <s v="Router"/>
    <x v="1"/>
    <x v="7"/>
    <n v="1"/>
    <n v="450.05"/>
    <n v="0"/>
    <n v="22.5"/>
    <n v="1.2"/>
    <n v="473.75"/>
    <x v="5"/>
    <x v="3"/>
    <s v="Austin"/>
    <s v="TX"/>
    <s v="United States"/>
  </r>
  <r>
    <x v="223"/>
    <x v="212"/>
    <s v="CUST030236"/>
    <s v="Anjali Mehta"/>
    <s v="Vacuum Cleaner"/>
    <x v="1"/>
    <x v="4"/>
    <n v="3"/>
    <n v="137.33000000000001"/>
    <n v="0.1"/>
    <n v="29.66"/>
    <n v="13.56"/>
    <n v="414.01"/>
    <x v="3"/>
    <x v="0"/>
    <s v="San Antonio"/>
    <s v="TX"/>
    <s v="India"/>
  </r>
  <r>
    <x v="224"/>
    <x v="213"/>
    <s v="CUST018375"/>
    <s v="Kabir Reddy"/>
    <s v="Wireless Charger"/>
    <x v="1"/>
    <x v="0"/>
    <n v="2"/>
    <n v="114.61"/>
    <n v="0"/>
    <n v="18.34"/>
    <n v="0.91"/>
    <n v="248.47"/>
    <x v="5"/>
    <x v="0"/>
    <s v="Phoenix"/>
    <s v="AZ"/>
    <s v="United States"/>
  </r>
  <r>
    <x v="225"/>
    <x v="214"/>
    <s v="CUST031704"/>
    <s v="Vihaan Mehta"/>
    <s v="Sunglasses"/>
    <x v="5"/>
    <x v="8"/>
    <n v="5"/>
    <n v="303.23"/>
    <n v="0"/>
    <n v="181.94"/>
    <n v="9.58"/>
    <n v="1707.67"/>
    <x v="3"/>
    <x v="0"/>
    <s v="San Francisco"/>
    <s v="CA"/>
    <s v="United States"/>
  </r>
  <r>
    <x v="226"/>
    <x v="215"/>
    <s v="CUST003147"/>
    <s v="Ritika Kumar"/>
    <s v="Cookware Set"/>
    <x v="3"/>
    <x v="6"/>
    <n v="4"/>
    <n v="377.77"/>
    <n v="0.1"/>
    <n v="163.19999999999999"/>
    <n v="11.35"/>
    <n v="1534.52"/>
    <x v="1"/>
    <x v="0"/>
    <s v="Washington"/>
    <s v="DC"/>
    <s v="United States"/>
  </r>
  <r>
    <x v="227"/>
    <x v="216"/>
    <s v="CUST014415"/>
    <s v="Pooja Sharma"/>
    <s v="Office Chair"/>
    <x v="5"/>
    <x v="0"/>
    <n v="5"/>
    <n v="165.72"/>
    <n v="0.05"/>
    <n v="62.97"/>
    <n v="4.46"/>
    <n v="854.6"/>
    <x v="3"/>
    <x v="0"/>
    <s v="Chicago"/>
    <s v="IL"/>
    <s v="India"/>
  </r>
  <r>
    <x v="228"/>
    <x v="217"/>
    <s v="CUST001747"/>
    <s v="Karan Sharma"/>
    <s v="Wireless Charger"/>
    <x v="5"/>
    <x v="5"/>
    <n v="5"/>
    <n v="404.33"/>
    <n v="0"/>
    <n v="161.72999999999999"/>
    <n v="4.75"/>
    <n v="2188.13"/>
    <x v="3"/>
    <x v="3"/>
    <s v="Denver"/>
    <s v="CO"/>
    <s v="United Kingdom"/>
  </r>
  <r>
    <x v="229"/>
    <x v="218"/>
    <s v="CUST031415"/>
    <s v="Aman Reddy"/>
    <s v="Puzzle 1000pc"/>
    <x v="3"/>
    <x v="1"/>
    <n v="5"/>
    <n v="493.81"/>
    <n v="0.3"/>
    <n v="138.27000000000001"/>
    <n v="14.7"/>
    <n v="1881.3"/>
    <x v="1"/>
    <x v="2"/>
    <s v="Denver"/>
    <s v="CO"/>
    <s v="United States"/>
  </r>
  <r>
    <x v="230"/>
    <x v="219"/>
    <s v="CUST048207"/>
    <s v="Rohit Patel"/>
    <s v="Smartwatch"/>
    <x v="1"/>
    <x v="8"/>
    <n v="1"/>
    <n v="590.16999999999996"/>
    <n v="0.15"/>
    <n v="25.08"/>
    <n v="3.79"/>
    <n v="530.51"/>
    <x v="3"/>
    <x v="3"/>
    <s v="Denver"/>
    <s v="CO"/>
    <s v="United States"/>
  </r>
  <r>
    <x v="231"/>
    <x v="220"/>
    <s v="CUST019145"/>
    <s v="Karan Verma"/>
    <s v="Sunglasses"/>
    <x v="3"/>
    <x v="7"/>
    <n v="2"/>
    <n v="426.66"/>
    <n v="0.15"/>
    <n v="87.04"/>
    <n v="11.68"/>
    <n v="824.04"/>
    <x v="1"/>
    <x v="0"/>
    <s v="Jacksonville"/>
    <s v="FL"/>
    <s v="United States"/>
  </r>
  <r>
    <x v="232"/>
    <x v="221"/>
    <s v="CUST028877"/>
    <s v="Anjali Kapoor"/>
    <s v="Laptop Sleeve"/>
    <x v="1"/>
    <x v="1"/>
    <n v="3"/>
    <n v="512.13"/>
    <n v="0"/>
    <n v="122.91"/>
    <n v="14.93"/>
    <n v="1674.23"/>
    <x v="5"/>
    <x v="0"/>
    <s v="Chicago"/>
    <s v="IL"/>
    <s v="United States"/>
  </r>
  <r>
    <x v="233"/>
    <x v="222"/>
    <s v="CUST006962"/>
    <s v="Anjali Verma"/>
    <s v="Noise Cancelling Headphones"/>
    <x v="3"/>
    <x v="7"/>
    <n v="4"/>
    <n v="139.59"/>
    <n v="0.05"/>
    <n v="26.52"/>
    <n v="0.4"/>
    <n v="557.36"/>
    <x v="0"/>
    <x v="3"/>
    <s v="Fort Worth"/>
    <s v="TX"/>
    <s v="United States"/>
  </r>
  <r>
    <x v="234"/>
    <x v="223"/>
    <s v="CUST037405"/>
    <s v="Priya Reddy"/>
    <s v="Desk Organizer"/>
    <x v="2"/>
    <x v="2"/>
    <n v="2"/>
    <n v="130.46"/>
    <n v="0.1"/>
    <n v="18.79"/>
    <n v="0.38"/>
    <n v="254"/>
    <x v="0"/>
    <x v="0"/>
    <s v="Denver"/>
    <s v="CO"/>
    <s v="United States"/>
  </r>
  <r>
    <x v="235"/>
    <x v="224"/>
    <s v="CUST025402"/>
    <s v="Priya Mehta"/>
    <s v="Dress Shirt"/>
    <x v="5"/>
    <x v="5"/>
    <n v="5"/>
    <n v="574.24"/>
    <n v="0"/>
    <n v="143.56"/>
    <n v="13.09"/>
    <n v="3027.85"/>
    <x v="3"/>
    <x v="3"/>
    <s v="Chicago"/>
    <s v="IL"/>
    <s v="United States"/>
  </r>
  <r>
    <x v="236"/>
    <x v="225"/>
    <s v="CUST029978"/>
    <s v="Anjali Mehta"/>
    <s v="Memory Card 128GB"/>
    <x v="2"/>
    <x v="3"/>
    <n v="1"/>
    <n v="432.72"/>
    <n v="0.2"/>
    <n v="62.31"/>
    <n v="14.85"/>
    <n v="423.34"/>
    <x v="2"/>
    <x v="0"/>
    <s v="Los Angeles"/>
    <s v="CA"/>
    <s v="India"/>
  </r>
  <r>
    <x v="237"/>
    <x v="210"/>
    <s v="CUST049175"/>
    <s v="Priya Reddy"/>
    <s v="Backpack"/>
    <x v="5"/>
    <x v="8"/>
    <n v="5"/>
    <n v="73.55"/>
    <n v="0.15"/>
    <n v="0"/>
    <n v="9.0299999999999994"/>
    <n v="321.62"/>
    <x v="0"/>
    <x v="0"/>
    <s v="Indianapolis"/>
    <s v="IN"/>
    <s v="United States"/>
  </r>
  <r>
    <x v="238"/>
    <x v="226"/>
    <s v="CUST028805"/>
    <s v="Arjun Kumar"/>
    <s v="Water Bottle"/>
    <x v="5"/>
    <x v="3"/>
    <n v="1"/>
    <n v="257.51"/>
    <n v="0.1"/>
    <n v="41.72"/>
    <n v="5.25"/>
    <n v="278.73"/>
    <x v="3"/>
    <x v="0"/>
    <s v="Los Angeles"/>
    <s v="CA"/>
    <s v="United States"/>
  </r>
  <r>
    <x v="239"/>
    <x v="154"/>
    <s v="CUST024635"/>
    <s v="Karan Mehta"/>
    <s v="Novel Bestseller"/>
    <x v="2"/>
    <x v="7"/>
    <n v="5"/>
    <n v="338.76"/>
    <n v="0.05"/>
    <n v="193.09"/>
    <n v="12.46"/>
    <n v="1814.66"/>
    <x v="4"/>
    <x v="0"/>
    <s v="Fort Worth"/>
    <s v="TX"/>
    <s v="India"/>
  </r>
  <r>
    <x v="240"/>
    <x v="227"/>
    <s v="CUST034448"/>
    <s v="Mohit Kapoor"/>
    <s v="Desk Plant"/>
    <x v="5"/>
    <x v="8"/>
    <n v="2"/>
    <n v="139.97"/>
    <n v="0"/>
    <n v="22.4"/>
    <n v="14.9"/>
    <n v="317.24"/>
    <x v="4"/>
    <x v="0"/>
    <s v="New York"/>
    <s v="NY"/>
    <s v="Australia"/>
  </r>
  <r>
    <x v="241"/>
    <x v="228"/>
    <s v="CUST040551"/>
    <s v="Ritika Gupta"/>
    <s v="Jeans"/>
    <x v="5"/>
    <x v="3"/>
    <n v="4"/>
    <n v="202.98"/>
    <n v="0.1"/>
    <n v="58.46"/>
    <n v="0.09"/>
    <n v="789.28"/>
    <x v="2"/>
    <x v="0"/>
    <s v="Seattle"/>
    <s v="WA"/>
    <s v="Canada"/>
  </r>
  <r>
    <x v="242"/>
    <x v="229"/>
    <s v="CUST034398"/>
    <s v="Sunita Reddy"/>
    <s v="Microphone"/>
    <x v="1"/>
    <x v="3"/>
    <n v="4"/>
    <n v="319.11"/>
    <n v="0"/>
    <n v="63.82"/>
    <n v="4.1500000000000004"/>
    <n v="1344.41"/>
    <x v="2"/>
    <x v="0"/>
    <s v="San Antonio"/>
    <s v="TX"/>
    <s v="United States"/>
  </r>
  <r>
    <x v="243"/>
    <x v="230"/>
    <s v="CUST042901"/>
    <s v="Aarav Gupta"/>
    <s v="Drone Mini"/>
    <x v="1"/>
    <x v="2"/>
    <n v="1"/>
    <n v="370.47"/>
    <n v="0.15"/>
    <n v="37.79"/>
    <n v="0.89"/>
    <n v="353.58"/>
    <x v="1"/>
    <x v="0"/>
    <s v="Columbus"/>
    <s v="OH"/>
    <s v="United States"/>
  </r>
  <r>
    <x v="244"/>
    <x v="126"/>
    <s v="CUST029445"/>
    <s v="Priya Kumar"/>
    <s v="USB-C Charger"/>
    <x v="2"/>
    <x v="0"/>
    <n v="5"/>
    <n v="45.49"/>
    <n v="0.2"/>
    <n v="32.75"/>
    <n v="0.02"/>
    <n v="214.73"/>
    <x v="0"/>
    <x v="0"/>
    <s v="Seattle"/>
    <s v="WA"/>
    <s v="India"/>
  </r>
  <r>
    <x v="245"/>
    <x v="231"/>
    <s v="CUST039354"/>
    <s v="Karan Kapoor"/>
    <s v="Drone Mini"/>
    <x v="2"/>
    <x v="5"/>
    <n v="3"/>
    <n v="116.12"/>
    <n v="0"/>
    <n v="62.7"/>
    <n v="5.45"/>
    <n v="416.51"/>
    <x v="3"/>
    <x v="0"/>
    <s v="Seattle"/>
    <s v="WA"/>
    <s v="India"/>
  </r>
  <r>
    <x v="246"/>
    <x v="232"/>
    <s v="CUST047386"/>
    <s v="Kabir Patel"/>
    <s v="Action Camera"/>
    <x v="5"/>
    <x v="0"/>
    <n v="3"/>
    <n v="297.86"/>
    <n v="0.2"/>
    <n v="85.78"/>
    <n v="7.14"/>
    <n v="807.78"/>
    <x v="3"/>
    <x v="3"/>
    <s v="Phoenix"/>
    <s v="AZ"/>
    <s v="United States"/>
  </r>
  <r>
    <x v="247"/>
    <x v="233"/>
    <s v="CUST014192"/>
    <s v="Simran Joshi"/>
    <s v="Drone Mini"/>
    <x v="3"/>
    <x v="7"/>
    <n v="5"/>
    <n v="89.26"/>
    <n v="0"/>
    <n v="35.700000000000003"/>
    <n v="2.92"/>
    <n v="484.92"/>
    <x v="0"/>
    <x v="0"/>
    <s v="San Francisco"/>
    <s v="CA"/>
    <s v="United States"/>
  </r>
  <r>
    <x v="248"/>
    <x v="234"/>
    <s v="CUST027774"/>
    <s v="Simran Kumar"/>
    <s v="Fitness Band"/>
    <x v="5"/>
    <x v="7"/>
    <n v="4"/>
    <n v="73.540000000000006"/>
    <n v="0.2"/>
    <n v="18.829999999999998"/>
    <n v="11.23"/>
    <n v="265.39"/>
    <x v="0"/>
    <x v="0"/>
    <s v="Charlotte"/>
    <s v="NC"/>
    <s v="United States"/>
  </r>
  <r>
    <x v="249"/>
    <x v="235"/>
    <s v="CUST045022"/>
    <s v="Aman Joshi"/>
    <s v="Smart Light Bulb"/>
    <x v="1"/>
    <x v="8"/>
    <n v="4"/>
    <n v="214.42"/>
    <n v="0"/>
    <n v="102.92"/>
    <n v="9.31"/>
    <n v="969.91"/>
    <x v="3"/>
    <x v="0"/>
    <s v="Philadelphia"/>
    <s v="PA"/>
    <s v="United States"/>
  </r>
  <r>
    <x v="250"/>
    <x v="179"/>
    <s v="CUST015291"/>
    <s v="Mohit Verma"/>
    <s v="Graphic Tablet"/>
    <x v="1"/>
    <x v="8"/>
    <n v="4"/>
    <n v="234.78"/>
    <n v="0.1"/>
    <n v="101.42"/>
    <n v="0.79"/>
    <n v="947.42"/>
    <x v="3"/>
    <x v="0"/>
    <s v="Chicago"/>
    <s v="IL"/>
    <s v="United States"/>
  </r>
  <r>
    <x v="251"/>
    <x v="236"/>
    <s v="CUST019542"/>
    <s v="Priya Reddy"/>
    <s v="Drone Mini"/>
    <x v="2"/>
    <x v="5"/>
    <n v="5"/>
    <n v="274.55"/>
    <n v="0.3"/>
    <n v="48.05"/>
    <n v="5.27"/>
    <n v="1014.24"/>
    <x v="0"/>
    <x v="2"/>
    <s v="Washington"/>
    <s v="DC"/>
    <s v="United States"/>
  </r>
  <r>
    <x v="252"/>
    <x v="237"/>
    <s v="CUST005818"/>
    <s v="Kabir Patel"/>
    <s v="Bluetooth Speaker"/>
    <x v="5"/>
    <x v="5"/>
    <n v="5"/>
    <n v="187.41"/>
    <n v="0.25"/>
    <n v="35.14"/>
    <n v="13.38"/>
    <n v="751.31"/>
    <x v="5"/>
    <x v="3"/>
    <s v="Austin"/>
    <s v="TX"/>
    <s v="Canada"/>
  </r>
  <r>
    <x v="253"/>
    <x v="238"/>
    <s v="CUST017005"/>
    <s v="Aditya Kumar"/>
    <s v="Kids Toy Car"/>
    <x v="0"/>
    <x v="0"/>
    <n v="4"/>
    <n v="230.36"/>
    <n v="0.15"/>
    <n v="39.159999999999997"/>
    <n v="2"/>
    <n v="824.38"/>
    <x v="1"/>
    <x v="0"/>
    <s v="Chicago"/>
    <s v="IL"/>
    <s v="India"/>
  </r>
  <r>
    <x v="254"/>
    <x v="239"/>
    <s v="CUST004652"/>
    <s v="Priya Kumar"/>
    <s v="Jeans"/>
    <x v="5"/>
    <x v="4"/>
    <n v="5"/>
    <n v="259.57"/>
    <n v="0.05"/>
    <n v="0"/>
    <n v="7.79"/>
    <n v="1240.75"/>
    <x v="4"/>
    <x v="2"/>
    <s v="Dallas"/>
    <s v="TX"/>
    <s v="United States"/>
  </r>
  <r>
    <x v="255"/>
    <x v="233"/>
    <s v="CUST000716"/>
    <s v="Rohit Singh"/>
    <s v="Running Shoes"/>
    <x v="5"/>
    <x v="2"/>
    <n v="4"/>
    <n v="428.27"/>
    <n v="0.25"/>
    <n v="154.18"/>
    <n v="12.7"/>
    <n v="1451.69"/>
    <x v="2"/>
    <x v="0"/>
    <s v="Washington"/>
    <s v="DC"/>
    <s v="India"/>
  </r>
  <r>
    <x v="256"/>
    <x v="240"/>
    <s v="CUST008298"/>
    <s v="Aarav Sharma"/>
    <s v="Fitness Band"/>
    <x v="0"/>
    <x v="8"/>
    <n v="5"/>
    <n v="428.5"/>
    <n v="0"/>
    <n v="171.4"/>
    <n v="0.81"/>
    <n v="2314.71"/>
    <x v="1"/>
    <x v="0"/>
    <s v="Charlotte"/>
    <s v="NC"/>
    <s v="United States"/>
  </r>
  <r>
    <x v="257"/>
    <x v="241"/>
    <s v="CUST047323"/>
    <s v="Sneha Joshi"/>
    <s v="Cookware Set"/>
    <x v="2"/>
    <x v="2"/>
    <n v="5"/>
    <n v="101.42"/>
    <n v="0"/>
    <n v="60.85"/>
    <n v="0.03"/>
    <n v="567.98"/>
    <x v="0"/>
    <x v="0"/>
    <s v="San Jose"/>
    <s v="CA"/>
    <s v="India"/>
  </r>
  <r>
    <x v="258"/>
    <x v="242"/>
    <s v="CUST024173"/>
    <s v="Kabir Verma"/>
    <s v="Car Charger"/>
    <x v="4"/>
    <x v="1"/>
    <n v="2"/>
    <n v="177.35"/>
    <n v="0.05"/>
    <n v="26.96"/>
    <n v="14.57"/>
    <n v="378.49"/>
    <x v="0"/>
    <x v="0"/>
    <s v="San Francisco"/>
    <s v="CA"/>
    <s v="United States"/>
  </r>
  <r>
    <x v="259"/>
    <x v="80"/>
    <s v="CUST039468"/>
    <s v="Simran Mehta"/>
    <s v="Bluetooth Speaker"/>
    <x v="4"/>
    <x v="5"/>
    <n v="5"/>
    <n v="276.27"/>
    <n v="0"/>
    <n v="110.51"/>
    <n v="9.92"/>
    <n v="1501.78"/>
    <x v="5"/>
    <x v="0"/>
    <s v="Phoenix"/>
    <s v="AZ"/>
    <s v="United States"/>
  </r>
  <r>
    <x v="260"/>
    <x v="243"/>
    <s v="CUST017113"/>
    <s v="Ritika Kumar"/>
    <s v="Gaming Mouse"/>
    <x v="5"/>
    <x v="8"/>
    <n v="2"/>
    <n v="220.49"/>
    <n v="0.25"/>
    <n v="39.69"/>
    <n v="11.42"/>
    <n v="381.84"/>
    <x v="0"/>
    <x v="0"/>
    <s v="Houston"/>
    <s v="TX"/>
    <s v="United States"/>
  </r>
  <r>
    <x v="261"/>
    <x v="244"/>
    <s v="CUST012593"/>
    <s v="Sunita Joshi"/>
    <s v="Instant Pot"/>
    <x v="0"/>
    <x v="9"/>
    <n v="5"/>
    <n v="55.8"/>
    <n v="0.15"/>
    <n v="11.86"/>
    <n v="1.6"/>
    <n v="250.61"/>
    <x v="3"/>
    <x v="0"/>
    <s v="Philadelphia"/>
    <s v="PA"/>
    <s v="United States"/>
  </r>
  <r>
    <x v="262"/>
    <x v="245"/>
    <s v="CUST043099"/>
    <s v="Sunita Kumar"/>
    <s v="Portable SSD 1TB"/>
    <x v="1"/>
    <x v="2"/>
    <n v="3"/>
    <n v="520.47"/>
    <n v="0.05"/>
    <n v="267"/>
    <n v="0.93"/>
    <n v="1751.27"/>
    <x v="0"/>
    <x v="0"/>
    <s v="Phoenix"/>
    <s v="AZ"/>
    <s v="India"/>
  </r>
  <r>
    <x v="263"/>
    <x v="246"/>
    <s v="CUST002544"/>
    <s v="Arjun Sharma"/>
    <s v="Novel Bestseller"/>
    <x v="1"/>
    <x v="2"/>
    <n v="5"/>
    <n v="567.72"/>
    <n v="0.05"/>
    <n v="323.60000000000002"/>
    <n v="10.53"/>
    <n v="3030.8"/>
    <x v="3"/>
    <x v="0"/>
    <s v="Fort Worth"/>
    <s v="TX"/>
    <s v="United States"/>
  </r>
  <r>
    <x v="264"/>
    <x v="247"/>
    <s v="CUST003153"/>
    <s v="Vihaan Mehta"/>
    <s v="Webcam Full HD"/>
    <x v="3"/>
    <x v="2"/>
    <n v="3"/>
    <n v="451.53"/>
    <n v="0.1"/>
    <n v="146.30000000000001"/>
    <n v="14.32"/>
    <n v="1379.75"/>
    <x v="1"/>
    <x v="0"/>
    <s v="Columbus"/>
    <s v="OH"/>
    <s v="United States"/>
  </r>
  <r>
    <x v="265"/>
    <x v="248"/>
    <s v="CUST049849"/>
    <s v="Sneha Singh"/>
    <s v="Smart Light Bulb"/>
    <x v="5"/>
    <x v="0"/>
    <n v="5"/>
    <n v="594.86"/>
    <n v="0"/>
    <n v="237.94"/>
    <n v="2.37"/>
    <n v="3214.61"/>
    <x v="0"/>
    <x v="0"/>
    <s v="Seattle"/>
    <s v="WA"/>
    <s v="United States"/>
  </r>
  <r>
    <x v="266"/>
    <x v="249"/>
    <s v="CUST020614"/>
    <s v="Aman Joshi"/>
    <s v="Smartwatch"/>
    <x v="3"/>
    <x v="5"/>
    <n v="2"/>
    <n v="349.96"/>
    <n v="0"/>
    <n v="35"/>
    <n v="6.25"/>
    <n v="741.17"/>
    <x v="2"/>
    <x v="0"/>
    <s v="Jacksonville"/>
    <s v="FL"/>
    <s v="United States"/>
  </r>
  <r>
    <x v="267"/>
    <x v="250"/>
    <s v="CUST008599"/>
    <s v="Vivaan Reddy"/>
    <s v="Vacuum Cleaner"/>
    <x v="1"/>
    <x v="2"/>
    <n v="5"/>
    <n v="492.27"/>
    <n v="0.1"/>
    <n v="110.76"/>
    <n v="7.62"/>
    <n v="2333.6"/>
    <x v="4"/>
    <x v="0"/>
    <s v="San Antonio"/>
    <s v="TX"/>
    <s v="Australia"/>
  </r>
  <r>
    <x v="268"/>
    <x v="210"/>
    <s v="CUST031058"/>
    <s v="Sneha Verma"/>
    <s v="Graphic Tablet"/>
    <x v="4"/>
    <x v="5"/>
    <n v="1"/>
    <n v="94.16"/>
    <n v="0.05"/>
    <n v="7.16"/>
    <n v="0.9"/>
    <n v="97.51"/>
    <x v="3"/>
    <x v="0"/>
    <s v="Jacksonville"/>
    <s v="FL"/>
    <s v="United States"/>
  </r>
  <r>
    <x v="269"/>
    <x v="251"/>
    <s v="CUST032555"/>
    <s v="Simran Singh"/>
    <s v="Desk Plant"/>
    <x v="0"/>
    <x v="7"/>
    <n v="1"/>
    <n v="348.88"/>
    <n v="0.1"/>
    <n v="37.68"/>
    <n v="5.52"/>
    <n v="357.19"/>
    <x v="3"/>
    <x v="0"/>
    <s v="Houston"/>
    <s v="TX"/>
    <s v="United States"/>
  </r>
  <r>
    <x v="270"/>
    <x v="252"/>
    <s v="CUST023550"/>
    <s v="Simran Reddy"/>
    <s v="Board Game"/>
    <x v="4"/>
    <x v="1"/>
    <n v="1"/>
    <n v="85.61"/>
    <n v="0"/>
    <n v="6.85"/>
    <n v="10.64"/>
    <n v="103.1"/>
    <x v="4"/>
    <x v="0"/>
    <s v="Seattle"/>
    <s v="WA"/>
    <s v="United States"/>
  </r>
  <r>
    <x v="271"/>
    <x v="253"/>
    <s v="CUST042540"/>
    <s v="Sahil Kapoor"/>
    <s v="Smartwatch"/>
    <x v="1"/>
    <x v="8"/>
    <n v="3"/>
    <n v="476.94"/>
    <n v="0.15"/>
    <n v="60.81"/>
    <n v="5.78"/>
    <n v="1282.79"/>
    <x v="4"/>
    <x v="3"/>
    <s v="Columbus"/>
    <s v="OH"/>
    <s v="India"/>
  </r>
  <r>
    <x v="272"/>
    <x v="254"/>
    <s v="CUST044529"/>
    <s v="Anjali Joshi"/>
    <s v="Mechanical Keyboard"/>
    <x v="2"/>
    <x v="8"/>
    <n v="3"/>
    <n v="85.54"/>
    <n v="0"/>
    <n v="12.83"/>
    <n v="13.79"/>
    <n v="283.24"/>
    <x v="2"/>
    <x v="0"/>
    <s v="Philadelphia"/>
    <s v="PA"/>
    <s v="United States"/>
  </r>
  <r>
    <x v="273"/>
    <x v="111"/>
    <s v="CUST037954"/>
    <s v="Kabir Reddy"/>
    <s v="Mechanical Keyboard"/>
    <x v="1"/>
    <x v="1"/>
    <n v="4"/>
    <n v="312.92"/>
    <n v="0.15"/>
    <n v="127.67"/>
    <n v="6.21"/>
    <n v="1197.81"/>
    <x v="3"/>
    <x v="0"/>
    <s v="Washington"/>
    <s v="DC"/>
    <s v="India"/>
  </r>
  <r>
    <x v="274"/>
    <x v="255"/>
    <s v="CUST035117"/>
    <s v="Karan Reddy"/>
    <s v="Children's Book"/>
    <x v="5"/>
    <x v="7"/>
    <n v="2"/>
    <n v="493.21"/>
    <n v="0.1"/>
    <n v="44.39"/>
    <n v="14.27"/>
    <n v="946.44"/>
    <x v="5"/>
    <x v="0"/>
    <s v="Los Angeles"/>
    <s v="CA"/>
    <s v="United States"/>
  </r>
  <r>
    <x v="275"/>
    <x v="92"/>
    <s v="CUST046611"/>
    <s v="Simran Singh"/>
    <s v="Dress Shirt"/>
    <x v="3"/>
    <x v="0"/>
    <n v="5"/>
    <n v="486.32"/>
    <n v="0"/>
    <n v="121.58"/>
    <n v="10.96"/>
    <n v="2564.14"/>
    <x v="0"/>
    <x v="0"/>
    <s v="Phoenix"/>
    <s v="AZ"/>
    <s v="United States"/>
  </r>
  <r>
    <x v="276"/>
    <x v="229"/>
    <s v="CUST044280"/>
    <s v="Neha Joshi"/>
    <s v="Sunglasses"/>
    <x v="5"/>
    <x v="0"/>
    <n v="1"/>
    <n v="232.43"/>
    <n v="0.15"/>
    <n v="9.8800000000000008"/>
    <n v="10.44"/>
    <n v="217.89"/>
    <x v="3"/>
    <x v="0"/>
    <s v="Columbus"/>
    <s v="OH"/>
    <s v="United States"/>
  </r>
  <r>
    <x v="277"/>
    <x v="256"/>
    <s v="CUST033284"/>
    <s v="Pooja Kumar"/>
    <s v="Router"/>
    <x v="4"/>
    <x v="6"/>
    <n v="3"/>
    <n v="171.64"/>
    <n v="0"/>
    <n v="41.19"/>
    <n v="1.74"/>
    <n v="557.85"/>
    <x v="0"/>
    <x v="0"/>
    <s v="Philadelphia"/>
    <s v="PA"/>
    <s v="United States"/>
  </r>
  <r>
    <x v="278"/>
    <x v="257"/>
    <s v="CUST036194"/>
    <s v="Pooja Reddy"/>
    <s v="Jeans"/>
    <x v="5"/>
    <x v="4"/>
    <n v="5"/>
    <n v="436.76"/>
    <n v="0"/>
    <n v="174.7"/>
    <n v="4.1100000000000003"/>
    <n v="2362.61"/>
    <x v="2"/>
    <x v="0"/>
    <s v="Dallas"/>
    <s v="TX"/>
    <s v="India"/>
  </r>
  <r>
    <x v="279"/>
    <x v="258"/>
    <s v="CUST023648"/>
    <s v="Neha Kumar"/>
    <s v="Power Bank 20000mAh"/>
    <x v="0"/>
    <x v="6"/>
    <n v="5"/>
    <n v="152.56"/>
    <n v="0"/>
    <n v="61.02"/>
    <n v="10.29"/>
    <n v="834.11"/>
    <x v="3"/>
    <x v="3"/>
    <s v="Fort Worth"/>
    <s v="TX"/>
    <s v="Canada"/>
  </r>
  <r>
    <x v="280"/>
    <x v="259"/>
    <s v="CUST001746"/>
    <s v="Pooja Joshi"/>
    <s v="Portable SSD 1TB"/>
    <x v="0"/>
    <x v="9"/>
    <n v="2"/>
    <n v="217.88"/>
    <n v="0.25"/>
    <n v="26.15"/>
    <n v="3.94"/>
    <n v="356.91"/>
    <x v="5"/>
    <x v="0"/>
    <s v="San Francisco"/>
    <s v="CA"/>
    <s v="India"/>
  </r>
  <r>
    <x v="281"/>
    <x v="260"/>
    <s v="CUST034953"/>
    <s v="Aditya Gupta"/>
    <s v="Instant Pot"/>
    <x v="4"/>
    <x v="3"/>
    <n v="3"/>
    <n v="349.83"/>
    <n v="0"/>
    <n v="52.47"/>
    <n v="9.06"/>
    <n v="1111.02"/>
    <x v="1"/>
    <x v="0"/>
    <s v="Indianapolis"/>
    <s v="IN"/>
    <s v="India"/>
  </r>
  <r>
    <x v="282"/>
    <x v="261"/>
    <s v="CUST036197"/>
    <s v="Sneha Gupta"/>
    <s v="Sunglasses"/>
    <x v="4"/>
    <x v="6"/>
    <n v="1"/>
    <n v="25.8"/>
    <n v="0.15"/>
    <n v="1.75"/>
    <n v="2.16"/>
    <n v="25.84"/>
    <x v="4"/>
    <x v="3"/>
    <s v="Chicago"/>
    <s v="IL"/>
    <s v="United Kingdom"/>
  </r>
  <r>
    <x v="283"/>
    <x v="262"/>
    <s v="CUST001072"/>
    <s v="Anjali Patel"/>
    <s v="Jeans"/>
    <x v="3"/>
    <x v="7"/>
    <n v="4"/>
    <n v="235.08"/>
    <n v="0.05"/>
    <n v="71.459999999999994"/>
    <n v="13.48"/>
    <n v="978.24"/>
    <x v="1"/>
    <x v="0"/>
    <s v="San Jose"/>
    <s v="CA"/>
    <s v="United States"/>
  </r>
  <r>
    <x v="284"/>
    <x v="263"/>
    <s v="CUST001188"/>
    <s v="Sahil Verma"/>
    <s v="Children's Book"/>
    <x v="3"/>
    <x v="4"/>
    <n v="1"/>
    <n v="485.49"/>
    <n v="0"/>
    <n v="58.26"/>
    <n v="13.38"/>
    <n v="557.13"/>
    <x v="3"/>
    <x v="0"/>
    <s v="San Diego"/>
    <s v="CA"/>
    <s v="Canada"/>
  </r>
  <r>
    <x v="285"/>
    <x v="264"/>
    <s v="CUST016884"/>
    <s v="Arjun Singh"/>
    <s v="External HDD 2TB"/>
    <x v="0"/>
    <x v="2"/>
    <n v="5"/>
    <n v="126.21"/>
    <n v="0.2"/>
    <n v="40.39"/>
    <n v="11.32"/>
    <n v="556.54999999999995"/>
    <x v="3"/>
    <x v="0"/>
    <s v="Chicago"/>
    <s v="IL"/>
    <s v="United States"/>
  </r>
  <r>
    <x v="286"/>
    <x v="164"/>
    <s v="CUST043203"/>
    <s v="Sneha Mehta"/>
    <s v="Wireless Earbuds"/>
    <x v="3"/>
    <x v="1"/>
    <n v="3"/>
    <n v="436.44"/>
    <n v="0.1"/>
    <n v="94.27"/>
    <n v="14.18"/>
    <n v="1286.8399999999999"/>
    <x v="2"/>
    <x v="0"/>
    <s v="Washington"/>
    <s v="DC"/>
    <s v="United States"/>
  </r>
  <r>
    <x v="287"/>
    <x v="265"/>
    <s v="CUST012562"/>
    <s v="Arjun Kumar"/>
    <s v="Mechanical Keyboard"/>
    <x v="3"/>
    <x v="3"/>
    <n v="1"/>
    <n v="465.84"/>
    <n v="0.05"/>
    <n v="22.13"/>
    <n v="2.2599999999999998"/>
    <n v="466.94"/>
    <x v="0"/>
    <x v="0"/>
    <s v="Dallas"/>
    <s v="TX"/>
    <s v="United States"/>
  </r>
  <r>
    <x v="288"/>
    <x v="266"/>
    <s v="CUST030504"/>
    <s v="Aditya Mehta"/>
    <s v="Desk Plant"/>
    <x v="0"/>
    <x v="5"/>
    <n v="4"/>
    <n v="41.51"/>
    <n v="0"/>
    <n v="19.920000000000002"/>
    <n v="5.9"/>
    <n v="191.86"/>
    <x v="4"/>
    <x v="3"/>
    <s v="Jacksonville"/>
    <s v="FL"/>
    <s v="United States"/>
  </r>
  <r>
    <x v="289"/>
    <x v="267"/>
    <s v="CUST002550"/>
    <s v="Karan Patel"/>
    <s v="Yoga Mat"/>
    <x v="4"/>
    <x v="2"/>
    <n v="2"/>
    <n v="57.26"/>
    <n v="0.2"/>
    <n v="10.99"/>
    <n v="1.1100000000000001"/>
    <n v="103.72"/>
    <x v="3"/>
    <x v="0"/>
    <s v="Washington"/>
    <s v="DC"/>
    <s v="United States"/>
  </r>
  <r>
    <x v="290"/>
    <x v="268"/>
    <s v="CUST006082"/>
    <s v="Sahil Joshi"/>
    <s v="Wireless Charger"/>
    <x v="1"/>
    <x v="9"/>
    <n v="3"/>
    <n v="432.19"/>
    <n v="0.05"/>
    <n v="98.54"/>
    <n v="1.1399999999999999"/>
    <n v="1331.42"/>
    <x v="5"/>
    <x v="4"/>
    <s v="Columbus"/>
    <s v="OH"/>
    <s v="United States"/>
  </r>
  <r>
    <x v="291"/>
    <x v="269"/>
    <s v="CUST007148"/>
    <s v="Karan Sharma"/>
    <s v="Smartwatch"/>
    <x v="5"/>
    <x v="7"/>
    <n v="1"/>
    <n v="402.92"/>
    <n v="0.15"/>
    <n v="27.4"/>
    <n v="11.53"/>
    <n v="381.41"/>
    <x v="5"/>
    <x v="2"/>
    <s v="Columbus"/>
    <s v="OH"/>
    <s v="United States"/>
  </r>
  <r>
    <x v="292"/>
    <x v="270"/>
    <s v="CUST014657"/>
    <s v="Rohit Mehta"/>
    <s v="Drone Mini"/>
    <x v="1"/>
    <x v="3"/>
    <n v="5"/>
    <n v="541.67999999999995"/>
    <n v="0"/>
    <n v="135.41999999999999"/>
    <n v="13.07"/>
    <n v="2856.89"/>
    <x v="4"/>
    <x v="0"/>
    <s v="New York"/>
    <s v="NY"/>
    <s v="India"/>
  </r>
  <r>
    <x v="293"/>
    <x v="271"/>
    <s v="CUST049112"/>
    <s v="Sunita Kapoor"/>
    <s v="T-Shirt"/>
    <x v="5"/>
    <x v="5"/>
    <n v="5"/>
    <n v="276.60000000000002"/>
    <n v="0.15"/>
    <n v="94.04"/>
    <n v="10.28"/>
    <n v="1279.8699999999999"/>
    <x v="1"/>
    <x v="0"/>
    <s v="Denver"/>
    <s v="CO"/>
    <s v="India"/>
  </r>
  <r>
    <x v="294"/>
    <x v="272"/>
    <s v="CUST029592"/>
    <s v="Aarav Kapoor"/>
    <s v="LED Desk Lamp"/>
    <x v="0"/>
    <x v="5"/>
    <n v="3"/>
    <n v="466.02"/>
    <n v="0"/>
    <n v="69.900000000000006"/>
    <n v="12.53"/>
    <n v="1480.49"/>
    <x v="0"/>
    <x v="0"/>
    <s v="Philadelphia"/>
    <s v="PA"/>
    <s v="Canada"/>
  </r>
  <r>
    <x v="295"/>
    <x v="273"/>
    <s v="CUST014517"/>
    <s v="Sunita Joshi"/>
    <s v="Board Game"/>
    <x v="3"/>
    <x v="5"/>
    <n v="2"/>
    <n v="464.46"/>
    <n v="0.05"/>
    <n v="105.9"/>
    <n v="13.46"/>
    <n v="1001.83"/>
    <x v="4"/>
    <x v="0"/>
    <s v="San Diego"/>
    <s v="CA"/>
    <s v="United States"/>
  </r>
  <r>
    <x v="296"/>
    <x v="274"/>
    <s v="CUST005746"/>
    <s v="Aarav Patel"/>
    <s v="Bluetooth Speaker"/>
    <x v="5"/>
    <x v="8"/>
    <n v="3"/>
    <n v="331.2"/>
    <n v="0.05"/>
    <n v="47.2"/>
    <n v="0.11"/>
    <n v="991.23"/>
    <x v="0"/>
    <x v="0"/>
    <s v="San Diego"/>
    <s v="CA"/>
    <s v="United States"/>
  </r>
  <r>
    <x v="297"/>
    <x v="275"/>
    <s v="CUST027050"/>
    <s v="Priya Mehta"/>
    <s v="Bluetooth Speaker"/>
    <x v="2"/>
    <x v="2"/>
    <n v="4"/>
    <n v="97.45"/>
    <n v="0.1"/>
    <n v="17.54"/>
    <n v="0.02"/>
    <n v="368.38"/>
    <x v="1"/>
    <x v="0"/>
    <s v="Columbus"/>
    <s v="OH"/>
    <s v="United States"/>
  </r>
  <r>
    <x v="298"/>
    <x v="276"/>
    <s v="CUST017205"/>
    <s v="Karan Reddy"/>
    <s v="Desk Plant"/>
    <x v="5"/>
    <x v="1"/>
    <n v="1"/>
    <n v="540.72"/>
    <n v="0.05"/>
    <n v="25.68"/>
    <n v="7.52"/>
    <n v="546.88"/>
    <x v="1"/>
    <x v="0"/>
    <s v="New York"/>
    <s v="NY"/>
    <s v="India"/>
  </r>
  <r>
    <x v="299"/>
    <x v="277"/>
    <s v="CUST009192"/>
    <s v="Sahil Kapoor"/>
    <s v="Wireless Earbuds"/>
    <x v="0"/>
    <x v="4"/>
    <n v="2"/>
    <n v="308.26"/>
    <n v="0.15"/>
    <n v="94.33"/>
    <n v="9.57"/>
    <n v="627.94000000000005"/>
    <x v="1"/>
    <x v="0"/>
    <s v="Charlotte"/>
    <s v="NC"/>
    <s v="United States"/>
  </r>
  <r>
    <x v="300"/>
    <x v="278"/>
    <s v="CUST008766"/>
    <s v="Sneha Joshi"/>
    <s v="Webcam Full HD"/>
    <x v="4"/>
    <x v="5"/>
    <n v="2"/>
    <n v="41.57"/>
    <n v="0.25"/>
    <n v="7.48"/>
    <n v="12.91"/>
    <n v="82.74"/>
    <x v="1"/>
    <x v="0"/>
    <s v="New York"/>
    <s v="NY"/>
    <s v="United States"/>
  </r>
  <r>
    <x v="301"/>
    <x v="279"/>
    <s v="CUST001699"/>
    <s v="Sneha Gupta"/>
    <s v="Smartphone Case"/>
    <x v="5"/>
    <x v="8"/>
    <n v="3"/>
    <n v="213.75"/>
    <n v="0.05"/>
    <n v="48.74"/>
    <n v="2.76"/>
    <n v="660.69"/>
    <x v="4"/>
    <x v="0"/>
    <s v="Washington"/>
    <s v="DC"/>
    <s v="United States"/>
  </r>
  <r>
    <x v="302"/>
    <x v="280"/>
    <s v="CUST019427"/>
    <s v="Karan Joshi"/>
    <s v="Dress Shirt"/>
    <x v="5"/>
    <x v="0"/>
    <n v="5"/>
    <n v="113.48"/>
    <n v="0"/>
    <n v="28.37"/>
    <n v="0.78"/>
    <n v="596.54999999999995"/>
    <x v="0"/>
    <x v="1"/>
    <s v="Chicago"/>
    <s v="IL"/>
    <s v="United States"/>
  </r>
  <r>
    <x v="303"/>
    <x v="281"/>
    <s v="CUST003257"/>
    <s v="Aarav Mehta"/>
    <s v="Novel Bestseller"/>
    <x v="3"/>
    <x v="0"/>
    <n v="2"/>
    <n v="518.09"/>
    <n v="0"/>
    <n v="0"/>
    <n v="4.03"/>
    <n v="1040.21"/>
    <x v="1"/>
    <x v="3"/>
    <s v="Chicago"/>
    <s v="IL"/>
    <s v="United States"/>
  </r>
  <r>
    <x v="304"/>
    <x v="282"/>
    <s v="CUST002188"/>
    <s v="Anjali Mehta"/>
    <s v="Water Bottle"/>
    <x v="5"/>
    <x v="3"/>
    <n v="1"/>
    <n v="169.12"/>
    <n v="0"/>
    <n v="8.4600000000000009"/>
    <n v="13.27"/>
    <n v="190.85"/>
    <x v="3"/>
    <x v="3"/>
    <s v="Charlotte"/>
    <s v="NC"/>
    <s v="United Kingdom"/>
  </r>
  <r>
    <x v="305"/>
    <x v="114"/>
    <s v="CUST001779"/>
    <s v="Mohit Joshi"/>
    <s v="Smartwatch"/>
    <x v="1"/>
    <x v="5"/>
    <n v="4"/>
    <n v="476.83"/>
    <n v="0.1"/>
    <n v="85.83"/>
    <n v="8.41"/>
    <n v="1810.83"/>
    <x v="2"/>
    <x v="0"/>
    <s v="New York"/>
    <s v="NY"/>
    <s v="Australia"/>
  </r>
  <r>
    <x v="306"/>
    <x v="283"/>
    <s v="CUST032817"/>
    <s v="Arjun Kapoor"/>
    <s v="Dress Shirt"/>
    <x v="2"/>
    <x v="5"/>
    <n v="1"/>
    <n v="560.82000000000005"/>
    <n v="0.05"/>
    <n v="63.93"/>
    <n v="1.48"/>
    <n v="598.19000000000005"/>
    <x v="5"/>
    <x v="0"/>
    <s v="New York"/>
    <s v="NY"/>
    <s v="United States"/>
  </r>
  <r>
    <x v="307"/>
    <x v="284"/>
    <s v="CUST034263"/>
    <s v="Sahil Sharma"/>
    <s v="Kids Toy Car"/>
    <x v="3"/>
    <x v="1"/>
    <n v="2"/>
    <n v="573.92999999999995"/>
    <n v="0.1"/>
    <n v="185.95"/>
    <n v="2.97"/>
    <n v="1221.99"/>
    <x v="1"/>
    <x v="1"/>
    <s v="Denver"/>
    <s v="CO"/>
    <s v="United States"/>
  </r>
  <r>
    <x v="308"/>
    <x v="68"/>
    <s v="CUST047601"/>
    <s v="Sunita Kapoor"/>
    <s v="Children's Book"/>
    <x v="3"/>
    <x v="5"/>
    <n v="4"/>
    <n v="179.25"/>
    <n v="0.1"/>
    <n v="32.270000000000003"/>
    <n v="0.94"/>
    <n v="678.51"/>
    <x v="4"/>
    <x v="4"/>
    <s v="Houston"/>
    <s v="TX"/>
    <s v="United States"/>
  </r>
  <r>
    <x v="309"/>
    <x v="271"/>
    <s v="CUST042134"/>
    <s v="Ritika Sharma"/>
    <s v="USB-C Charger"/>
    <x v="5"/>
    <x v="2"/>
    <n v="5"/>
    <n v="400.83"/>
    <n v="0"/>
    <n v="100.21"/>
    <n v="0.32"/>
    <n v="2104.6799999999998"/>
    <x v="4"/>
    <x v="3"/>
    <s v="San Jose"/>
    <s v="CA"/>
    <s v="United States"/>
  </r>
  <r>
    <x v="310"/>
    <x v="285"/>
    <s v="CUST013914"/>
    <s v="Aditya Mehta"/>
    <s v="Bluetooth Speaker"/>
    <x v="3"/>
    <x v="4"/>
    <n v="3"/>
    <n v="319.07"/>
    <n v="0.25"/>
    <n v="57.43"/>
    <n v="2.13"/>
    <n v="777.47"/>
    <x v="3"/>
    <x v="0"/>
    <s v="Denver"/>
    <s v="CO"/>
    <s v="United States"/>
  </r>
  <r>
    <x v="311"/>
    <x v="286"/>
    <s v="CUST039236"/>
    <s v="Arjun Joshi"/>
    <s v="Projector Mini"/>
    <x v="0"/>
    <x v="0"/>
    <n v="3"/>
    <n v="582.15"/>
    <n v="0"/>
    <n v="87.32"/>
    <n v="6.71"/>
    <n v="1840.48"/>
    <x v="0"/>
    <x v="2"/>
    <s v="Washington"/>
    <s v="DC"/>
    <s v="India"/>
  </r>
  <r>
    <x v="312"/>
    <x v="176"/>
    <s v="CUST025927"/>
    <s v="Mohit Sharma"/>
    <s v="Sunglasses"/>
    <x v="0"/>
    <x v="0"/>
    <n v="4"/>
    <n v="458.05"/>
    <n v="0.1"/>
    <n v="82.45"/>
    <n v="10.199999999999999"/>
    <n v="1741.63"/>
    <x v="4"/>
    <x v="3"/>
    <s v="Indianapolis"/>
    <s v="IN"/>
    <s v="India"/>
  </r>
  <r>
    <x v="313"/>
    <x v="287"/>
    <s v="CUST000351"/>
    <s v="Pooja Mehta"/>
    <s v="Children's Book"/>
    <x v="3"/>
    <x v="9"/>
    <n v="3"/>
    <n v="33.869999999999997"/>
    <n v="0.1"/>
    <n v="10.97"/>
    <n v="1.29"/>
    <n v="103.71"/>
    <x v="1"/>
    <x v="1"/>
    <s v="Los Angeles"/>
    <s v="CA"/>
    <s v="India"/>
  </r>
  <r>
    <x v="314"/>
    <x v="288"/>
    <s v="CUST034695"/>
    <s v="Anjali Kumar"/>
    <s v="Desk Plant"/>
    <x v="4"/>
    <x v="9"/>
    <n v="1"/>
    <n v="528.48"/>
    <n v="0"/>
    <n v="0"/>
    <n v="8.7899999999999991"/>
    <n v="537.27"/>
    <x v="3"/>
    <x v="0"/>
    <s v="Indianapolis"/>
    <s v="IN"/>
    <s v="United States"/>
  </r>
  <r>
    <x v="315"/>
    <x v="289"/>
    <s v="CUST034686"/>
    <s v="Simran Patel"/>
    <s v="Laptop Sleeve"/>
    <x v="5"/>
    <x v="8"/>
    <n v="4"/>
    <n v="539.52"/>
    <n v="0"/>
    <n v="172.65"/>
    <n v="6.53"/>
    <n v="2337.2600000000002"/>
    <x v="1"/>
    <x v="0"/>
    <s v="Fort Worth"/>
    <s v="TX"/>
    <s v="United States"/>
  </r>
  <r>
    <x v="316"/>
    <x v="205"/>
    <s v="CUST028950"/>
    <s v="Anjali Mehta"/>
    <s v="Cookware Set"/>
    <x v="2"/>
    <x v="4"/>
    <n v="4"/>
    <n v="155.41"/>
    <n v="0"/>
    <n v="31.08"/>
    <n v="6.79"/>
    <n v="659.51"/>
    <x v="0"/>
    <x v="3"/>
    <s v="Phoenix"/>
    <s v="AZ"/>
    <s v="United States"/>
  </r>
  <r>
    <x v="317"/>
    <x v="290"/>
    <s v="CUST012442"/>
    <s v="Pooja Mehta"/>
    <s v="Bluetooth Speaker"/>
    <x v="3"/>
    <x v="8"/>
    <n v="2"/>
    <n v="487.41"/>
    <n v="0"/>
    <n v="48.74"/>
    <n v="7.26"/>
    <n v="1030.82"/>
    <x v="1"/>
    <x v="0"/>
    <s v="Austin"/>
    <s v="TX"/>
    <s v="United States"/>
  </r>
  <r>
    <x v="318"/>
    <x v="109"/>
    <s v="CUST038779"/>
    <s v="Pooja Verma"/>
    <s v="Electric Kettle"/>
    <x v="0"/>
    <x v="5"/>
    <n v="1"/>
    <n v="595.34"/>
    <n v="0"/>
    <n v="47.63"/>
    <n v="12.41"/>
    <n v="655.38"/>
    <x v="1"/>
    <x v="0"/>
    <s v="Dallas"/>
    <s v="TX"/>
    <s v="United States"/>
  </r>
  <r>
    <x v="319"/>
    <x v="17"/>
    <s v="CUST012713"/>
    <s v="Neha Sharma"/>
    <s v="Noise Cancelling Headphones"/>
    <x v="1"/>
    <x v="4"/>
    <n v="2"/>
    <n v="274.82"/>
    <n v="0.05"/>
    <n v="26.11"/>
    <n v="11.71"/>
    <n v="559.98"/>
    <x v="4"/>
    <x v="0"/>
    <s v="San Francisco"/>
    <s v="CA"/>
    <s v="United States"/>
  </r>
  <r>
    <x v="320"/>
    <x v="291"/>
    <s v="CUST020344"/>
    <s v="Sahil Sharma"/>
    <s v="Kids Toy Car"/>
    <x v="3"/>
    <x v="5"/>
    <n v="4"/>
    <n v="426.38"/>
    <n v="0.05"/>
    <n v="81.010000000000005"/>
    <n v="9.49"/>
    <n v="1710.74"/>
    <x v="2"/>
    <x v="0"/>
    <s v="Columbus"/>
    <s v="OH"/>
    <s v="United States"/>
  </r>
  <r>
    <x v="321"/>
    <x v="292"/>
    <s v="CUST005270"/>
    <s v="Vikas Kumar"/>
    <s v="Office Chair"/>
    <x v="1"/>
    <x v="2"/>
    <n v="1"/>
    <n v="412.78"/>
    <n v="0"/>
    <n v="0"/>
    <n v="13.23"/>
    <n v="426.01"/>
    <x v="5"/>
    <x v="0"/>
    <s v="Seattle"/>
    <s v="WA"/>
    <s v="United States"/>
  </r>
  <r>
    <x v="322"/>
    <x v="293"/>
    <s v="CUST023625"/>
    <s v="Aditya Sharma"/>
    <s v="Office Chair"/>
    <x v="3"/>
    <x v="0"/>
    <n v="4"/>
    <n v="153.06"/>
    <n v="0"/>
    <n v="48.98"/>
    <n v="4.38"/>
    <n v="665.6"/>
    <x v="5"/>
    <x v="3"/>
    <s v="Charlotte"/>
    <s v="NC"/>
    <s v="United States"/>
  </r>
  <r>
    <x v="323"/>
    <x v="294"/>
    <s v="CUST010542"/>
    <s v="Aarav Kumar"/>
    <s v="Memory Card 128GB"/>
    <x v="1"/>
    <x v="7"/>
    <n v="5"/>
    <n v="234.78"/>
    <n v="0.1"/>
    <n v="126.78"/>
    <n v="13.1"/>
    <n v="1196.3900000000001"/>
    <x v="0"/>
    <x v="0"/>
    <s v="Columbus"/>
    <s v="OH"/>
    <s v="United States"/>
  </r>
  <r>
    <x v="324"/>
    <x v="295"/>
    <s v="CUST021562"/>
    <s v="Rohit Sharma"/>
    <s v="LED Desk Lamp"/>
    <x v="4"/>
    <x v="9"/>
    <n v="3"/>
    <n v="120.94"/>
    <n v="0.2"/>
    <n v="14.51"/>
    <n v="5.34"/>
    <n v="310.11"/>
    <x v="1"/>
    <x v="0"/>
    <s v="San Jose"/>
    <s v="CA"/>
    <s v="United States"/>
  </r>
  <r>
    <x v="325"/>
    <x v="296"/>
    <s v="CUST031261"/>
    <s v="Kabir Singh"/>
    <s v="Children's Book"/>
    <x v="3"/>
    <x v="1"/>
    <n v="2"/>
    <n v="161.85"/>
    <n v="0.1"/>
    <n v="52.44"/>
    <n v="14.19"/>
    <n v="357.96"/>
    <x v="4"/>
    <x v="0"/>
    <s v="Indianapolis"/>
    <s v="IN"/>
    <s v="United States"/>
  </r>
  <r>
    <x v="326"/>
    <x v="297"/>
    <s v="CUST024288"/>
    <s v="Sneha Singh"/>
    <s v="HDMI Cable 2m"/>
    <x v="4"/>
    <x v="5"/>
    <n v="5"/>
    <n v="246.53"/>
    <n v="0"/>
    <n v="61.63"/>
    <n v="14.46"/>
    <n v="1308.74"/>
    <x v="4"/>
    <x v="0"/>
    <s v="San Antonio"/>
    <s v="TX"/>
    <s v="United States"/>
  </r>
  <r>
    <x v="327"/>
    <x v="298"/>
    <s v="CUST015925"/>
    <s v="Neha Verma"/>
    <s v="External HDD 2TB"/>
    <x v="3"/>
    <x v="8"/>
    <n v="1"/>
    <n v="152.22"/>
    <n v="0.05"/>
    <n v="11.57"/>
    <n v="13.19"/>
    <n v="169.37"/>
    <x v="3"/>
    <x v="0"/>
    <s v="Dallas"/>
    <s v="TX"/>
    <s v="India"/>
  </r>
  <r>
    <x v="328"/>
    <x v="299"/>
    <s v="CUST011154"/>
    <s v="Ritika Kumar"/>
    <s v="Puzzle 1000pc"/>
    <x v="0"/>
    <x v="6"/>
    <n v="4"/>
    <n v="489.79"/>
    <n v="0.2"/>
    <n v="282.12"/>
    <n v="9.8800000000000008"/>
    <n v="1859.33"/>
    <x v="0"/>
    <x v="0"/>
    <s v="Chicago"/>
    <s v="IL"/>
    <s v="India"/>
  </r>
  <r>
    <x v="329"/>
    <x v="273"/>
    <s v="CUST023840"/>
    <s v="Simran Gupta"/>
    <s v="Vacuum Cleaner"/>
    <x v="1"/>
    <x v="7"/>
    <n v="3"/>
    <n v="94.03"/>
    <n v="0.05"/>
    <n v="13.4"/>
    <n v="8.6199999999999992"/>
    <n v="290.01"/>
    <x v="3"/>
    <x v="0"/>
    <s v="Columbus"/>
    <s v="OH"/>
    <s v="United States"/>
  </r>
  <r>
    <x v="330"/>
    <x v="300"/>
    <s v="CUST004105"/>
    <s v="Vikas Singh"/>
    <s v="Sunglasses"/>
    <x v="3"/>
    <x v="2"/>
    <n v="1"/>
    <n v="295.94"/>
    <n v="0.05"/>
    <n v="33.74"/>
    <n v="5.01"/>
    <n v="319.89"/>
    <x v="1"/>
    <x v="0"/>
    <s v="Chicago"/>
    <s v="IL"/>
    <s v="United States"/>
  </r>
  <r>
    <x v="331"/>
    <x v="301"/>
    <s v="CUST034270"/>
    <s v="Kabir Kapoor"/>
    <s v="Air Fryer"/>
    <x v="4"/>
    <x v="6"/>
    <n v="1"/>
    <n v="352.82"/>
    <n v="0"/>
    <n v="28.23"/>
    <n v="6.11"/>
    <n v="387.16"/>
    <x v="1"/>
    <x v="0"/>
    <s v="Philadelphia"/>
    <s v="PA"/>
    <s v="United States"/>
  </r>
  <r>
    <x v="332"/>
    <x v="103"/>
    <s v="CUST031200"/>
    <s v="Vihaan Singh"/>
    <s v="Office Chair"/>
    <x v="3"/>
    <x v="6"/>
    <n v="1"/>
    <n v="240.55"/>
    <n v="0.1"/>
    <n v="10.82"/>
    <n v="14.14"/>
    <n v="241.46"/>
    <x v="3"/>
    <x v="1"/>
    <s v="Indianapolis"/>
    <s v="IN"/>
    <s v="United States"/>
  </r>
  <r>
    <x v="333"/>
    <x v="302"/>
    <s v="CUST002824"/>
    <s v="Priya Verma"/>
    <s v="Sunglasses"/>
    <x v="3"/>
    <x v="8"/>
    <n v="3"/>
    <n v="389.23"/>
    <n v="0"/>
    <n v="140.12"/>
    <n v="7.57"/>
    <n v="1315.38"/>
    <x v="3"/>
    <x v="0"/>
    <s v="Indianapolis"/>
    <s v="IN"/>
    <s v="United States"/>
  </r>
  <r>
    <x v="334"/>
    <x v="303"/>
    <s v="CUST046488"/>
    <s v="Ritika Sharma"/>
    <s v="Wireless Earbuds"/>
    <x v="1"/>
    <x v="3"/>
    <n v="3"/>
    <n v="400.38"/>
    <n v="0"/>
    <n v="216.21"/>
    <n v="8.35"/>
    <n v="1425.7"/>
    <x v="4"/>
    <x v="0"/>
    <s v="Indianapolis"/>
    <s v="IN"/>
    <s v="India"/>
  </r>
  <r>
    <x v="335"/>
    <x v="245"/>
    <s v="CUST000068"/>
    <s v="Priya Kapoor"/>
    <s v="Action Camera"/>
    <x v="5"/>
    <x v="4"/>
    <n v="1"/>
    <n v="501.07"/>
    <n v="0"/>
    <n v="25.05"/>
    <n v="1.54"/>
    <n v="527.66"/>
    <x v="1"/>
    <x v="0"/>
    <s v="San Francisco"/>
    <s v="CA"/>
    <s v="United States"/>
  </r>
  <r>
    <x v="336"/>
    <x v="304"/>
    <s v="CUST025908"/>
    <s v="Sunita Mehta"/>
    <s v="Running Shoes"/>
    <x v="2"/>
    <x v="1"/>
    <n v="1"/>
    <n v="296.93"/>
    <n v="0.05"/>
    <n v="33.85"/>
    <n v="5.35"/>
    <n v="321.27999999999997"/>
    <x v="1"/>
    <x v="0"/>
    <s v="Houston"/>
    <s v="TX"/>
    <s v="United States"/>
  </r>
  <r>
    <x v="337"/>
    <x v="305"/>
    <s v="CUST012590"/>
    <s v="Rohit Verma"/>
    <s v="Mechanical Keyboard"/>
    <x v="1"/>
    <x v="8"/>
    <n v="2"/>
    <n v="30.67"/>
    <n v="0.05"/>
    <n v="2.91"/>
    <n v="6.88"/>
    <n v="68.06"/>
    <x v="3"/>
    <x v="3"/>
    <s v="Fort Worth"/>
    <s v="TX"/>
    <s v="United States"/>
  </r>
  <r>
    <x v="338"/>
    <x v="306"/>
    <s v="CUST043281"/>
    <s v="Ritika Kumar"/>
    <s v="Mechanical Keyboard"/>
    <x v="0"/>
    <x v="1"/>
    <n v="2"/>
    <n v="559.24"/>
    <n v="0"/>
    <n v="134.22"/>
    <n v="11.03"/>
    <n v="1263.73"/>
    <x v="0"/>
    <x v="0"/>
    <s v="Denver"/>
    <s v="CO"/>
    <s v="United States"/>
  </r>
  <r>
    <x v="339"/>
    <x v="307"/>
    <s v="CUST023061"/>
    <s v="Vihaan Gupta"/>
    <s v="Smartphone Case"/>
    <x v="3"/>
    <x v="3"/>
    <n v="3"/>
    <n v="72.83"/>
    <n v="0.1"/>
    <n v="15.73"/>
    <n v="0.49"/>
    <n v="212.86"/>
    <x v="3"/>
    <x v="0"/>
    <s v="New York"/>
    <s v="NY"/>
    <s v="United States"/>
  </r>
  <r>
    <x v="340"/>
    <x v="308"/>
    <s v="CUST024329"/>
    <s v="Kabir Verma"/>
    <s v="Desk Plant"/>
    <x v="3"/>
    <x v="3"/>
    <n v="3"/>
    <n v="94.51"/>
    <n v="0.2"/>
    <n v="11.34"/>
    <n v="5.78"/>
    <n v="243.94"/>
    <x v="0"/>
    <x v="0"/>
    <s v="Phoenix"/>
    <s v="AZ"/>
    <s v="United States"/>
  </r>
  <r>
    <x v="341"/>
    <x v="309"/>
    <s v="CUST049916"/>
    <s v="Ritika Sharma"/>
    <s v="Drone Mini"/>
    <x v="0"/>
    <x v="6"/>
    <n v="2"/>
    <n v="487.8"/>
    <n v="0.05"/>
    <n v="74.150000000000006"/>
    <n v="14.57"/>
    <n v="1015.54"/>
    <x v="1"/>
    <x v="0"/>
    <s v="Chicago"/>
    <s v="IL"/>
    <s v="United States"/>
  </r>
  <r>
    <x v="342"/>
    <x v="191"/>
    <s v="CUST005573"/>
    <s v="Vikas Reddy"/>
    <s v="Microphone"/>
    <x v="3"/>
    <x v="3"/>
    <n v="3"/>
    <n v="203.88"/>
    <n v="0"/>
    <n v="48.93"/>
    <n v="1.71"/>
    <n v="662.28"/>
    <x v="4"/>
    <x v="0"/>
    <s v="Indianapolis"/>
    <s v="IN"/>
    <s v="United States"/>
  </r>
  <r>
    <x v="343"/>
    <x v="310"/>
    <s v="CUST041438"/>
    <s v="Karan Patel"/>
    <s v="Running Shoes"/>
    <x v="0"/>
    <x v="2"/>
    <n v="5"/>
    <n v="39.9"/>
    <n v="0.1"/>
    <n v="8.98"/>
    <n v="9.41"/>
    <n v="197.94"/>
    <x v="1"/>
    <x v="2"/>
    <s v="Seattle"/>
    <s v="WA"/>
    <s v="United States"/>
  </r>
  <r>
    <x v="344"/>
    <x v="311"/>
    <s v="CUST027366"/>
    <s v="Aditya Reddy"/>
    <s v="Drone Mini"/>
    <x v="0"/>
    <x v="6"/>
    <n v="1"/>
    <n v="56.87"/>
    <n v="0.1"/>
    <n v="4.09"/>
    <n v="3.54"/>
    <n v="58.81"/>
    <x v="5"/>
    <x v="0"/>
    <s v="Philadelphia"/>
    <s v="PA"/>
    <s v="Australia"/>
  </r>
  <r>
    <x v="345"/>
    <x v="231"/>
    <s v="CUST013256"/>
    <s v="Anjali Sharma"/>
    <s v="Router"/>
    <x v="4"/>
    <x v="5"/>
    <n v="1"/>
    <n v="369.08"/>
    <n v="0"/>
    <n v="18.45"/>
    <n v="1.59"/>
    <n v="389.12"/>
    <x v="4"/>
    <x v="0"/>
    <s v="San Jose"/>
    <s v="CA"/>
    <s v="United States"/>
  </r>
  <r>
    <x v="346"/>
    <x v="312"/>
    <s v="CUST037808"/>
    <s v="Karan Joshi"/>
    <s v="Wireless Earbuds"/>
    <x v="1"/>
    <x v="9"/>
    <n v="5"/>
    <n v="410.33"/>
    <n v="0"/>
    <n v="164.13"/>
    <n v="4.18"/>
    <n v="2219.96"/>
    <x v="0"/>
    <x v="0"/>
    <s v="Philadelphia"/>
    <s v="PA"/>
    <s v="United States"/>
  </r>
  <r>
    <x v="347"/>
    <x v="313"/>
    <s v="CUST012334"/>
    <s v="Vihaan Mehta"/>
    <s v="Office Chair"/>
    <x v="1"/>
    <x v="5"/>
    <n v="2"/>
    <n v="29.1"/>
    <n v="0.2"/>
    <n v="2.33"/>
    <n v="3.83"/>
    <n v="52.72"/>
    <x v="1"/>
    <x v="0"/>
    <s v="San Francisco"/>
    <s v="CA"/>
    <s v="United States"/>
  </r>
  <r>
    <x v="348"/>
    <x v="98"/>
    <s v="CUST046689"/>
    <s v="Vikas Joshi"/>
    <s v="Router"/>
    <x v="0"/>
    <x v="7"/>
    <n v="2"/>
    <n v="116.97"/>
    <n v="0"/>
    <n v="18.72"/>
    <n v="8.01"/>
    <n v="260.67"/>
    <x v="4"/>
    <x v="0"/>
    <s v="Denver"/>
    <s v="CO"/>
    <s v="India"/>
  </r>
  <r>
    <x v="349"/>
    <x v="314"/>
    <s v="CUST017408"/>
    <s v="Arjun Mehta"/>
    <s v="Portable SSD 1TB"/>
    <x v="4"/>
    <x v="5"/>
    <n v="5"/>
    <n v="548.98"/>
    <n v="0"/>
    <n v="219.59"/>
    <n v="11.56"/>
    <n v="2976.05"/>
    <x v="1"/>
    <x v="0"/>
    <s v="Fort Worth"/>
    <s v="TX"/>
    <s v="United States"/>
  </r>
  <r>
    <x v="350"/>
    <x v="55"/>
    <s v="CUST014960"/>
    <s v="Mohit Reddy"/>
    <s v="Phone Tripod"/>
    <x v="0"/>
    <x v="0"/>
    <n v="5"/>
    <n v="578.85"/>
    <n v="0"/>
    <n v="144.71"/>
    <n v="12.07"/>
    <n v="3051.03"/>
    <x v="3"/>
    <x v="0"/>
    <s v="Chicago"/>
    <s v="IL"/>
    <s v="United States"/>
  </r>
  <r>
    <x v="351"/>
    <x v="315"/>
    <s v="CUST010085"/>
    <s v="Pooja Kapoor"/>
    <s v="Microphone"/>
    <x v="3"/>
    <x v="4"/>
    <n v="3"/>
    <n v="366.04"/>
    <n v="0"/>
    <n v="87.85"/>
    <n v="4.55"/>
    <n v="1190.52"/>
    <x v="0"/>
    <x v="3"/>
    <s v="San Jose"/>
    <s v="CA"/>
    <s v="United Kingdom"/>
  </r>
  <r>
    <x v="352"/>
    <x v="316"/>
    <s v="CUST021961"/>
    <s v="Sahil Joshi"/>
    <s v="Vacuum Cleaner"/>
    <x v="5"/>
    <x v="6"/>
    <n v="4"/>
    <n v="400.22"/>
    <n v="0"/>
    <n v="0"/>
    <n v="5.53"/>
    <n v="1606.41"/>
    <x v="4"/>
    <x v="3"/>
    <s v="Dallas"/>
    <s v="TX"/>
    <s v="United States"/>
  </r>
  <r>
    <x v="353"/>
    <x v="317"/>
    <s v="CUST029119"/>
    <s v="Simran Mehta"/>
    <s v="Microphone"/>
    <x v="3"/>
    <x v="5"/>
    <n v="2"/>
    <n v="597.49"/>
    <n v="0.25"/>
    <n v="0"/>
    <n v="3.29"/>
    <n v="899.52"/>
    <x v="4"/>
    <x v="0"/>
    <s v="San Francisco"/>
    <s v="CA"/>
    <s v="India"/>
  </r>
  <r>
    <x v="354"/>
    <x v="318"/>
    <s v="CUST037507"/>
    <s v="Ritika Gupta"/>
    <s v="Wireless Earbuds"/>
    <x v="4"/>
    <x v="6"/>
    <n v="2"/>
    <n v="57.37"/>
    <n v="0"/>
    <n v="5.74"/>
    <n v="0.48"/>
    <n v="120.96"/>
    <x v="2"/>
    <x v="3"/>
    <s v="Indianapolis"/>
    <s v="IN"/>
    <s v="United States"/>
  </r>
  <r>
    <x v="355"/>
    <x v="319"/>
    <s v="CUST006815"/>
    <s v="Anjali Kumar"/>
    <s v="Mechanical Keyboard"/>
    <x v="1"/>
    <x v="0"/>
    <n v="2"/>
    <n v="327.8"/>
    <n v="0.1"/>
    <n v="70.8"/>
    <n v="13.68"/>
    <n v="674.52"/>
    <x v="4"/>
    <x v="0"/>
    <s v="New York"/>
    <s v="NY"/>
    <s v="United Kingdom"/>
  </r>
  <r>
    <x v="356"/>
    <x v="215"/>
    <s v="CUST039527"/>
    <s v="Aditya Gupta"/>
    <s v="Wireless Charger"/>
    <x v="2"/>
    <x v="1"/>
    <n v="5"/>
    <n v="453.11"/>
    <n v="0.15"/>
    <n v="96.29"/>
    <n v="14.15"/>
    <n v="2036.16"/>
    <x v="0"/>
    <x v="0"/>
    <s v="New York"/>
    <s v="NY"/>
    <s v="United States"/>
  </r>
  <r>
    <x v="357"/>
    <x v="320"/>
    <s v="CUST021127"/>
    <s v="Simran Kumar"/>
    <s v="Noise Cancelling Headphones"/>
    <x v="5"/>
    <x v="0"/>
    <n v="2"/>
    <n v="138.19"/>
    <n v="0.1"/>
    <n v="29.85"/>
    <n v="3.32"/>
    <n v="281.91000000000003"/>
    <x v="1"/>
    <x v="0"/>
    <s v="San Diego"/>
    <s v="CA"/>
    <s v="United States"/>
  </r>
  <r>
    <x v="358"/>
    <x v="241"/>
    <s v="CUST034300"/>
    <s v="Simran Kapoor"/>
    <s v="External HDD 2TB"/>
    <x v="0"/>
    <x v="7"/>
    <n v="2"/>
    <n v="569.77"/>
    <n v="0.05"/>
    <n v="86.61"/>
    <n v="9.56"/>
    <n v="1178.73"/>
    <x v="0"/>
    <x v="2"/>
    <s v="Washington"/>
    <s v="DC"/>
    <s v="United States"/>
  </r>
  <r>
    <x v="359"/>
    <x v="321"/>
    <s v="CUST021084"/>
    <s v="Kabir Mehta"/>
    <s v="Kids Toy Car"/>
    <x v="1"/>
    <x v="7"/>
    <n v="3"/>
    <n v="392.25"/>
    <n v="0.15"/>
    <n v="80.02"/>
    <n v="5.31"/>
    <n v="1085.57"/>
    <x v="3"/>
    <x v="0"/>
    <s v="Phoenix"/>
    <s v="AZ"/>
    <s v="United States"/>
  </r>
  <r>
    <x v="360"/>
    <x v="322"/>
    <s v="CUST005859"/>
    <s v="Anjali Sharma"/>
    <s v="Wireless Charger"/>
    <x v="3"/>
    <x v="4"/>
    <n v="5"/>
    <n v="131.34"/>
    <n v="0.05"/>
    <n v="49.91"/>
    <n v="1.64"/>
    <n v="675.42"/>
    <x v="1"/>
    <x v="2"/>
    <s v="Fort Worth"/>
    <s v="TX"/>
    <s v="United States"/>
  </r>
  <r>
    <x v="361"/>
    <x v="323"/>
    <s v="CUST049807"/>
    <s v="Neha Patel"/>
    <s v="Noise Cancelling Headphones"/>
    <x v="2"/>
    <x v="0"/>
    <n v="5"/>
    <n v="530.30999999999995"/>
    <n v="0"/>
    <n v="212.12"/>
    <n v="14.86"/>
    <n v="2878.53"/>
    <x v="3"/>
    <x v="1"/>
    <s v="San Francisco"/>
    <s v="CA"/>
    <s v="Australia"/>
  </r>
  <r>
    <x v="362"/>
    <x v="306"/>
    <s v="CUST041735"/>
    <s v="Mohit Joshi"/>
    <s v="Desk Organizer"/>
    <x v="1"/>
    <x v="3"/>
    <n v="3"/>
    <n v="62.04"/>
    <n v="0"/>
    <n v="22.33"/>
    <n v="4.3600000000000003"/>
    <n v="212.81"/>
    <x v="4"/>
    <x v="1"/>
    <s v="San Jose"/>
    <s v="CA"/>
    <s v="Canada"/>
  </r>
  <r>
    <x v="363"/>
    <x v="324"/>
    <s v="CUST014691"/>
    <s v="Rohit Patel"/>
    <s v="Memory Card 128GB"/>
    <x v="0"/>
    <x v="6"/>
    <n v="4"/>
    <n v="591.4"/>
    <n v="0"/>
    <n v="283.87"/>
    <n v="6.44"/>
    <n v="2655.91"/>
    <x v="3"/>
    <x v="0"/>
    <s v="Phoenix"/>
    <s v="AZ"/>
    <s v="United States"/>
  </r>
  <r>
    <x v="364"/>
    <x v="325"/>
    <s v="CUST028272"/>
    <s v="Pooja Patel"/>
    <s v="LED Desk Lamp"/>
    <x v="4"/>
    <x v="8"/>
    <n v="5"/>
    <n v="104.87"/>
    <n v="0.05"/>
    <n v="39.85"/>
    <n v="10.01"/>
    <n v="547.99"/>
    <x v="0"/>
    <x v="1"/>
    <s v="Fort Worth"/>
    <s v="TX"/>
    <s v="India"/>
  </r>
  <r>
    <x v="365"/>
    <x v="326"/>
    <s v="CUST006623"/>
    <s v="Pooja Kapoor"/>
    <s v="Wireless Charger"/>
    <x v="0"/>
    <x v="6"/>
    <n v="3"/>
    <n v="436.37"/>
    <n v="0.05"/>
    <n v="99.49"/>
    <n v="0.63"/>
    <n v="1343.77"/>
    <x v="0"/>
    <x v="3"/>
    <s v="Los Angeles"/>
    <s v="CA"/>
    <s v="United Kingdom"/>
  </r>
  <r>
    <x v="366"/>
    <x v="208"/>
    <s v="CUST038822"/>
    <s v="Pooja Reddy"/>
    <s v="Action Camera"/>
    <x v="5"/>
    <x v="1"/>
    <n v="1"/>
    <n v="172.84"/>
    <n v="0"/>
    <n v="13.83"/>
    <n v="1.67"/>
    <n v="188.34"/>
    <x v="3"/>
    <x v="3"/>
    <s v="Phoenix"/>
    <s v="AZ"/>
    <s v="United States"/>
  </r>
  <r>
    <x v="367"/>
    <x v="153"/>
    <s v="CUST005512"/>
    <s v="Aarav Reddy"/>
    <s v="Air Fryer"/>
    <x v="4"/>
    <x v="2"/>
    <n v="3"/>
    <n v="43.51"/>
    <n v="0"/>
    <n v="15.66"/>
    <n v="12.06"/>
    <n v="158.25"/>
    <x v="3"/>
    <x v="0"/>
    <s v="Columbus"/>
    <s v="OH"/>
    <s v="United States"/>
  </r>
  <r>
    <x v="368"/>
    <x v="327"/>
    <s v="CUST011448"/>
    <s v="Rohit Verma"/>
    <s v="Running Shoes"/>
    <x v="5"/>
    <x v="9"/>
    <n v="1"/>
    <n v="275.24"/>
    <n v="0.25"/>
    <n v="10.32"/>
    <n v="11.03"/>
    <n v="227.78"/>
    <x v="3"/>
    <x v="3"/>
    <s v="Washington"/>
    <s v="DC"/>
    <s v="United States"/>
  </r>
  <r>
    <x v="369"/>
    <x v="328"/>
    <s v="CUST045030"/>
    <s v="Sneha Mehta"/>
    <s v="Desk Organizer"/>
    <x v="4"/>
    <x v="4"/>
    <n v="4"/>
    <n v="575.92999999999995"/>
    <n v="0.15"/>
    <n v="97.91"/>
    <n v="14.12"/>
    <n v="2070.19"/>
    <x v="2"/>
    <x v="4"/>
    <s v="Dallas"/>
    <s v="TX"/>
    <s v="United States"/>
  </r>
  <r>
    <x v="370"/>
    <x v="329"/>
    <s v="CUST040400"/>
    <s v="Neha Reddy"/>
    <s v="Electric Kettle"/>
    <x v="2"/>
    <x v="1"/>
    <n v="3"/>
    <n v="156.91999999999999"/>
    <n v="0.15"/>
    <n v="20.010000000000002"/>
    <n v="10.53"/>
    <n v="430.69"/>
    <x v="0"/>
    <x v="0"/>
    <s v="Jacksonville"/>
    <s v="FL"/>
    <s v="United States"/>
  </r>
  <r>
    <x v="371"/>
    <x v="109"/>
    <s v="CUST008802"/>
    <s v="Sneha Joshi"/>
    <s v="Microphone"/>
    <x v="5"/>
    <x v="2"/>
    <n v="5"/>
    <n v="210.04"/>
    <n v="0"/>
    <n v="126.02"/>
    <n v="0.49"/>
    <n v="1176.71"/>
    <x v="1"/>
    <x v="3"/>
    <s v="Austin"/>
    <s v="TX"/>
    <s v="United States"/>
  </r>
  <r>
    <x v="372"/>
    <x v="330"/>
    <s v="CUST049537"/>
    <s v="Neha Joshi"/>
    <s v="Dress Shirt"/>
    <x v="3"/>
    <x v="1"/>
    <n v="5"/>
    <n v="591.47"/>
    <n v="0"/>
    <n v="0"/>
    <n v="9.52"/>
    <n v="2966.87"/>
    <x v="0"/>
    <x v="0"/>
    <s v="Los Angeles"/>
    <s v="CA"/>
    <s v="United States"/>
  </r>
  <r>
    <x v="373"/>
    <x v="331"/>
    <s v="CUST047635"/>
    <s v="Aarav Verma"/>
    <s v="Winter Jacket"/>
    <x v="3"/>
    <x v="0"/>
    <n v="1"/>
    <n v="345.41"/>
    <n v="0.05"/>
    <n v="16.41"/>
    <n v="2.0299999999999998"/>
    <n v="346.58"/>
    <x v="5"/>
    <x v="3"/>
    <s v="San Francisco"/>
    <s v="CA"/>
    <s v="India"/>
  </r>
  <r>
    <x v="374"/>
    <x v="332"/>
    <s v="CUST014084"/>
    <s v="Priya Kumar"/>
    <s v="Board Game"/>
    <x v="2"/>
    <x v="3"/>
    <n v="3"/>
    <n v="426.35"/>
    <n v="0.25"/>
    <n v="47.96"/>
    <n v="2.41"/>
    <n v="1009.66"/>
    <x v="4"/>
    <x v="0"/>
    <s v="Washington"/>
    <s v="DC"/>
    <s v="United States"/>
  </r>
  <r>
    <x v="375"/>
    <x v="333"/>
    <s v="CUST000192"/>
    <s v="Sunita Kumar"/>
    <s v="Children's Book"/>
    <x v="1"/>
    <x v="9"/>
    <n v="4"/>
    <n v="100.2"/>
    <n v="0.2"/>
    <n v="38.479999999999997"/>
    <n v="12.41"/>
    <n v="371.53"/>
    <x v="0"/>
    <x v="4"/>
    <s v="San Diego"/>
    <s v="CA"/>
    <s v="United States"/>
  </r>
  <r>
    <x v="376"/>
    <x v="334"/>
    <s v="CUST040930"/>
    <s v="Priya Kapoor"/>
    <s v="Projector Mini"/>
    <x v="4"/>
    <x v="6"/>
    <n v="2"/>
    <n v="317.20999999999998"/>
    <n v="0.2"/>
    <n v="25.38"/>
    <n v="2.14"/>
    <n v="535.05999999999995"/>
    <x v="1"/>
    <x v="0"/>
    <s v="San Diego"/>
    <s v="CA"/>
    <s v="United States"/>
  </r>
  <r>
    <x v="377"/>
    <x v="335"/>
    <s v="CUST006786"/>
    <s v="Vikas Joshi"/>
    <s v="Kids Toy Car"/>
    <x v="4"/>
    <x v="1"/>
    <n v="3"/>
    <n v="430.49"/>
    <n v="0"/>
    <n v="64.569999999999993"/>
    <n v="7.48"/>
    <n v="1363.52"/>
    <x v="1"/>
    <x v="0"/>
    <s v="Jacksonville"/>
    <s v="FL"/>
    <s v="India"/>
  </r>
  <r>
    <x v="378"/>
    <x v="336"/>
    <s v="CUST044236"/>
    <s v="Sahil Reddy"/>
    <s v="Action Camera"/>
    <x v="3"/>
    <x v="2"/>
    <n v="3"/>
    <n v="47.17"/>
    <n v="0.3"/>
    <n v="7.92"/>
    <n v="0.96"/>
    <n v="107.94"/>
    <x v="0"/>
    <x v="0"/>
    <s v="San Francisco"/>
    <s v="CA"/>
    <s v="United Kingdom"/>
  </r>
  <r>
    <x v="379"/>
    <x v="337"/>
    <s v="CUST035512"/>
    <s v="Vikas Mehta"/>
    <s v="Drone Mini"/>
    <x v="5"/>
    <x v="2"/>
    <n v="2"/>
    <n v="427.06"/>
    <n v="0.15"/>
    <n v="0"/>
    <n v="2.99"/>
    <n v="728.99"/>
    <x v="4"/>
    <x v="3"/>
    <s v="Houston"/>
    <s v="TX"/>
    <s v="India"/>
  </r>
  <r>
    <x v="380"/>
    <x v="338"/>
    <s v="CUST044533"/>
    <s v="Sahil Patel"/>
    <s v="Action Camera"/>
    <x v="1"/>
    <x v="2"/>
    <n v="4"/>
    <n v="40.92"/>
    <n v="0.15"/>
    <n v="11.13"/>
    <n v="3.59"/>
    <n v="153.85"/>
    <x v="2"/>
    <x v="0"/>
    <s v="Phoenix"/>
    <s v="AZ"/>
    <s v="United States"/>
  </r>
  <r>
    <x v="381"/>
    <x v="165"/>
    <s v="CUST015840"/>
    <s v="Vikas Joshi"/>
    <s v="LED Desk Lamp"/>
    <x v="3"/>
    <x v="4"/>
    <n v="3"/>
    <n v="106.51"/>
    <n v="0"/>
    <n v="38.340000000000003"/>
    <n v="12.83"/>
    <n v="370.7"/>
    <x v="2"/>
    <x v="0"/>
    <s v="Charlotte"/>
    <s v="NC"/>
    <s v="United States"/>
  </r>
  <r>
    <x v="382"/>
    <x v="339"/>
    <s v="CUST012211"/>
    <s v="Pooja Gupta"/>
    <s v="Noise Cancelling Headphones"/>
    <x v="2"/>
    <x v="9"/>
    <n v="2"/>
    <n v="281.89"/>
    <n v="0"/>
    <n v="28.19"/>
    <n v="7.13"/>
    <n v="599.1"/>
    <x v="2"/>
    <x v="4"/>
    <s v="Phoenix"/>
    <s v="AZ"/>
    <s v="India"/>
  </r>
  <r>
    <x v="383"/>
    <x v="98"/>
    <s v="CUST041119"/>
    <s v="Pooja Kumar"/>
    <s v="Puzzle 1000pc"/>
    <x v="0"/>
    <x v="6"/>
    <n v="2"/>
    <n v="413.76"/>
    <n v="0.05"/>
    <n v="39.31"/>
    <n v="12.8"/>
    <n v="838.25"/>
    <x v="3"/>
    <x v="0"/>
    <s v="Philadelphia"/>
    <s v="PA"/>
    <s v="India"/>
  </r>
  <r>
    <x v="384"/>
    <x v="340"/>
    <s v="CUST019770"/>
    <s v="Vihaan Kumar"/>
    <s v="Smart Light Bulb"/>
    <x v="1"/>
    <x v="1"/>
    <n v="2"/>
    <n v="175.99"/>
    <n v="0.05"/>
    <n v="16.72"/>
    <n v="3.99"/>
    <n v="355.09"/>
    <x v="3"/>
    <x v="3"/>
    <s v="Washington"/>
    <s v="DC"/>
    <s v="Australia"/>
  </r>
  <r>
    <x v="385"/>
    <x v="341"/>
    <s v="CUST014244"/>
    <s v="Anjali Verma"/>
    <s v="4K Monitor"/>
    <x v="3"/>
    <x v="5"/>
    <n v="4"/>
    <n v="13.87"/>
    <n v="0.15"/>
    <n v="3.77"/>
    <n v="0.21"/>
    <n v="51.14"/>
    <x v="0"/>
    <x v="0"/>
    <s v="Washington"/>
    <s v="DC"/>
    <s v="India"/>
  </r>
  <r>
    <x v="386"/>
    <x v="342"/>
    <s v="CUST039927"/>
    <s v="Sahil Singh"/>
    <s v="Puzzle 1000pc"/>
    <x v="1"/>
    <x v="3"/>
    <n v="3"/>
    <n v="555.21"/>
    <n v="0.2"/>
    <n v="106.6"/>
    <n v="5.69"/>
    <n v="1444.79"/>
    <x v="5"/>
    <x v="0"/>
    <s v="Seattle"/>
    <s v="WA"/>
    <s v="Canada"/>
  </r>
  <r>
    <x v="387"/>
    <x v="343"/>
    <s v="CUST018394"/>
    <s v="Rohit Kumar"/>
    <s v="Projector Mini"/>
    <x v="3"/>
    <x v="5"/>
    <n v="4"/>
    <n v="172.46"/>
    <n v="0.25"/>
    <n v="41.39"/>
    <n v="8.42"/>
    <n v="567.19000000000005"/>
    <x v="1"/>
    <x v="0"/>
    <s v="San Diego"/>
    <s v="CA"/>
    <s v="United States"/>
  </r>
  <r>
    <x v="388"/>
    <x v="264"/>
    <s v="CUST030988"/>
    <s v="Neha Gupta"/>
    <s v="Children's Book"/>
    <x v="1"/>
    <x v="6"/>
    <n v="4"/>
    <n v="291.26"/>
    <n v="0"/>
    <n v="93.2"/>
    <n v="3.56"/>
    <n v="1261.8"/>
    <x v="3"/>
    <x v="0"/>
    <s v="Chicago"/>
    <s v="IL"/>
    <s v="United States"/>
  </r>
  <r>
    <x v="389"/>
    <x v="344"/>
    <s v="CUST019107"/>
    <s v="Ritika Reddy"/>
    <s v="Cookware Set"/>
    <x v="3"/>
    <x v="8"/>
    <n v="5"/>
    <n v="44.09"/>
    <n v="0"/>
    <n v="26.45"/>
    <n v="5.14"/>
    <n v="252.04"/>
    <x v="1"/>
    <x v="0"/>
    <s v="Charlotte"/>
    <s v="NC"/>
    <s v="India"/>
  </r>
  <r>
    <x v="390"/>
    <x v="146"/>
    <s v="CUST037892"/>
    <s v="Kabir Gupta"/>
    <s v="Graphic Tablet"/>
    <x v="0"/>
    <x v="5"/>
    <n v="3"/>
    <n v="412.81"/>
    <n v="0.3"/>
    <n v="69.349999999999994"/>
    <n v="6.62"/>
    <n v="942.87"/>
    <x v="0"/>
    <x v="0"/>
    <s v="Denver"/>
    <s v="CO"/>
    <s v="United States"/>
  </r>
  <r>
    <x v="391"/>
    <x v="345"/>
    <s v="CUST023324"/>
    <s v="Vihaan Kumar"/>
    <s v="Router"/>
    <x v="5"/>
    <x v="3"/>
    <n v="5"/>
    <n v="477.24"/>
    <n v="0"/>
    <n v="286.33999999999997"/>
    <n v="10.06"/>
    <n v="2682.6"/>
    <x v="1"/>
    <x v="0"/>
    <s v="Charlotte"/>
    <s v="NC"/>
    <s v="United Kingdom"/>
  </r>
  <r>
    <x v="392"/>
    <x v="32"/>
    <s v="CUST030181"/>
    <s v="Priya Kumar"/>
    <s v="Air Fryer"/>
    <x v="3"/>
    <x v="1"/>
    <n v="3"/>
    <n v="278.87"/>
    <n v="0"/>
    <n v="66.930000000000007"/>
    <n v="9.7899999999999991"/>
    <n v="913.33"/>
    <x v="5"/>
    <x v="0"/>
    <s v="Indianapolis"/>
    <s v="IN"/>
    <s v="United States"/>
  </r>
  <r>
    <x v="393"/>
    <x v="283"/>
    <s v="CUST013642"/>
    <s v="Vikas Singh"/>
    <s v="Webcam Full HD"/>
    <x v="5"/>
    <x v="9"/>
    <n v="1"/>
    <n v="99.56"/>
    <n v="0.05"/>
    <n v="7.57"/>
    <n v="7.42"/>
    <n v="109.57"/>
    <x v="0"/>
    <x v="0"/>
    <s v="Philadelphia"/>
    <s v="PA"/>
    <s v="India"/>
  </r>
  <r>
    <x v="394"/>
    <x v="346"/>
    <s v="CUST009422"/>
    <s v="Priya Sharma"/>
    <s v="Novel Bestseller"/>
    <x v="0"/>
    <x v="0"/>
    <n v="3"/>
    <n v="77.650000000000006"/>
    <n v="0.25"/>
    <n v="8.74"/>
    <n v="9.43"/>
    <n v="192.88"/>
    <x v="1"/>
    <x v="0"/>
    <s v="Chicago"/>
    <s v="IL"/>
    <s v="India"/>
  </r>
  <r>
    <x v="395"/>
    <x v="347"/>
    <s v="CUST048133"/>
    <s v="Sahil Singh"/>
    <s v="HDMI Cable 2m"/>
    <x v="1"/>
    <x v="0"/>
    <n v="3"/>
    <n v="567.89"/>
    <n v="0"/>
    <n v="85.18"/>
    <n v="13.57"/>
    <n v="1802.42"/>
    <x v="0"/>
    <x v="0"/>
    <s v="Fort Worth"/>
    <s v="TX"/>
    <s v="United States"/>
  </r>
  <r>
    <x v="396"/>
    <x v="348"/>
    <s v="CUST036618"/>
    <s v="Pooja Sharma"/>
    <s v="Vacuum Cleaner"/>
    <x v="1"/>
    <x v="2"/>
    <n v="2"/>
    <n v="436.96"/>
    <n v="0.25"/>
    <n v="52.44"/>
    <n v="9.2799999999999994"/>
    <n v="717.16"/>
    <x v="3"/>
    <x v="0"/>
    <s v="Indianapolis"/>
    <s v="IN"/>
    <s v="United States"/>
  </r>
  <r>
    <x v="397"/>
    <x v="349"/>
    <s v="CUST011417"/>
    <s v="Vivaan Reddy"/>
    <s v="Webcam Full HD"/>
    <x v="2"/>
    <x v="2"/>
    <n v="3"/>
    <n v="236.65"/>
    <n v="0"/>
    <n v="56.8"/>
    <n v="3.2"/>
    <n v="769.95"/>
    <x v="5"/>
    <x v="0"/>
    <s v="Houston"/>
    <s v="TX"/>
    <s v="India"/>
  </r>
  <r>
    <x v="398"/>
    <x v="350"/>
    <s v="CUST034217"/>
    <s v="Priya Singh"/>
    <s v="Smartwatch"/>
    <x v="5"/>
    <x v="1"/>
    <n v="4"/>
    <n v="124.35"/>
    <n v="0"/>
    <n v="24.87"/>
    <n v="12.79"/>
    <n v="535.05999999999995"/>
    <x v="0"/>
    <x v="3"/>
    <s v="Los Angeles"/>
    <s v="CA"/>
    <s v="Canada"/>
  </r>
  <r>
    <x v="399"/>
    <x v="351"/>
    <s v="CUST033773"/>
    <s v="Neha Verma"/>
    <s v="Children's Book"/>
    <x v="4"/>
    <x v="8"/>
    <n v="4"/>
    <n v="388.55"/>
    <n v="0"/>
    <n v="77.709999999999994"/>
    <n v="1.1499999999999999"/>
    <n v="1633.06"/>
    <x v="2"/>
    <x v="3"/>
    <s v="Philadelphia"/>
    <s v="PA"/>
    <s v="United States"/>
  </r>
  <r>
    <x v="400"/>
    <x v="352"/>
    <s v="CUST009971"/>
    <s v="Aarav Kapoor"/>
    <s v="Puzzle 1000pc"/>
    <x v="0"/>
    <x v="5"/>
    <n v="2"/>
    <n v="409.25"/>
    <n v="0.05"/>
    <n v="0"/>
    <n v="13.68"/>
    <n v="791.25"/>
    <x v="3"/>
    <x v="0"/>
    <s v="Washington"/>
    <s v="DC"/>
    <s v="United States"/>
  </r>
  <r>
    <x v="401"/>
    <x v="353"/>
    <s v="CUST016596"/>
    <s v="Priya Joshi"/>
    <s v="Electric Kettle"/>
    <x v="1"/>
    <x v="6"/>
    <n v="2"/>
    <n v="466.29"/>
    <n v="0.3"/>
    <n v="52.22"/>
    <n v="7.92"/>
    <n v="712.95"/>
    <x v="0"/>
    <x v="3"/>
    <s v="San Antonio"/>
    <s v="TX"/>
    <s v="United Kingdom"/>
  </r>
  <r>
    <x v="402"/>
    <x v="50"/>
    <s v="CUST022332"/>
    <s v="Neha Joshi"/>
    <s v="Novel Bestseller"/>
    <x v="1"/>
    <x v="7"/>
    <n v="3"/>
    <n v="321.01"/>
    <n v="0"/>
    <n v="115.56"/>
    <n v="9.7200000000000006"/>
    <n v="1088.31"/>
    <x v="1"/>
    <x v="0"/>
    <s v="Seattle"/>
    <s v="WA"/>
    <s v="Australia"/>
  </r>
  <r>
    <x v="403"/>
    <x v="354"/>
    <s v="CUST027937"/>
    <s v="Anjali Singh"/>
    <s v="Running Shoes"/>
    <x v="3"/>
    <x v="5"/>
    <n v="4"/>
    <n v="145.75"/>
    <n v="0.15"/>
    <n v="59.47"/>
    <n v="9.7799999999999994"/>
    <n v="564.79999999999995"/>
    <x v="3"/>
    <x v="0"/>
    <s v="Houston"/>
    <s v="TX"/>
    <s v="India"/>
  </r>
  <r>
    <x v="404"/>
    <x v="355"/>
    <s v="CUST030345"/>
    <s v="Vivaan Gupta"/>
    <s v="Office Chair"/>
    <x v="0"/>
    <x v="5"/>
    <n v="3"/>
    <n v="557.97"/>
    <n v="0.05"/>
    <n v="190.83"/>
    <n v="13.16"/>
    <n v="1794.2"/>
    <x v="0"/>
    <x v="0"/>
    <s v="Los Angeles"/>
    <s v="CA"/>
    <s v="India"/>
  </r>
  <r>
    <x v="405"/>
    <x v="213"/>
    <s v="CUST008370"/>
    <s v="Neha Verma"/>
    <s v="Smart Light Bulb"/>
    <x v="5"/>
    <x v="6"/>
    <n v="2"/>
    <n v="353.9"/>
    <n v="0"/>
    <n v="56.62"/>
    <n v="6.24"/>
    <n v="770.66"/>
    <x v="3"/>
    <x v="0"/>
    <s v="Denver"/>
    <s v="CO"/>
    <s v="United States"/>
  </r>
  <r>
    <x v="406"/>
    <x v="356"/>
    <s v="CUST044703"/>
    <s v="Aditya Mehta"/>
    <s v="Sunglasses"/>
    <x v="4"/>
    <x v="7"/>
    <n v="5"/>
    <n v="7.14"/>
    <n v="0.1"/>
    <n v="0"/>
    <n v="4.57"/>
    <n v="36.700000000000003"/>
    <x v="5"/>
    <x v="0"/>
    <s v="San Francisco"/>
    <s v="CA"/>
    <s v="United States"/>
  </r>
  <r>
    <x v="407"/>
    <x v="357"/>
    <s v="CUST030597"/>
    <s v="Neha Verma"/>
    <s v="Graphic Tablet"/>
    <x v="0"/>
    <x v="5"/>
    <n v="5"/>
    <n v="237.5"/>
    <n v="0"/>
    <n v="95"/>
    <n v="7.08"/>
    <n v="1289.58"/>
    <x v="0"/>
    <x v="0"/>
    <s v="Austin"/>
    <s v="TX"/>
    <s v="United States"/>
  </r>
  <r>
    <x v="408"/>
    <x v="339"/>
    <s v="CUST045230"/>
    <s v="Ritika Sharma"/>
    <s v="Sunglasses"/>
    <x v="4"/>
    <x v="7"/>
    <n v="4"/>
    <n v="133.38999999999999"/>
    <n v="0"/>
    <n v="96.04"/>
    <n v="5.4"/>
    <n v="635"/>
    <x v="2"/>
    <x v="4"/>
    <s v="San Jose"/>
    <s v="CA"/>
    <s v="United States"/>
  </r>
  <r>
    <x v="409"/>
    <x v="358"/>
    <s v="CUST022493"/>
    <s v="Arjun Singh"/>
    <s v="Smartphone Case"/>
    <x v="4"/>
    <x v="3"/>
    <n v="5"/>
    <n v="262.89999999999998"/>
    <n v="0"/>
    <n v="65.73"/>
    <n v="12.41"/>
    <n v="1392.64"/>
    <x v="3"/>
    <x v="0"/>
    <s v="Charlotte"/>
    <s v="NC"/>
    <s v="India"/>
  </r>
  <r>
    <x v="410"/>
    <x v="359"/>
    <s v="CUST045811"/>
    <s v="Ritika Gupta"/>
    <s v="LED Desk Lamp"/>
    <x v="1"/>
    <x v="7"/>
    <n v="3"/>
    <n v="446.18"/>
    <n v="0"/>
    <n v="160.62"/>
    <n v="0.96"/>
    <n v="1500.12"/>
    <x v="1"/>
    <x v="0"/>
    <s v="Houston"/>
    <s v="TX"/>
    <s v="United States"/>
  </r>
  <r>
    <x v="411"/>
    <x v="360"/>
    <s v="CUST041583"/>
    <s v="Aditya Kumar"/>
    <s v="Air Fryer"/>
    <x v="2"/>
    <x v="9"/>
    <n v="5"/>
    <n v="187.2"/>
    <n v="0.25"/>
    <n v="35.1"/>
    <n v="9.8699999999999992"/>
    <n v="746.97"/>
    <x v="3"/>
    <x v="0"/>
    <s v="San Antonio"/>
    <s v="TX"/>
    <s v="United States"/>
  </r>
  <r>
    <x v="412"/>
    <x v="110"/>
    <s v="CUST049796"/>
    <s v="Vihaan Reddy"/>
    <s v="Webcam Full HD"/>
    <x v="2"/>
    <x v="8"/>
    <n v="1"/>
    <n v="52.83"/>
    <n v="0"/>
    <n v="2.64"/>
    <n v="5.48"/>
    <n v="60.95"/>
    <x v="3"/>
    <x v="0"/>
    <s v="Jacksonville"/>
    <s v="FL"/>
    <s v="India"/>
  </r>
  <r>
    <x v="413"/>
    <x v="361"/>
    <s v="CUST000031"/>
    <s v="Karan Kapoor"/>
    <s v="Laptop Sleeve"/>
    <x v="5"/>
    <x v="5"/>
    <n v="3"/>
    <n v="451.4"/>
    <n v="0.25"/>
    <n v="121.88"/>
    <n v="3.69"/>
    <n v="1141.22"/>
    <x v="0"/>
    <x v="3"/>
    <s v="Seattle"/>
    <s v="WA"/>
    <s v="United States"/>
  </r>
  <r>
    <x v="414"/>
    <x v="362"/>
    <s v="CUST008196"/>
    <s v="Kabir Kapoor"/>
    <s v="Yoga Mat"/>
    <x v="1"/>
    <x v="1"/>
    <n v="3"/>
    <n v="532.69000000000005"/>
    <n v="0"/>
    <n v="287.64999999999998"/>
    <n v="10.38"/>
    <n v="1896.1"/>
    <x v="1"/>
    <x v="1"/>
    <s v="Washington"/>
    <s v="DC"/>
    <s v="India"/>
  </r>
  <r>
    <x v="415"/>
    <x v="308"/>
    <s v="CUST013179"/>
    <s v="Sneha Reddy"/>
    <s v="Instant Pot"/>
    <x v="2"/>
    <x v="1"/>
    <n v="1"/>
    <n v="52.02"/>
    <n v="0"/>
    <n v="9.36"/>
    <n v="11.07"/>
    <n v="72.45"/>
    <x v="0"/>
    <x v="0"/>
    <s v="San Francisco"/>
    <s v="CA"/>
    <s v="United States"/>
  </r>
  <r>
    <x v="416"/>
    <x v="363"/>
    <s v="CUST000018"/>
    <s v="Sunita Joshi"/>
    <s v="Backpack"/>
    <x v="0"/>
    <x v="3"/>
    <n v="4"/>
    <n v="514.98"/>
    <n v="0.05"/>
    <n v="0"/>
    <n v="3.55"/>
    <n v="1960.47"/>
    <x v="3"/>
    <x v="0"/>
    <s v="Philadelphia"/>
    <s v="PA"/>
    <s v="United States"/>
  </r>
  <r>
    <x v="417"/>
    <x v="98"/>
    <s v="CUST025938"/>
    <s v="Simran Gupta"/>
    <s v="Dress Shirt"/>
    <x v="5"/>
    <x v="4"/>
    <n v="4"/>
    <n v="557.57000000000005"/>
    <n v="0.15"/>
    <n v="151.66"/>
    <n v="11.32"/>
    <n v="2058.7199999999998"/>
    <x v="3"/>
    <x v="0"/>
    <s v="Washington"/>
    <s v="DC"/>
    <s v="United States"/>
  </r>
  <r>
    <x v="418"/>
    <x v="364"/>
    <s v="CUST037096"/>
    <s v="Ritika Mehta"/>
    <s v="Action Camera"/>
    <x v="1"/>
    <x v="2"/>
    <n v="3"/>
    <n v="495.51"/>
    <n v="0.3"/>
    <n v="124.87"/>
    <n v="4.78"/>
    <n v="1170.22"/>
    <x v="5"/>
    <x v="2"/>
    <s v="San Diego"/>
    <s v="CA"/>
    <s v="United States"/>
  </r>
  <r>
    <x v="419"/>
    <x v="365"/>
    <s v="CUST001826"/>
    <s v="Priya Kapoor"/>
    <s v="Smart Light Bulb"/>
    <x v="1"/>
    <x v="2"/>
    <n v="4"/>
    <n v="26.26"/>
    <n v="0.1"/>
    <n v="4.7300000000000004"/>
    <n v="4.1399999999999997"/>
    <n v="103.41"/>
    <x v="1"/>
    <x v="3"/>
    <s v="Denver"/>
    <s v="CO"/>
    <s v="United States"/>
  </r>
  <r>
    <x v="420"/>
    <x v="366"/>
    <s v="CUST024624"/>
    <s v="Kabir Sharma"/>
    <s v="Gaming Mouse"/>
    <x v="5"/>
    <x v="8"/>
    <n v="3"/>
    <n v="177.18"/>
    <n v="0"/>
    <n v="63.78"/>
    <n v="9.18"/>
    <n v="604.5"/>
    <x v="2"/>
    <x v="0"/>
    <s v="Dallas"/>
    <s v="TX"/>
    <s v="United States"/>
  </r>
  <r>
    <x v="421"/>
    <x v="28"/>
    <s v="CUST006207"/>
    <s v="Kabir Verma"/>
    <s v="External HDD 2TB"/>
    <x v="0"/>
    <x v="9"/>
    <n v="3"/>
    <n v="168.62"/>
    <n v="0.05"/>
    <n v="24.03"/>
    <n v="14.43"/>
    <n v="519.03"/>
    <x v="4"/>
    <x v="0"/>
    <s v="San Antonio"/>
    <s v="TX"/>
    <s v="United States"/>
  </r>
  <r>
    <x v="422"/>
    <x v="367"/>
    <s v="CUST019546"/>
    <s v="Rohit Kumar"/>
    <s v="Desk Plant"/>
    <x v="1"/>
    <x v="3"/>
    <n v="2"/>
    <n v="254.34"/>
    <n v="0"/>
    <n v="40.69"/>
    <n v="2.34"/>
    <n v="551.71"/>
    <x v="5"/>
    <x v="3"/>
    <s v="Austin"/>
    <s v="TX"/>
    <s v="United States"/>
  </r>
  <r>
    <x v="423"/>
    <x v="368"/>
    <s v="CUST034816"/>
    <s v="Pooja Verma"/>
    <s v="Gaming Mouse"/>
    <x v="4"/>
    <x v="5"/>
    <n v="5"/>
    <n v="125.23"/>
    <n v="0.15"/>
    <n v="26.61"/>
    <n v="2.11"/>
    <n v="560.95000000000005"/>
    <x v="4"/>
    <x v="0"/>
    <s v="Los Angeles"/>
    <s v="CA"/>
    <s v="United Kingdom"/>
  </r>
  <r>
    <x v="424"/>
    <x v="369"/>
    <s v="CUST007767"/>
    <s v="Mohit Kumar"/>
    <s v="Children's Book"/>
    <x v="1"/>
    <x v="8"/>
    <n v="5"/>
    <n v="556.34"/>
    <n v="0"/>
    <n v="333.8"/>
    <n v="5.55"/>
    <n v="3121.05"/>
    <x v="0"/>
    <x v="3"/>
    <s v="San Francisco"/>
    <s v="CA"/>
    <s v="India"/>
  </r>
  <r>
    <x v="425"/>
    <x v="370"/>
    <s v="CUST024865"/>
    <s v="Mohit Reddy"/>
    <s v="Microphone"/>
    <x v="5"/>
    <x v="0"/>
    <n v="1"/>
    <n v="124.17"/>
    <n v="0.25"/>
    <n v="4.66"/>
    <n v="3.04"/>
    <n v="100.83"/>
    <x v="3"/>
    <x v="0"/>
    <s v="Chicago"/>
    <s v="IL"/>
    <s v="United States"/>
  </r>
  <r>
    <x v="426"/>
    <x v="371"/>
    <s v="CUST007249"/>
    <s v="Aditya Singh"/>
    <s v="Cookware Set"/>
    <x v="4"/>
    <x v="0"/>
    <n v="3"/>
    <n v="234.48"/>
    <n v="0"/>
    <n v="35.17"/>
    <n v="4.3099999999999996"/>
    <n v="742.92"/>
    <x v="5"/>
    <x v="0"/>
    <s v="Denver"/>
    <s v="CO"/>
    <s v="United States"/>
  </r>
  <r>
    <x v="427"/>
    <x v="372"/>
    <s v="CUST024746"/>
    <s v="Aarav Mehta"/>
    <s v="Water Bottle"/>
    <x v="4"/>
    <x v="7"/>
    <n v="5"/>
    <n v="326.45999999999998"/>
    <n v="0"/>
    <n v="293.81"/>
    <n v="6.8"/>
    <n v="1932.91"/>
    <x v="0"/>
    <x v="0"/>
    <s v="Fort Worth"/>
    <s v="TX"/>
    <s v="United States"/>
  </r>
  <r>
    <x v="428"/>
    <x v="373"/>
    <s v="CUST016032"/>
    <s v="Simran Kapoor"/>
    <s v="Drone Mini"/>
    <x v="3"/>
    <x v="9"/>
    <n v="4"/>
    <n v="147"/>
    <n v="0.05"/>
    <n v="27.93"/>
    <n v="7.9"/>
    <n v="594.42999999999995"/>
    <x v="3"/>
    <x v="0"/>
    <s v="San Francisco"/>
    <s v="CA"/>
    <s v="United States"/>
  </r>
  <r>
    <x v="429"/>
    <x v="374"/>
    <s v="CUST028771"/>
    <s v="Neha Gupta"/>
    <s v="Microphone"/>
    <x v="3"/>
    <x v="7"/>
    <n v="4"/>
    <n v="238.49"/>
    <n v="0"/>
    <n v="114.48"/>
    <n v="3.1"/>
    <n v="1071.54"/>
    <x v="1"/>
    <x v="3"/>
    <s v="Washington"/>
    <s v="DC"/>
    <s v="United States"/>
  </r>
  <r>
    <x v="430"/>
    <x v="15"/>
    <s v="CUST023411"/>
    <s v="Vivaan Kumar"/>
    <s v="USB-C Charger"/>
    <x v="3"/>
    <x v="6"/>
    <n v="5"/>
    <n v="464.26"/>
    <n v="0.25"/>
    <n v="87.05"/>
    <n v="4.41"/>
    <n v="1832.44"/>
    <x v="3"/>
    <x v="0"/>
    <s v="San Jose"/>
    <s v="CA"/>
    <s v="United States"/>
  </r>
  <r>
    <x v="431"/>
    <x v="375"/>
    <s v="CUST040414"/>
    <s v="Priya Gupta"/>
    <s v="Backpack"/>
    <x v="5"/>
    <x v="8"/>
    <n v="3"/>
    <n v="162.19"/>
    <n v="0"/>
    <n v="38.93"/>
    <n v="13.08"/>
    <n v="538.58000000000004"/>
    <x v="5"/>
    <x v="0"/>
    <s v="Columbus"/>
    <s v="OH"/>
    <s v="Australia"/>
  </r>
  <r>
    <x v="432"/>
    <x v="153"/>
    <s v="CUST018575"/>
    <s v="Simran Verma"/>
    <s v="USB-C Charger"/>
    <x v="4"/>
    <x v="2"/>
    <n v="4"/>
    <n v="416.04"/>
    <n v="0"/>
    <n v="0"/>
    <n v="3.76"/>
    <n v="1667.92"/>
    <x v="3"/>
    <x v="3"/>
    <s v="Los Angeles"/>
    <s v="CA"/>
    <s v="United States"/>
  </r>
  <r>
    <x v="433"/>
    <x v="217"/>
    <s v="CUST039284"/>
    <s v="Sneha Gupta"/>
    <s v="Novel Bestseller"/>
    <x v="5"/>
    <x v="3"/>
    <n v="5"/>
    <n v="446.28"/>
    <n v="0"/>
    <n v="178.51"/>
    <n v="14.42"/>
    <n v="2424.33"/>
    <x v="4"/>
    <x v="3"/>
    <s v="San Jose"/>
    <s v="CA"/>
    <s v="United States"/>
  </r>
  <r>
    <x v="434"/>
    <x v="309"/>
    <s v="CUST044787"/>
    <s v="Ritika Kumar"/>
    <s v="Novel Bestseller"/>
    <x v="1"/>
    <x v="7"/>
    <n v="1"/>
    <n v="34.57"/>
    <n v="0"/>
    <n v="1.73"/>
    <n v="5.7"/>
    <n v="42"/>
    <x v="2"/>
    <x v="0"/>
    <s v="Denver"/>
    <s v="CO"/>
    <s v="United States"/>
  </r>
  <r>
    <x v="435"/>
    <x v="266"/>
    <s v="CUST013895"/>
    <s v="Karan Verma"/>
    <s v="Router"/>
    <x v="3"/>
    <x v="8"/>
    <n v="2"/>
    <n v="281.76"/>
    <n v="0.15"/>
    <n v="57.48"/>
    <n v="6.97"/>
    <n v="543.44000000000005"/>
    <x v="5"/>
    <x v="0"/>
    <s v="Austin"/>
    <s v="TX"/>
    <s v="United States"/>
  </r>
  <r>
    <x v="436"/>
    <x v="280"/>
    <s v="CUST047497"/>
    <s v="Sahil Kumar"/>
    <s v="Puzzle 1000pc"/>
    <x v="1"/>
    <x v="2"/>
    <n v="5"/>
    <n v="36.14"/>
    <n v="0.05"/>
    <n v="8.58"/>
    <n v="11.65"/>
    <n v="191.9"/>
    <x v="0"/>
    <x v="3"/>
    <s v="Indianapolis"/>
    <s v="IN"/>
    <s v="United Kingdom"/>
  </r>
  <r>
    <x v="437"/>
    <x v="376"/>
    <s v="CUST032397"/>
    <s v="Arjun Gupta"/>
    <s v="USB-C Charger"/>
    <x v="2"/>
    <x v="4"/>
    <n v="5"/>
    <n v="589.23"/>
    <n v="0.15"/>
    <n v="0"/>
    <n v="0.03"/>
    <n v="2504.2600000000002"/>
    <x v="4"/>
    <x v="0"/>
    <s v="Phoenix"/>
    <s v="AZ"/>
    <s v="United Kingdom"/>
  </r>
  <r>
    <x v="438"/>
    <x v="377"/>
    <s v="CUST021608"/>
    <s v="Arjun Verma"/>
    <s v="Desk Organizer"/>
    <x v="4"/>
    <x v="9"/>
    <n v="3"/>
    <n v="108.48"/>
    <n v="0.05"/>
    <n v="37.1"/>
    <n v="14.17"/>
    <n v="360.44"/>
    <x v="0"/>
    <x v="0"/>
    <s v="Phoenix"/>
    <s v="AZ"/>
    <s v="United States"/>
  </r>
  <r>
    <x v="439"/>
    <x v="378"/>
    <s v="CUST042130"/>
    <s v="Vivaan Singh"/>
    <s v="Kids Toy Car"/>
    <x v="3"/>
    <x v="1"/>
    <n v="5"/>
    <n v="446.24"/>
    <n v="0"/>
    <n v="111.56"/>
    <n v="9.36"/>
    <n v="2352.12"/>
    <x v="3"/>
    <x v="0"/>
    <s v="Phoenix"/>
    <s v="AZ"/>
    <s v="United States"/>
  </r>
  <r>
    <x v="440"/>
    <x v="379"/>
    <s v="CUST011939"/>
    <s v="Priya Kapoor"/>
    <s v="Kids Toy Car"/>
    <x v="5"/>
    <x v="9"/>
    <n v="5"/>
    <n v="439.14"/>
    <n v="0.2"/>
    <n v="140.52000000000001"/>
    <n v="3.78"/>
    <n v="1900.86"/>
    <x v="3"/>
    <x v="0"/>
    <s v="Columbus"/>
    <s v="OH"/>
    <s v="United States"/>
  </r>
  <r>
    <x v="441"/>
    <x v="312"/>
    <s v="CUST032769"/>
    <s v="Ritika Gupta"/>
    <s v="Desk Organizer"/>
    <x v="2"/>
    <x v="4"/>
    <n v="4"/>
    <n v="225.16"/>
    <n v="0"/>
    <n v="72.05"/>
    <n v="0.92"/>
    <n v="973.61"/>
    <x v="3"/>
    <x v="0"/>
    <s v="Columbus"/>
    <s v="OH"/>
    <s v="United States"/>
  </r>
  <r>
    <x v="442"/>
    <x v="44"/>
    <s v="CUST039640"/>
    <s v="Simran Verma"/>
    <s v="Mechanical Keyboard"/>
    <x v="1"/>
    <x v="4"/>
    <n v="2"/>
    <n v="430.44"/>
    <n v="0.15"/>
    <n v="87.81"/>
    <n v="0.26"/>
    <n v="819.82"/>
    <x v="0"/>
    <x v="0"/>
    <s v="Philadelphia"/>
    <s v="PA"/>
    <s v="United States"/>
  </r>
  <r>
    <x v="443"/>
    <x v="380"/>
    <s v="CUST005245"/>
    <s v="Simran Gupta"/>
    <s v="Wireless Charger"/>
    <x v="3"/>
    <x v="8"/>
    <n v="4"/>
    <n v="197.15"/>
    <n v="0.05"/>
    <n v="134.85"/>
    <n v="3.07"/>
    <n v="887.09"/>
    <x v="5"/>
    <x v="4"/>
    <s v="San Jose"/>
    <s v="CA"/>
    <s v="United Kingdom"/>
  </r>
  <r>
    <x v="444"/>
    <x v="381"/>
    <s v="CUST029042"/>
    <s v="Sunita Gupta"/>
    <s v="Car Charger"/>
    <x v="1"/>
    <x v="9"/>
    <n v="1"/>
    <n v="68.55"/>
    <n v="0"/>
    <n v="3.43"/>
    <n v="1.06"/>
    <n v="73.040000000000006"/>
    <x v="1"/>
    <x v="0"/>
    <s v="San Diego"/>
    <s v="CA"/>
    <s v="United States"/>
  </r>
  <r>
    <x v="445"/>
    <x v="382"/>
    <s v="CUST007204"/>
    <s v="Aman Reddy"/>
    <s v="Electric Kettle"/>
    <x v="0"/>
    <x v="2"/>
    <n v="1"/>
    <n v="565.14"/>
    <n v="0.2"/>
    <n v="22.61"/>
    <n v="14.44"/>
    <n v="489.16"/>
    <x v="5"/>
    <x v="0"/>
    <s v="Chicago"/>
    <s v="IL"/>
    <s v="Canada"/>
  </r>
  <r>
    <x v="446"/>
    <x v="35"/>
    <s v="CUST049394"/>
    <s v="Neha Joshi"/>
    <s v="Kids Toy Car"/>
    <x v="1"/>
    <x v="1"/>
    <n v="4"/>
    <n v="380.51"/>
    <n v="0"/>
    <n v="76.099999999999994"/>
    <n v="6.78"/>
    <n v="1604.92"/>
    <x v="1"/>
    <x v="0"/>
    <s v="New York"/>
    <s v="NY"/>
    <s v="United States"/>
  </r>
  <r>
    <x v="447"/>
    <x v="383"/>
    <s v="CUST032464"/>
    <s v="Aditya Kapoor"/>
    <s v="Desk Organizer"/>
    <x v="4"/>
    <x v="5"/>
    <n v="5"/>
    <n v="73.63"/>
    <n v="0.2"/>
    <n v="14.73"/>
    <n v="1.28"/>
    <n v="310.52999999999997"/>
    <x v="4"/>
    <x v="0"/>
    <s v="Phoenix"/>
    <s v="AZ"/>
    <s v="United States"/>
  </r>
  <r>
    <x v="448"/>
    <x v="384"/>
    <s v="CUST021458"/>
    <s v="Vivaan Mehta"/>
    <s v="Drone Mini"/>
    <x v="1"/>
    <x v="7"/>
    <n v="5"/>
    <n v="126.64"/>
    <n v="0.25"/>
    <n v="0"/>
    <n v="7.13"/>
    <n v="482.03"/>
    <x v="0"/>
    <x v="0"/>
    <s v="Houston"/>
    <s v="TX"/>
    <s v="India"/>
  </r>
  <r>
    <x v="449"/>
    <x v="31"/>
    <s v="CUST044799"/>
    <s v="Anjali Kapoor"/>
    <s v="Noise Cancelling Headphones"/>
    <x v="5"/>
    <x v="7"/>
    <n v="1"/>
    <n v="81.66"/>
    <n v="0.1"/>
    <n v="5.88"/>
    <n v="0.62"/>
    <n v="79.989999999999995"/>
    <x v="3"/>
    <x v="0"/>
    <s v="Fort Worth"/>
    <s v="TX"/>
    <s v="India"/>
  </r>
  <r>
    <x v="450"/>
    <x v="385"/>
    <s v="CUST011203"/>
    <s v="Pooja Sharma"/>
    <s v="Vacuum Cleaner"/>
    <x v="1"/>
    <x v="8"/>
    <n v="3"/>
    <n v="32.950000000000003"/>
    <n v="0.1"/>
    <n v="10.68"/>
    <n v="10.47"/>
    <n v="110.12"/>
    <x v="5"/>
    <x v="3"/>
    <s v="Fort Worth"/>
    <s v="TX"/>
    <s v="United Kingdom"/>
  </r>
  <r>
    <x v="451"/>
    <x v="386"/>
    <s v="CUST048942"/>
    <s v="Aditya Kumar"/>
    <s v="Cookware Set"/>
    <x v="3"/>
    <x v="6"/>
    <n v="1"/>
    <n v="481.52"/>
    <n v="0.1"/>
    <n v="0"/>
    <n v="5.9"/>
    <n v="439.27"/>
    <x v="3"/>
    <x v="0"/>
    <s v="San Antonio"/>
    <s v="TX"/>
    <s v="United States"/>
  </r>
  <r>
    <x v="452"/>
    <x v="387"/>
    <s v="CUST021245"/>
    <s v="Ritika Kapoor"/>
    <s v="Drone Mini"/>
    <x v="4"/>
    <x v="4"/>
    <n v="1"/>
    <n v="30.73"/>
    <n v="0.05"/>
    <n v="1.46"/>
    <n v="2.2999999999999998"/>
    <n v="32.950000000000003"/>
    <x v="4"/>
    <x v="0"/>
    <s v="Denver"/>
    <s v="CO"/>
    <s v="United States"/>
  </r>
  <r>
    <x v="453"/>
    <x v="388"/>
    <s v="CUST021669"/>
    <s v="Aarav Gupta"/>
    <s v="Power Bank 20000mAh"/>
    <x v="0"/>
    <x v="8"/>
    <n v="1"/>
    <n v="425.5"/>
    <n v="0.05"/>
    <n v="20.21"/>
    <n v="9.18"/>
    <n v="433.61"/>
    <x v="3"/>
    <x v="3"/>
    <s v="Fort Worth"/>
    <s v="TX"/>
    <s v="United States"/>
  </r>
  <r>
    <x v="454"/>
    <x v="389"/>
    <s v="CUST012286"/>
    <s v="Ritika Sharma"/>
    <s v="Graphic Tablet"/>
    <x v="4"/>
    <x v="9"/>
    <n v="4"/>
    <n v="456.47"/>
    <n v="0.15"/>
    <n v="77.599999999999994"/>
    <n v="0.88"/>
    <n v="1630.48"/>
    <x v="3"/>
    <x v="0"/>
    <s v="Charlotte"/>
    <s v="NC"/>
    <s v="United States"/>
  </r>
  <r>
    <x v="455"/>
    <x v="390"/>
    <s v="CUST027621"/>
    <s v="Mohit Joshi"/>
    <s v="External HDD 2TB"/>
    <x v="1"/>
    <x v="3"/>
    <n v="3"/>
    <n v="129.68"/>
    <n v="0.05"/>
    <n v="29.57"/>
    <n v="10.42"/>
    <n v="409.58"/>
    <x v="2"/>
    <x v="0"/>
    <s v="Fort Worth"/>
    <s v="TX"/>
    <s v="India"/>
  </r>
  <r>
    <x v="456"/>
    <x v="86"/>
    <s v="CUST049115"/>
    <s v="Aman Joshi"/>
    <s v="Action Camera"/>
    <x v="2"/>
    <x v="0"/>
    <n v="4"/>
    <n v="436.19"/>
    <n v="0.2"/>
    <n v="111.66"/>
    <n v="9.43"/>
    <n v="1516.9"/>
    <x v="3"/>
    <x v="0"/>
    <s v="Fort Worth"/>
    <s v="TX"/>
    <s v="Australia"/>
  </r>
  <r>
    <x v="457"/>
    <x v="391"/>
    <s v="CUST018220"/>
    <s v="Pooja Singh"/>
    <s v="Sunglasses"/>
    <x v="4"/>
    <x v="8"/>
    <n v="4"/>
    <n v="406.52"/>
    <n v="0.2"/>
    <n v="65.040000000000006"/>
    <n v="5.64"/>
    <n v="1371.54"/>
    <x v="1"/>
    <x v="0"/>
    <s v="Indianapolis"/>
    <s v="IN"/>
    <s v="United States"/>
  </r>
  <r>
    <x v="458"/>
    <x v="386"/>
    <s v="CUST016196"/>
    <s v="Ritika Mehta"/>
    <s v="Electric Kettle"/>
    <x v="1"/>
    <x v="8"/>
    <n v="4"/>
    <n v="533.72"/>
    <n v="0.05"/>
    <n v="0"/>
    <n v="0.17"/>
    <n v="2028.31"/>
    <x v="4"/>
    <x v="0"/>
    <s v="Indianapolis"/>
    <s v="IN"/>
    <s v="United States"/>
  </r>
  <r>
    <x v="459"/>
    <x v="392"/>
    <s v="CUST005196"/>
    <s v="Neha Verma"/>
    <s v="Graphic Tablet"/>
    <x v="5"/>
    <x v="7"/>
    <n v="1"/>
    <n v="93.25"/>
    <n v="0"/>
    <n v="7.46"/>
    <n v="3.43"/>
    <n v="104.14"/>
    <x v="3"/>
    <x v="0"/>
    <s v="San Antonio"/>
    <s v="TX"/>
    <s v="United States"/>
  </r>
  <r>
    <x v="460"/>
    <x v="393"/>
    <s v="CUST020302"/>
    <s v="Neha Patel"/>
    <s v="Office Chair"/>
    <x v="0"/>
    <x v="8"/>
    <n v="3"/>
    <n v="445.46"/>
    <n v="0.1"/>
    <n v="96.22"/>
    <n v="12.49"/>
    <n v="1311.45"/>
    <x v="5"/>
    <x v="0"/>
    <s v="San Diego"/>
    <s v="CA"/>
    <s v="India"/>
  </r>
  <r>
    <x v="461"/>
    <x v="394"/>
    <s v="CUST003763"/>
    <s v="Karan Patel"/>
    <s v="Smart Light Bulb"/>
    <x v="0"/>
    <x v="9"/>
    <n v="2"/>
    <n v="197.42"/>
    <n v="0"/>
    <n v="47.38"/>
    <n v="5.37"/>
    <n v="447.59"/>
    <x v="4"/>
    <x v="0"/>
    <s v="San Antonio"/>
    <s v="TX"/>
    <s v="Canada"/>
  </r>
  <r>
    <x v="462"/>
    <x v="395"/>
    <s v="CUST015050"/>
    <s v="Anjali Verma"/>
    <s v="Jeans"/>
    <x v="1"/>
    <x v="2"/>
    <n v="3"/>
    <n v="15.36"/>
    <n v="0"/>
    <n v="3.69"/>
    <n v="7.65"/>
    <n v="57.42"/>
    <x v="4"/>
    <x v="0"/>
    <s v="Columbus"/>
    <s v="OH"/>
    <s v="United States"/>
  </r>
  <r>
    <x v="463"/>
    <x v="396"/>
    <s v="CUST041737"/>
    <s v="Mohit Patel"/>
    <s v="Portable SSD 1TB"/>
    <x v="4"/>
    <x v="0"/>
    <n v="3"/>
    <n v="204.5"/>
    <n v="0.05"/>
    <n v="29.14"/>
    <n v="13.05"/>
    <n v="625.01"/>
    <x v="2"/>
    <x v="0"/>
    <s v="Indianapolis"/>
    <s v="IN"/>
    <s v="United States"/>
  </r>
  <r>
    <x v="464"/>
    <x v="397"/>
    <s v="CUST026072"/>
    <s v="Karan Joshi"/>
    <s v="Microphone"/>
    <x v="2"/>
    <x v="5"/>
    <n v="4"/>
    <n v="220.98"/>
    <n v="0"/>
    <n v="44.2"/>
    <n v="9.39"/>
    <n v="937.51"/>
    <x v="1"/>
    <x v="0"/>
    <s v="Seattle"/>
    <s v="WA"/>
    <s v="United States"/>
  </r>
  <r>
    <x v="465"/>
    <x v="398"/>
    <s v="CUST049522"/>
    <s v="Priya Mehta"/>
    <s v="Office Chair"/>
    <x v="1"/>
    <x v="7"/>
    <n v="3"/>
    <n v="336"/>
    <n v="0"/>
    <n v="50.4"/>
    <n v="5.81"/>
    <n v="1064.21"/>
    <x v="5"/>
    <x v="0"/>
    <s v="Washington"/>
    <s v="DC"/>
    <s v="India"/>
  </r>
  <r>
    <x v="466"/>
    <x v="399"/>
    <s v="CUST022865"/>
    <s v="Sahil Sharma"/>
    <s v="Smartwatch"/>
    <x v="4"/>
    <x v="0"/>
    <n v="3"/>
    <n v="533.12"/>
    <n v="0"/>
    <n v="79.97"/>
    <n v="6.18"/>
    <n v="1685.51"/>
    <x v="3"/>
    <x v="3"/>
    <s v="Seattle"/>
    <s v="WA"/>
    <s v="India"/>
  </r>
  <r>
    <x v="467"/>
    <x v="400"/>
    <s v="CUST049733"/>
    <s v="Simran Verma"/>
    <s v="Sunglasses"/>
    <x v="1"/>
    <x v="0"/>
    <n v="4"/>
    <n v="346.72"/>
    <n v="0"/>
    <n v="69.34"/>
    <n v="12.25"/>
    <n v="1468.47"/>
    <x v="5"/>
    <x v="0"/>
    <s v="Fort Worth"/>
    <s v="TX"/>
    <s v="United States"/>
  </r>
  <r>
    <x v="468"/>
    <x v="401"/>
    <s v="CUST031650"/>
    <s v="Anjali Gupta"/>
    <s v="Graphic Tablet"/>
    <x v="3"/>
    <x v="0"/>
    <n v="2"/>
    <n v="54.96"/>
    <n v="0"/>
    <n v="19.79"/>
    <n v="5.73"/>
    <n v="135.44"/>
    <x v="0"/>
    <x v="0"/>
    <s v="Chicago"/>
    <s v="IL"/>
    <s v="United States"/>
  </r>
  <r>
    <x v="469"/>
    <x v="238"/>
    <s v="CUST013377"/>
    <s v="Anjali Verma"/>
    <s v="Sunglasses"/>
    <x v="3"/>
    <x v="5"/>
    <n v="3"/>
    <n v="398.54"/>
    <n v="0.05"/>
    <n v="204.45"/>
    <n v="9.0500000000000007"/>
    <n v="1349.34"/>
    <x v="0"/>
    <x v="0"/>
    <s v="Los Angeles"/>
    <s v="CA"/>
    <s v="United States"/>
  </r>
  <r>
    <x v="470"/>
    <x v="402"/>
    <s v="CUST034331"/>
    <s v="Sunita Reddy"/>
    <s v="Gaming Mouse"/>
    <x v="4"/>
    <x v="1"/>
    <n v="4"/>
    <n v="237.92"/>
    <n v="0.15"/>
    <n v="64.709999999999994"/>
    <n v="13.11"/>
    <n v="886.75"/>
    <x v="0"/>
    <x v="0"/>
    <s v="Austin"/>
    <s v="TX"/>
    <s v="United States"/>
  </r>
  <r>
    <x v="471"/>
    <x v="403"/>
    <s v="CUST013224"/>
    <s v="Aarav Reddy"/>
    <s v="Fitness Band"/>
    <x v="5"/>
    <x v="4"/>
    <n v="1"/>
    <n v="197.91"/>
    <n v="0.1"/>
    <n v="32.06"/>
    <n v="13.59"/>
    <n v="223.77"/>
    <x v="4"/>
    <x v="0"/>
    <s v="San Francisco"/>
    <s v="CA"/>
    <s v="Australia"/>
  </r>
  <r>
    <x v="472"/>
    <x v="404"/>
    <s v="CUST034822"/>
    <s v="Simran Mehta"/>
    <s v="Noise Cancelling Headphones"/>
    <x v="1"/>
    <x v="7"/>
    <n v="5"/>
    <n v="132.25"/>
    <n v="0.1"/>
    <n v="47.61"/>
    <n v="10.62"/>
    <n v="653.36"/>
    <x v="1"/>
    <x v="3"/>
    <s v="Los Angeles"/>
    <s v="CA"/>
    <s v="United Kingdom"/>
  </r>
  <r>
    <x v="473"/>
    <x v="405"/>
    <s v="CUST042805"/>
    <s v="Vivaan Kumar"/>
    <s v="Jeans"/>
    <x v="4"/>
    <x v="7"/>
    <n v="5"/>
    <n v="361.27"/>
    <n v="0.1"/>
    <n v="195.09"/>
    <n v="7.04"/>
    <n v="1827.84"/>
    <x v="3"/>
    <x v="0"/>
    <s v="Seattle"/>
    <s v="WA"/>
    <s v="United States"/>
  </r>
  <r>
    <x v="474"/>
    <x v="406"/>
    <s v="CUST008630"/>
    <s v="Aman Patel"/>
    <s v="Laptop Sleeve"/>
    <x v="1"/>
    <x v="7"/>
    <n v="1"/>
    <n v="225.88"/>
    <n v="0"/>
    <n v="18.07"/>
    <n v="8.59"/>
    <n v="252.54"/>
    <x v="4"/>
    <x v="0"/>
    <s v="Denver"/>
    <s v="CO"/>
    <s v="India"/>
  </r>
  <r>
    <x v="475"/>
    <x v="407"/>
    <s v="CUST034759"/>
    <s v="Kabir Joshi"/>
    <s v="Action Camera"/>
    <x v="2"/>
    <x v="3"/>
    <n v="2"/>
    <n v="595.48"/>
    <n v="0.2"/>
    <n v="47.64"/>
    <n v="5.69"/>
    <n v="1006.1"/>
    <x v="4"/>
    <x v="0"/>
    <s v="Denver"/>
    <s v="CO"/>
    <s v="United States"/>
  </r>
  <r>
    <x v="476"/>
    <x v="89"/>
    <s v="CUST036736"/>
    <s v="Simran Sharma"/>
    <s v="LED Desk Lamp"/>
    <x v="4"/>
    <x v="9"/>
    <n v="1"/>
    <n v="443.67"/>
    <n v="0.2"/>
    <n v="17.75"/>
    <n v="13.76"/>
    <n v="386.45"/>
    <x v="5"/>
    <x v="3"/>
    <s v="Fort Worth"/>
    <s v="TX"/>
    <s v="United Kingdom"/>
  </r>
  <r>
    <x v="477"/>
    <x v="42"/>
    <s v="CUST036150"/>
    <s v="Rohit Gupta"/>
    <s v="Router"/>
    <x v="3"/>
    <x v="3"/>
    <n v="5"/>
    <n v="71.95"/>
    <n v="0.3"/>
    <n v="20.149999999999999"/>
    <n v="6.15"/>
    <n v="278.12"/>
    <x v="4"/>
    <x v="0"/>
    <s v="Chicago"/>
    <s v="IL"/>
    <s v="United States"/>
  </r>
  <r>
    <x v="478"/>
    <x v="408"/>
    <s v="CUST039074"/>
    <s v="Sahil Singh"/>
    <s v="Microphone"/>
    <x v="1"/>
    <x v="7"/>
    <n v="3"/>
    <n v="132.25"/>
    <n v="0"/>
    <n v="0"/>
    <n v="12.37"/>
    <n v="409.12"/>
    <x v="3"/>
    <x v="0"/>
    <s v="San Antonio"/>
    <s v="TX"/>
    <s v="United States"/>
  </r>
  <r>
    <x v="479"/>
    <x v="409"/>
    <s v="CUST007456"/>
    <s v="Priya Joshi"/>
    <s v="HDMI Cable 2m"/>
    <x v="1"/>
    <x v="6"/>
    <n v="1"/>
    <n v="196.79"/>
    <n v="0"/>
    <n v="9.84"/>
    <n v="12.51"/>
    <n v="219.14"/>
    <x v="1"/>
    <x v="0"/>
    <s v="Philadelphia"/>
    <s v="PA"/>
    <s v="United States"/>
  </r>
  <r>
    <x v="480"/>
    <x v="410"/>
    <s v="CUST016193"/>
    <s v="Neha Verma"/>
    <s v="Smart Light Bulb"/>
    <x v="0"/>
    <x v="0"/>
    <n v="1"/>
    <n v="521.70000000000005"/>
    <n v="0.1"/>
    <n v="0"/>
    <n v="7.95"/>
    <n v="477.48"/>
    <x v="4"/>
    <x v="0"/>
    <s v="San Francisco"/>
    <s v="CA"/>
    <s v="India"/>
  </r>
  <r>
    <x v="481"/>
    <x v="411"/>
    <s v="CUST022270"/>
    <s v="Aarav Kapoor"/>
    <s v="Water Bottle"/>
    <x v="3"/>
    <x v="1"/>
    <n v="1"/>
    <n v="19.59"/>
    <n v="0.1"/>
    <n v="0.88"/>
    <n v="1.9"/>
    <n v="20.41"/>
    <x v="3"/>
    <x v="4"/>
    <s v="Jacksonville"/>
    <s v="FL"/>
    <s v="Canada"/>
  </r>
  <r>
    <x v="482"/>
    <x v="190"/>
    <s v="CUST023893"/>
    <s v="Sneha Singh"/>
    <s v="Dress Shirt"/>
    <x v="1"/>
    <x v="2"/>
    <n v="3"/>
    <n v="570.89"/>
    <n v="0.05"/>
    <n v="81.349999999999994"/>
    <n v="8.56"/>
    <n v="1716.95"/>
    <x v="5"/>
    <x v="0"/>
    <s v="Charlotte"/>
    <s v="NC"/>
    <s v="United States"/>
  </r>
  <r>
    <x v="483"/>
    <x v="412"/>
    <s v="CUST013837"/>
    <s v="Priya Reddy"/>
    <s v="Winter Jacket"/>
    <x v="4"/>
    <x v="5"/>
    <n v="2"/>
    <n v="173.59"/>
    <n v="0"/>
    <n v="27.77"/>
    <n v="5.12"/>
    <n v="380.07"/>
    <x v="3"/>
    <x v="0"/>
    <s v="San Francisco"/>
    <s v="CA"/>
    <s v="United States"/>
  </r>
  <r>
    <x v="484"/>
    <x v="206"/>
    <s v="CUST045576"/>
    <s v="Aarav Reddy"/>
    <s v="Noise Cancelling Headphones"/>
    <x v="0"/>
    <x v="7"/>
    <n v="2"/>
    <n v="421.75"/>
    <n v="0.05"/>
    <n v="64.11"/>
    <n v="12.2"/>
    <n v="877.64"/>
    <x v="5"/>
    <x v="0"/>
    <s v="San Francisco"/>
    <s v="CA"/>
    <s v="United States"/>
  </r>
  <r>
    <x v="485"/>
    <x v="413"/>
    <s v="CUST027038"/>
    <s v="Karan Verma"/>
    <s v="Office Chair"/>
    <x v="0"/>
    <x v="5"/>
    <n v="2"/>
    <n v="167.15"/>
    <n v="0"/>
    <n v="26.74"/>
    <n v="1.77"/>
    <n v="362.81"/>
    <x v="3"/>
    <x v="0"/>
    <s v="San Antonio"/>
    <s v="TX"/>
    <s v="United Kingdom"/>
  </r>
  <r>
    <x v="486"/>
    <x v="414"/>
    <s v="CUST005384"/>
    <s v="Sneha Verma"/>
    <s v="Vacuum Cleaner"/>
    <x v="1"/>
    <x v="8"/>
    <n v="1"/>
    <n v="88.21"/>
    <n v="0.2"/>
    <n v="3.53"/>
    <n v="10.93"/>
    <n v="85.03"/>
    <x v="0"/>
    <x v="0"/>
    <s v="New York"/>
    <s v="NY"/>
    <s v="United States"/>
  </r>
  <r>
    <x v="487"/>
    <x v="415"/>
    <s v="CUST049978"/>
    <s v="Simran Verma"/>
    <s v="Memory Card 128GB"/>
    <x v="4"/>
    <x v="6"/>
    <n v="4"/>
    <n v="178.94"/>
    <n v="0"/>
    <n v="128.84"/>
    <n v="10.83"/>
    <n v="855.43"/>
    <x v="3"/>
    <x v="0"/>
    <s v="Washington"/>
    <s v="DC"/>
    <s v="United States"/>
  </r>
  <r>
    <x v="488"/>
    <x v="416"/>
    <s v="CUST017276"/>
    <s v="Arjun Joshi"/>
    <s v="Kids Toy Car"/>
    <x v="5"/>
    <x v="9"/>
    <n v="3"/>
    <n v="12.33"/>
    <n v="0"/>
    <n v="0"/>
    <n v="4.63"/>
    <n v="41.62"/>
    <x v="3"/>
    <x v="0"/>
    <s v="Chicago"/>
    <s v="IL"/>
    <s v="United States"/>
  </r>
  <r>
    <x v="489"/>
    <x v="417"/>
    <s v="CUST036187"/>
    <s v="Priya Reddy"/>
    <s v="External HDD 2TB"/>
    <x v="0"/>
    <x v="8"/>
    <n v="3"/>
    <n v="381.52"/>
    <n v="0"/>
    <n v="57.23"/>
    <n v="4.1900000000000004"/>
    <n v="1205.98"/>
    <x v="3"/>
    <x v="1"/>
    <s v="Columbus"/>
    <s v="OH"/>
    <s v="United States"/>
  </r>
  <r>
    <x v="490"/>
    <x v="355"/>
    <s v="CUST028007"/>
    <s v="Pooja Mehta"/>
    <s v="LED Desk Lamp"/>
    <x v="2"/>
    <x v="7"/>
    <n v="5"/>
    <n v="475.22"/>
    <n v="0.1"/>
    <n v="256.62"/>
    <n v="11.58"/>
    <n v="2406.69"/>
    <x v="3"/>
    <x v="3"/>
    <s v="Philadelphia"/>
    <s v="PA"/>
    <s v="Australia"/>
  </r>
  <r>
    <x v="491"/>
    <x v="418"/>
    <s v="CUST032599"/>
    <s v="Neha Joshi"/>
    <s v="Webcam Full HD"/>
    <x v="0"/>
    <x v="9"/>
    <n v="3"/>
    <n v="5.3"/>
    <n v="0.05"/>
    <n v="0.76"/>
    <n v="4.6100000000000003"/>
    <n v="20.47"/>
    <x v="0"/>
    <x v="0"/>
    <s v="Chicago"/>
    <s v="IL"/>
    <s v="United States"/>
  </r>
  <r>
    <x v="492"/>
    <x v="419"/>
    <s v="CUST013448"/>
    <s v="Sneha Joshi"/>
    <s v="Graphic Tablet"/>
    <x v="3"/>
    <x v="9"/>
    <n v="2"/>
    <n v="348.26"/>
    <n v="0.2"/>
    <n v="66.87"/>
    <n v="1.02"/>
    <n v="625.11"/>
    <x v="0"/>
    <x v="0"/>
    <s v="Washington"/>
    <s v="DC"/>
    <s v="United States"/>
  </r>
  <r>
    <x v="493"/>
    <x v="420"/>
    <s v="CUST033085"/>
    <s v="Sahil Singh"/>
    <s v="Desk Plant"/>
    <x v="5"/>
    <x v="8"/>
    <n v="2"/>
    <n v="247.81"/>
    <n v="0.15"/>
    <n v="21.06"/>
    <n v="1.38"/>
    <n v="443.72"/>
    <x v="0"/>
    <x v="0"/>
    <s v="Seattle"/>
    <s v="WA"/>
    <s v="United States"/>
  </r>
  <r>
    <x v="494"/>
    <x v="421"/>
    <s v="CUST014799"/>
    <s v="Sunita Kumar"/>
    <s v="Projector Mini"/>
    <x v="1"/>
    <x v="9"/>
    <n v="2"/>
    <n v="442.68"/>
    <n v="0"/>
    <n v="0"/>
    <n v="8.41"/>
    <n v="893.77"/>
    <x v="3"/>
    <x v="0"/>
    <s v="Indianapolis"/>
    <s v="IN"/>
    <s v="United States"/>
  </r>
  <r>
    <x v="495"/>
    <x v="422"/>
    <s v="CUST041982"/>
    <s v="Kabir Reddy"/>
    <s v="Fitness Band"/>
    <x v="1"/>
    <x v="7"/>
    <n v="4"/>
    <n v="99.57"/>
    <n v="0.1"/>
    <n v="28.68"/>
    <n v="0.28000000000000003"/>
    <n v="387.41"/>
    <x v="3"/>
    <x v="0"/>
    <s v="Houston"/>
    <s v="TX"/>
    <s v="India"/>
  </r>
  <r>
    <x v="496"/>
    <x v="423"/>
    <s v="CUST017484"/>
    <s v="Arjun Verma"/>
    <s v="Mechanical Keyboard"/>
    <x v="0"/>
    <x v="8"/>
    <n v="4"/>
    <n v="231.07"/>
    <n v="0"/>
    <n v="73.94"/>
    <n v="4.72"/>
    <n v="1002.94"/>
    <x v="0"/>
    <x v="0"/>
    <s v="Denver"/>
    <s v="CO"/>
    <s v="United States"/>
  </r>
  <r>
    <x v="497"/>
    <x v="424"/>
    <s v="CUST018852"/>
    <s v="Pooja Mehta"/>
    <s v="Microphone"/>
    <x v="0"/>
    <x v="9"/>
    <n v="3"/>
    <n v="514.01"/>
    <n v="0.05"/>
    <n v="117.19"/>
    <n v="5.0599999999999996"/>
    <n v="1587.18"/>
    <x v="5"/>
    <x v="0"/>
    <s v="Charlotte"/>
    <s v="NC"/>
    <s v="United States"/>
  </r>
  <r>
    <x v="498"/>
    <x v="425"/>
    <s v="CUST023915"/>
    <s v="Anjali Reddy"/>
    <s v="Children's Book"/>
    <x v="5"/>
    <x v="1"/>
    <n v="5"/>
    <n v="181.03"/>
    <n v="0.05"/>
    <n v="68.790000000000006"/>
    <n v="8.75"/>
    <n v="937.43"/>
    <x v="5"/>
    <x v="0"/>
    <s v="Jacksonville"/>
    <s v="FL"/>
    <s v="United States"/>
  </r>
  <r>
    <x v="499"/>
    <x v="426"/>
    <s v="CUST011710"/>
    <s v="Pooja Sharma"/>
    <s v="Office Chair"/>
    <x v="4"/>
    <x v="1"/>
    <n v="5"/>
    <n v="214.2"/>
    <n v="0.2"/>
    <n v="154.22"/>
    <n v="8.69"/>
    <n v="1019.71"/>
    <x v="3"/>
    <x v="0"/>
    <s v="Washington"/>
    <s v="DC"/>
    <s v="United States"/>
  </r>
  <r>
    <x v="500"/>
    <x v="427"/>
    <s v="CUST042668"/>
    <s v="Priya Gupta"/>
    <s v="Smartphone Case"/>
    <x v="4"/>
    <x v="6"/>
    <n v="2"/>
    <n v="512.67999999999995"/>
    <n v="0"/>
    <n v="123.04"/>
    <n v="2.95"/>
    <n v="1151.3499999999999"/>
    <x v="0"/>
    <x v="0"/>
    <s v="New York"/>
    <s v="NY"/>
    <s v="India"/>
  </r>
  <r>
    <x v="501"/>
    <x v="428"/>
    <s v="CUST010609"/>
    <s v="Ritika Kapoor"/>
    <s v="4K Monitor"/>
    <x v="5"/>
    <x v="7"/>
    <n v="5"/>
    <n v="385.04"/>
    <n v="0"/>
    <n v="96.26"/>
    <n v="1.42"/>
    <n v="2022.88"/>
    <x v="0"/>
    <x v="3"/>
    <s v="New York"/>
    <s v="NY"/>
    <s v="United States"/>
  </r>
  <r>
    <x v="502"/>
    <x v="396"/>
    <s v="CUST035476"/>
    <s v="Neha Singh"/>
    <s v="Puzzle 1000pc"/>
    <x v="3"/>
    <x v="3"/>
    <n v="2"/>
    <n v="342.87"/>
    <n v="0.05"/>
    <n v="52.12"/>
    <n v="1.57"/>
    <n v="705.14"/>
    <x v="5"/>
    <x v="0"/>
    <s v="Dallas"/>
    <s v="TX"/>
    <s v="United States"/>
  </r>
  <r>
    <x v="503"/>
    <x v="429"/>
    <s v="CUST000030"/>
    <s v="Simran Reddy"/>
    <s v="Jeans"/>
    <x v="4"/>
    <x v="7"/>
    <n v="2"/>
    <n v="14.71"/>
    <n v="0"/>
    <n v="2.35"/>
    <n v="4.47"/>
    <n v="36.24"/>
    <x v="4"/>
    <x v="0"/>
    <s v="Washington"/>
    <s v="DC"/>
    <s v="United States"/>
  </r>
  <r>
    <x v="504"/>
    <x v="430"/>
    <s v="CUST000435"/>
    <s v="Neha Patel"/>
    <s v="4K Monitor"/>
    <x v="2"/>
    <x v="6"/>
    <n v="4"/>
    <n v="95.35"/>
    <n v="0"/>
    <n v="19.07"/>
    <n v="9.8000000000000007"/>
    <n v="410.27"/>
    <x v="0"/>
    <x v="0"/>
    <s v="Seattle"/>
    <s v="WA"/>
    <s v="Australia"/>
  </r>
  <r>
    <x v="505"/>
    <x v="431"/>
    <s v="CUST025772"/>
    <s v="Anjali Reddy"/>
    <s v="Noise Cancelling Headphones"/>
    <x v="1"/>
    <x v="4"/>
    <n v="4"/>
    <n v="128.54"/>
    <n v="0"/>
    <n v="25.71"/>
    <n v="7.28"/>
    <n v="547.15"/>
    <x v="2"/>
    <x v="0"/>
    <s v="Austin"/>
    <s v="TX"/>
    <s v="United States"/>
  </r>
  <r>
    <x v="506"/>
    <x v="432"/>
    <s v="CUST044282"/>
    <s v="Sahil Mehta"/>
    <s v="Graphic Tablet"/>
    <x v="3"/>
    <x v="4"/>
    <n v="1"/>
    <n v="345.37"/>
    <n v="0.05"/>
    <n v="26.25"/>
    <n v="7.68"/>
    <n v="362.03"/>
    <x v="0"/>
    <x v="2"/>
    <s v="New York"/>
    <s v="NY"/>
    <s v="India"/>
  </r>
  <r>
    <x v="507"/>
    <x v="433"/>
    <s v="CUST013803"/>
    <s v="Simran Patel"/>
    <s v="Puzzle 1000pc"/>
    <x v="2"/>
    <x v="6"/>
    <n v="1"/>
    <n v="478.42"/>
    <n v="0"/>
    <n v="57.41"/>
    <n v="3.92"/>
    <n v="539.75"/>
    <x v="1"/>
    <x v="0"/>
    <s v="Austin"/>
    <s v="TX"/>
    <s v="United States"/>
  </r>
  <r>
    <x v="508"/>
    <x v="434"/>
    <s v="CUST049199"/>
    <s v="Rohit Kumar"/>
    <s v="Yoga Mat"/>
    <x v="3"/>
    <x v="9"/>
    <n v="1"/>
    <n v="127.81"/>
    <n v="0"/>
    <n v="10.220000000000001"/>
    <n v="4.1100000000000003"/>
    <n v="142.13999999999999"/>
    <x v="1"/>
    <x v="0"/>
    <s v="Houston"/>
    <s v="TX"/>
    <s v="United States"/>
  </r>
  <r>
    <x v="509"/>
    <x v="435"/>
    <s v="CUST042507"/>
    <s v="Ritika Mehta"/>
    <s v="Running Shoes"/>
    <x v="1"/>
    <x v="1"/>
    <n v="3"/>
    <n v="86.48"/>
    <n v="0.05"/>
    <n v="12.32"/>
    <n v="3.55"/>
    <n v="262.33999999999997"/>
    <x v="5"/>
    <x v="0"/>
    <s v="San Jose"/>
    <s v="CA"/>
    <s v="United States"/>
  </r>
  <r>
    <x v="510"/>
    <x v="436"/>
    <s v="CUST019926"/>
    <s v="Sneha Mehta"/>
    <s v="Smartwatch"/>
    <x v="3"/>
    <x v="4"/>
    <n v="5"/>
    <n v="96.58"/>
    <n v="0"/>
    <n v="38.630000000000003"/>
    <n v="6.68"/>
    <n v="528.21"/>
    <x v="0"/>
    <x v="0"/>
    <s v="San Antonio"/>
    <s v="TX"/>
    <s v="Australia"/>
  </r>
  <r>
    <x v="511"/>
    <x v="391"/>
    <s v="CUST026026"/>
    <s v="Vivaan Patel"/>
    <s v="Running Shoes"/>
    <x v="4"/>
    <x v="0"/>
    <n v="1"/>
    <n v="169.23"/>
    <n v="0.05"/>
    <n v="8.0399999999999991"/>
    <n v="2.9"/>
    <n v="171.71"/>
    <x v="3"/>
    <x v="3"/>
    <s v="Los Angeles"/>
    <s v="CA"/>
    <s v="United States"/>
  </r>
  <r>
    <x v="512"/>
    <x v="437"/>
    <s v="CUST020867"/>
    <s v="Neha Mehta"/>
    <s v="Desk Organizer"/>
    <x v="5"/>
    <x v="3"/>
    <n v="2"/>
    <n v="145.09"/>
    <n v="0.3"/>
    <n v="16.25"/>
    <n v="9.67"/>
    <n v="229.05"/>
    <x v="0"/>
    <x v="0"/>
    <s v="Fort Worth"/>
    <s v="TX"/>
    <s v="United States"/>
  </r>
  <r>
    <x v="513"/>
    <x v="438"/>
    <s v="CUST013828"/>
    <s v="Sunita Singh"/>
    <s v="Running Shoes"/>
    <x v="2"/>
    <x v="9"/>
    <n v="3"/>
    <n v="313.08"/>
    <n v="0"/>
    <n v="46.96"/>
    <n v="2.29"/>
    <n v="988.49"/>
    <x v="4"/>
    <x v="3"/>
    <s v="Los Angeles"/>
    <s v="CA"/>
    <s v="United States"/>
  </r>
  <r>
    <x v="514"/>
    <x v="232"/>
    <s v="CUST003555"/>
    <s v="Neha Sharma"/>
    <s v="Novel Bestseller"/>
    <x v="4"/>
    <x v="0"/>
    <n v="5"/>
    <n v="210.72"/>
    <n v="0.05"/>
    <n v="180.17"/>
    <n v="2.68"/>
    <n v="1183.77"/>
    <x v="1"/>
    <x v="0"/>
    <s v="Columbus"/>
    <s v="OH"/>
    <s v="United States"/>
  </r>
  <r>
    <x v="515"/>
    <x v="197"/>
    <s v="CUST023407"/>
    <s v="Arjun Reddy"/>
    <s v="Children's Book"/>
    <x v="5"/>
    <x v="8"/>
    <n v="1"/>
    <n v="147.57"/>
    <n v="0.1"/>
    <n v="6.64"/>
    <n v="1.35"/>
    <n v="140.80000000000001"/>
    <x v="0"/>
    <x v="0"/>
    <s v="Washington"/>
    <s v="DC"/>
    <s v="United States"/>
  </r>
  <r>
    <x v="516"/>
    <x v="439"/>
    <s v="CUST010953"/>
    <s v="Ritika Patel"/>
    <s v="Winter Jacket"/>
    <x v="4"/>
    <x v="9"/>
    <n v="5"/>
    <n v="77.319999999999993"/>
    <n v="0.05"/>
    <n v="18.36"/>
    <n v="14.21"/>
    <n v="399.84"/>
    <x v="3"/>
    <x v="0"/>
    <s v="Columbus"/>
    <s v="OH"/>
    <s v="India"/>
  </r>
  <r>
    <x v="517"/>
    <x v="46"/>
    <s v="CUST010696"/>
    <s v="Vihaan Joshi"/>
    <s v="Vacuum Cleaner"/>
    <x v="1"/>
    <x v="3"/>
    <n v="1"/>
    <n v="379.07"/>
    <n v="0"/>
    <n v="0"/>
    <n v="10.43"/>
    <n v="389.5"/>
    <x v="0"/>
    <x v="0"/>
    <s v="Philadelphia"/>
    <s v="PA"/>
    <s v="United States"/>
  </r>
  <r>
    <x v="518"/>
    <x v="440"/>
    <s v="CUST004258"/>
    <s v="Vihaan Reddy"/>
    <s v="Novel Bestseller"/>
    <x v="0"/>
    <x v="5"/>
    <n v="2"/>
    <n v="232.39"/>
    <n v="0.1"/>
    <n v="75.290000000000006"/>
    <n v="11.76"/>
    <n v="505.35"/>
    <x v="0"/>
    <x v="0"/>
    <s v="Jacksonville"/>
    <s v="FL"/>
    <s v="India"/>
  </r>
  <r>
    <x v="519"/>
    <x v="441"/>
    <s v="CUST019763"/>
    <s v="Simran Sharma"/>
    <s v="Puzzle 1000pc"/>
    <x v="2"/>
    <x v="3"/>
    <n v="4"/>
    <n v="452.96"/>
    <n v="0.3"/>
    <n v="63.41"/>
    <n v="7.04"/>
    <n v="1338.74"/>
    <x v="0"/>
    <x v="0"/>
    <s v="Columbus"/>
    <s v="OH"/>
    <s v="United States"/>
  </r>
  <r>
    <x v="520"/>
    <x v="442"/>
    <s v="CUST027375"/>
    <s v="Arjun Mehta"/>
    <s v="Air Fryer"/>
    <x v="3"/>
    <x v="7"/>
    <n v="5"/>
    <n v="550.04"/>
    <n v="0.25"/>
    <n v="0"/>
    <n v="8.27"/>
    <n v="2070.92"/>
    <x v="1"/>
    <x v="3"/>
    <s v="Jacksonville"/>
    <s v="FL"/>
    <s v="United States"/>
  </r>
  <r>
    <x v="521"/>
    <x v="159"/>
    <s v="CUST026015"/>
    <s v="Arjun Verma"/>
    <s v="Vacuum Cleaner"/>
    <x v="1"/>
    <x v="5"/>
    <n v="4"/>
    <n v="222.81"/>
    <n v="0.1"/>
    <n v="64.17"/>
    <n v="7.89"/>
    <n v="874.18"/>
    <x v="3"/>
    <x v="0"/>
    <s v="Chicago"/>
    <s v="IL"/>
    <s v="Canada"/>
  </r>
  <r>
    <x v="522"/>
    <x v="380"/>
    <s v="CUST029288"/>
    <s v="Neha Gupta"/>
    <s v="Smartwatch"/>
    <x v="5"/>
    <x v="0"/>
    <n v="4"/>
    <n v="463.05"/>
    <n v="0"/>
    <n v="0"/>
    <n v="14.83"/>
    <n v="1867.03"/>
    <x v="1"/>
    <x v="3"/>
    <s v="Seattle"/>
    <s v="WA"/>
    <s v="India"/>
  </r>
  <r>
    <x v="523"/>
    <x v="443"/>
    <s v="CUST033107"/>
    <s v="Anjali Kapoor"/>
    <s v="Microphone"/>
    <x v="2"/>
    <x v="8"/>
    <n v="2"/>
    <n v="226.3"/>
    <n v="0"/>
    <n v="36.21"/>
    <n v="14.7"/>
    <n v="503.51"/>
    <x v="1"/>
    <x v="4"/>
    <s v="San Francisco"/>
    <s v="CA"/>
    <s v="United States"/>
  </r>
  <r>
    <x v="524"/>
    <x v="111"/>
    <s v="CUST046117"/>
    <s v="Sunita Verma"/>
    <s v="Portable SSD 1TB"/>
    <x v="4"/>
    <x v="6"/>
    <n v="4"/>
    <n v="562.49"/>
    <n v="0.05"/>
    <n v="106.87"/>
    <n v="10.79"/>
    <n v="2255.12"/>
    <x v="0"/>
    <x v="2"/>
    <s v="Phoenix"/>
    <s v="AZ"/>
    <s v="United States"/>
  </r>
  <r>
    <x v="525"/>
    <x v="302"/>
    <s v="CUST038971"/>
    <s v="Anjali Reddy"/>
    <s v="Puzzle 1000pc"/>
    <x v="5"/>
    <x v="8"/>
    <n v="5"/>
    <n v="176.63"/>
    <n v="0.1"/>
    <n v="95.38"/>
    <n v="14.05"/>
    <n v="904.26"/>
    <x v="3"/>
    <x v="0"/>
    <s v="San Diego"/>
    <s v="CA"/>
    <s v="Australia"/>
  </r>
  <r>
    <x v="526"/>
    <x v="444"/>
    <s v="CUST011116"/>
    <s v="Sunita Patel"/>
    <s v="HDMI Cable 2m"/>
    <x v="4"/>
    <x v="5"/>
    <n v="3"/>
    <n v="300.62"/>
    <n v="0"/>
    <n v="72.150000000000006"/>
    <n v="5.26"/>
    <n v="979.27"/>
    <x v="3"/>
    <x v="0"/>
    <s v="Fort Worth"/>
    <s v="TX"/>
    <s v="United States"/>
  </r>
  <r>
    <x v="527"/>
    <x v="202"/>
    <s v="CUST005340"/>
    <s v="Neha Reddy"/>
    <s v="Desk Plant"/>
    <x v="2"/>
    <x v="9"/>
    <n v="5"/>
    <n v="9.07"/>
    <n v="0.1"/>
    <n v="4.9000000000000004"/>
    <n v="2.42"/>
    <n v="48.14"/>
    <x v="1"/>
    <x v="3"/>
    <s v="Fort Worth"/>
    <s v="TX"/>
    <s v="United States"/>
  </r>
  <r>
    <x v="528"/>
    <x v="445"/>
    <s v="CUST002409"/>
    <s v="Vivaan Kapoor"/>
    <s v="External HDD 2TB"/>
    <x v="3"/>
    <x v="6"/>
    <n v="1"/>
    <n v="148.63999999999999"/>
    <n v="0.25"/>
    <n v="8.92"/>
    <n v="6.7"/>
    <n v="127.1"/>
    <x v="3"/>
    <x v="0"/>
    <s v="Indianapolis"/>
    <s v="IN"/>
    <s v="Canada"/>
  </r>
  <r>
    <x v="529"/>
    <x v="0"/>
    <s v="CUST011026"/>
    <s v="Aditya Kumar"/>
    <s v="Bluetooth Speaker"/>
    <x v="3"/>
    <x v="2"/>
    <n v="1"/>
    <n v="95.29"/>
    <n v="0"/>
    <n v="4.76"/>
    <n v="10.99"/>
    <n v="111.04"/>
    <x v="3"/>
    <x v="0"/>
    <s v="Charlotte"/>
    <s v="NC"/>
    <s v="United States"/>
  </r>
  <r>
    <x v="530"/>
    <x v="446"/>
    <s v="CUST006169"/>
    <s v="Priya Kumar"/>
    <s v="HDMI Cable 2m"/>
    <x v="2"/>
    <x v="6"/>
    <n v="1"/>
    <n v="430.27"/>
    <n v="0.2"/>
    <n v="27.54"/>
    <n v="3.66"/>
    <n v="375.42"/>
    <x v="4"/>
    <x v="3"/>
    <s v="San Jose"/>
    <s v="CA"/>
    <s v="United States"/>
  </r>
  <r>
    <x v="531"/>
    <x v="447"/>
    <s v="CUST018314"/>
    <s v="Aditya Mehta"/>
    <s v="Mechanical Keyboard"/>
    <x v="0"/>
    <x v="5"/>
    <n v="5"/>
    <n v="46.86"/>
    <n v="0.05"/>
    <n v="0"/>
    <n v="13.63"/>
    <n v="236.22"/>
    <x v="0"/>
    <x v="3"/>
    <s v="San Antonio"/>
    <s v="TX"/>
    <s v="United States"/>
  </r>
  <r>
    <x v="532"/>
    <x v="448"/>
    <s v="CUST018885"/>
    <s v="Vihaan Verma"/>
    <s v="Sunglasses"/>
    <x v="3"/>
    <x v="0"/>
    <n v="5"/>
    <n v="362.31"/>
    <n v="0"/>
    <n v="90.58"/>
    <n v="3.51"/>
    <n v="1905.64"/>
    <x v="4"/>
    <x v="1"/>
    <s v="Jacksonville"/>
    <s v="FL"/>
    <s v="United States"/>
  </r>
  <r>
    <x v="533"/>
    <x v="449"/>
    <s v="CUST023759"/>
    <s v="Simran Singh"/>
    <s v="Vacuum Cleaner"/>
    <x v="3"/>
    <x v="2"/>
    <n v="4"/>
    <n v="117.96"/>
    <n v="0.05"/>
    <n v="22.41"/>
    <n v="12.41"/>
    <n v="483.07"/>
    <x v="0"/>
    <x v="2"/>
    <s v="Jacksonville"/>
    <s v="FL"/>
    <s v="United States"/>
  </r>
  <r>
    <x v="534"/>
    <x v="267"/>
    <s v="CUST026649"/>
    <s v="Priya Sharma"/>
    <s v="Smartphone Case"/>
    <x v="1"/>
    <x v="6"/>
    <n v="4"/>
    <n v="469.66"/>
    <n v="0"/>
    <n v="0"/>
    <n v="7.48"/>
    <n v="1886.12"/>
    <x v="2"/>
    <x v="0"/>
    <s v="Denver"/>
    <s v="CO"/>
    <s v="India"/>
  </r>
  <r>
    <x v="535"/>
    <x v="450"/>
    <s v="CUST009300"/>
    <s v="Vivaan Patel"/>
    <s v="Jeans"/>
    <x v="0"/>
    <x v="0"/>
    <n v="5"/>
    <n v="397.96"/>
    <n v="0"/>
    <n v="159.18"/>
    <n v="6.39"/>
    <n v="2155.37"/>
    <x v="3"/>
    <x v="0"/>
    <s v="New York"/>
    <s v="NY"/>
    <s v="United States"/>
  </r>
  <r>
    <x v="536"/>
    <x v="451"/>
    <s v="CUST018680"/>
    <s v="Vivaan Gupta"/>
    <s v="Portable SSD 1TB"/>
    <x v="1"/>
    <x v="6"/>
    <n v="3"/>
    <n v="476.51"/>
    <n v="0"/>
    <n v="114.36"/>
    <n v="13.08"/>
    <n v="1556.97"/>
    <x v="3"/>
    <x v="0"/>
    <s v="San Jose"/>
    <s v="CA"/>
    <s v="United States"/>
  </r>
  <r>
    <x v="537"/>
    <x v="452"/>
    <s v="CUST007416"/>
    <s v="Vikas Patel"/>
    <s v="Backpack"/>
    <x v="1"/>
    <x v="0"/>
    <n v="2"/>
    <n v="67.33"/>
    <n v="0.05"/>
    <n v="6.4"/>
    <n v="3.61"/>
    <n v="137.94"/>
    <x v="3"/>
    <x v="0"/>
    <s v="Jacksonville"/>
    <s v="FL"/>
    <s v="United States"/>
  </r>
  <r>
    <x v="538"/>
    <x v="453"/>
    <s v="CUST007219"/>
    <s v="Karan Singh"/>
    <s v="Webcam Full HD"/>
    <x v="3"/>
    <x v="6"/>
    <n v="4"/>
    <n v="446.49"/>
    <n v="0"/>
    <n v="142.88"/>
    <n v="9.2200000000000006"/>
    <n v="1938.06"/>
    <x v="4"/>
    <x v="0"/>
    <s v="Los Angeles"/>
    <s v="CA"/>
    <s v="Canada"/>
  </r>
  <r>
    <x v="539"/>
    <x v="454"/>
    <s v="CUST007093"/>
    <s v="Sneha Reddy"/>
    <s v="Projector Mini"/>
    <x v="1"/>
    <x v="6"/>
    <n v="4"/>
    <n v="238.18"/>
    <n v="0.05"/>
    <n v="0"/>
    <n v="0.62"/>
    <n v="905.7"/>
    <x v="3"/>
    <x v="0"/>
    <s v="Chicago"/>
    <s v="IL"/>
    <s v="Canada"/>
  </r>
  <r>
    <x v="540"/>
    <x v="455"/>
    <s v="CUST042506"/>
    <s v="Karan Kapoor"/>
    <s v="Power Bank 20000mAh"/>
    <x v="5"/>
    <x v="0"/>
    <n v="5"/>
    <n v="351.03"/>
    <n v="0.3"/>
    <n v="98.29"/>
    <n v="6.7"/>
    <n v="1333.59"/>
    <x v="0"/>
    <x v="0"/>
    <s v="Washington"/>
    <s v="DC"/>
    <s v="United States"/>
  </r>
  <r>
    <x v="541"/>
    <x v="456"/>
    <s v="CUST018609"/>
    <s v="Mohit Singh"/>
    <s v="T-Shirt"/>
    <x v="3"/>
    <x v="7"/>
    <n v="3"/>
    <n v="40.4"/>
    <n v="0.1"/>
    <n v="8.73"/>
    <n v="2.81"/>
    <n v="120.62"/>
    <x v="1"/>
    <x v="0"/>
    <s v="Phoenix"/>
    <s v="AZ"/>
    <s v="United States"/>
  </r>
  <r>
    <x v="542"/>
    <x v="457"/>
    <s v="CUST006269"/>
    <s v="Mohit Verma"/>
    <s v="Gaming Mouse"/>
    <x v="3"/>
    <x v="8"/>
    <n v="4"/>
    <n v="346.01"/>
    <n v="0.2"/>
    <n v="55.36"/>
    <n v="2.74"/>
    <n v="1165.33"/>
    <x v="4"/>
    <x v="0"/>
    <s v="Los Angeles"/>
    <s v="CA"/>
    <s v="Canada"/>
  </r>
  <r>
    <x v="543"/>
    <x v="458"/>
    <s v="CUST024742"/>
    <s v="Kabir Mehta"/>
    <s v="Bluetooth Speaker"/>
    <x v="1"/>
    <x v="5"/>
    <n v="1"/>
    <n v="404.79"/>
    <n v="0"/>
    <n v="20.239999999999998"/>
    <n v="12.05"/>
    <n v="437.08"/>
    <x v="3"/>
    <x v="0"/>
    <s v="New York"/>
    <s v="NY"/>
    <s v="United States"/>
  </r>
  <r>
    <x v="544"/>
    <x v="87"/>
    <s v="CUST011612"/>
    <s v="Kabir Kumar"/>
    <s v="Kids Toy Car"/>
    <x v="2"/>
    <x v="3"/>
    <n v="1"/>
    <n v="597.54"/>
    <n v="0.25"/>
    <n v="35.85"/>
    <n v="9.35"/>
    <n v="493.36"/>
    <x v="0"/>
    <x v="0"/>
    <s v="Austin"/>
    <s v="TX"/>
    <s v="United States"/>
  </r>
  <r>
    <x v="545"/>
    <x v="350"/>
    <s v="CUST036209"/>
    <s v="Neha Kapoor"/>
    <s v="Portable SSD 1TB"/>
    <x v="1"/>
    <x v="8"/>
    <n v="4"/>
    <n v="538.96"/>
    <n v="0"/>
    <n v="0"/>
    <n v="2.7"/>
    <n v="2158.54"/>
    <x v="4"/>
    <x v="0"/>
    <s v="Chicago"/>
    <s v="IL"/>
    <s v="India"/>
  </r>
  <r>
    <x v="546"/>
    <x v="313"/>
    <s v="CUST017266"/>
    <s v="Arjun Kumar"/>
    <s v="Instant Pot"/>
    <x v="0"/>
    <x v="6"/>
    <n v="5"/>
    <n v="291.5"/>
    <n v="0.05"/>
    <n v="166.16"/>
    <n v="5.25"/>
    <n v="1556.04"/>
    <x v="3"/>
    <x v="0"/>
    <s v="Jacksonville"/>
    <s v="FL"/>
    <s v="United States"/>
  </r>
  <r>
    <x v="547"/>
    <x v="459"/>
    <s v="CUST005934"/>
    <s v="Simran Gupta"/>
    <s v="Router"/>
    <x v="3"/>
    <x v="2"/>
    <n v="5"/>
    <n v="166.38"/>
    <n v="0"/>
    <n v="41.6"/>
    <n v="6.6"/>
    <n v="880.1"/>
    <x v="2"/>
    <x v="0"/>
    <s v="New York"/>
    <s v="NY"/>
    <s v="India"/>
  </r>
  <r>
    <x v="548"/>
    <x v="460"/>
    <s v="CUST007415"/>
    <s v="Simran Gupta"/>
    <s v="Router"/>
    <x v="3"/>
    <x v="5"/>
    <n v="5"/>
    <n v="91.91"/>
    <n v="0.25"/>
    <n v="41.36"/>
    <n v="0.28999999999999998"/>
    <n v="386.31"/>
    <x v="3"/>
    <x v="0"/>
    <s v="Austin"/>
    <s v="TX"/>
    <s v="United States"/>
  </r>
  <r>
    <x v="549"/>
    <x v="461"/>
    <s v="CUST004166"/>
    <s v="Aarav Joshi"/>
    <s v="Yoga Mat"/>
    <x v="0"/>
    <x v="7"/>
    <n v="3"/>
    <n v="344.01"/>
    <n v="0.05"/>
    <n v="78.430000000000007"/>
    <n v="13.55"/>
    <n v="1072.4100000000001"/>
    <x v="1"/>
    <x v="0"/>
    <s v="San Francisco"/>
    <s v="CA"/>
    <s v="United States"/>
  </r>
  <r>
    <x v="550"/>
    <x v="462"/>
    <s v="CUST006138"/>
    <s v="Priya Reddy"/>
    <s v="Fitness Band"/>
    <x v="0"/>
    <x v="7"/>
    <n v="1"/>
    <n v="278.83999999999997"/>
    <n v="0.05"/>
    <n v="13.24"/>
    <n v="3.53"/>
    <n v="281.67"/>
    <x v="0"/>
    <x v="0"/>
    <s v="Washington"/>
    <s v="DC"/>
    <s v="United States"/>
  </r>
  <r>
    <x v="551"/>
    <x v="463"/>
    <s v="CUST033291"/>
    <s v="Mohit Verma"/>
    <s v="Puzzle 1000pc"/>
    <x v="0"/>
    <x v="3"/>
    <n v="2"/>
    <n v="331.31"/>
    <n v="0.15"/>
    <n v="45.06"/>
    <n v="13.05"/>
    <n v="621.34"/>
    <x v="0"/>
    <x v="3"/>
    <s v="Phoenix"/>
    <s v="AZ"/>
    <s v="United States"/>
  </r>
  <r>
    <x v="552"/>
    <x v="464"/>
    <s v="CUST031827"/>
    <s v="Simran Patel"/>
    <s v="Smart Light Bulb"/>
    <x v="3"/>
    <x v="9"/>
    <n v="4"/>
    <n v="290.45"/>
    <n v="0"/>
    <n v="139.41999999999999"/>
    <n v="13.2"/>
    <n v="1314.42"/>
    <x v="5"/>
    <x v="2"/>
    <s v="Chicago"/>
    <s v="IL"/>
    <s v="Australia"/>
  </r>
  <r>
    <x v="553"/>
    <x v="68"/>
    <s v="CUST042384"/>
    <s v="Ritika Gupta"/>
    <s v="Smartphone Case"/>
    <x v="3"/>
    <x v="5"/>
    <n v="3"/>
    <n v="542.15"/>
    <n v="0.15"/>
    <n v="0"/>
    <n v="8.0299999999999994"/>
    <n v="1390.51"/>
    <x v="1"/>
    <x v="0"/>
    <s v="Phoenix"/>
    <s v="AZ"/>
    <s v="India"/>
  </r>
  <r>
    <x v="554"/>
    <x v="465"/>
    <s v="CUST043680"/>
    <s v="Karan Gupta"/>
    <s v="Car Charger"/>
    <x v="5"/>
    <x v="0"/>
    <n v="3"/>
    <n v="446.2"/>
    <n v="0"/>
    <n v="0"/>
    <n v="13.33"/>
    <n v="1351.93"/>
    <x v="3"/>
    <x v="0"/>
    <s v="Columbus"/>
    <s v="OH"/>
    <s v="United States"/>
  </r>
  <r>
    <x v="555"/>
    <x v="466"/>
    <s v="CUST042370"/>
    <s v="Simran Gupta"/>
    <s v="Board Game"/>
    <x v="3"/>
    <x v="7"/>
    <n v="5"/>
    <n v="129.53"/>
    <n v="0.2"/>
    <n v="25.91"/>
    <n v="8.1199999999999992"/>
    <n v="552.15"/>
    <x v="1"/>
    <x v="1"/>
    <s v="Jacksonville"/>
    <s v="FL"/>
    <s v="United States"/>
  </r>
  <r>
    <x v="556"/>
    <x v="467"/>
    <s v="CUST014311"/>
    <s v="Rohit Mehta"/>
    <s v="Noise Cancelling Headphones"/>
    <x v="5"/>
    <x v="3"/>
    <n v="4"/>
    <n v="379.2"/>
    <n v="0"/>
    <n v="75.84"/>
    <n v="11.32"/>
    <n v="1603.96"/>
    <x v="1"/>
    <x v="0"/>
    <s v="Charlotte"/>
    <s v="NC"/>
    <s v="United States"/>
  </r>
  <r>
    <x v="557"/>
    <x v="468"/>
    <s v="CUST003130"/>
    <s v="Neha Verma"/>
    <s v="Desk Organizer"/>
    <x v="3"/>
    <x v="0"/>
    <n v="3"/>
    <n v="287.91000000000003"/>
    <n v="0.2"/>
    <n v="55.28"/>
    <n v="6.11"/>
    <n v="752.37"/>
    <x v="0"/>
    <x v="3"/>
    <s v="San Diego"/>
    <s v="CA"/>
    <s v="United Kingdom"/>
  </r>
  <r>
    <x v="558"/>
    <x v="469"/>
    <s v="CUST019366"/>
    <s v="Sneha Mehta"/>
    <s v="Kids Toy Car"/>
    <x v="2"/>
    <x v="0"/>
    <n v="1"/>
    <n v="486.08"/>
    <n v="0.05"/>
    <n v="36.94"/>
    <n v="3.69"/>
    <n v="502.41"/>
    <x v="1"/>
    <x v="1"/>
    <s v="Chicago"/>
    <s v="IL"/>
    <s v="United States"/>
  </r>
  <r>
    <x v="559"/>
    <x v="404"/>
    <s v="CUST035919"/>
    <s v="Ritika Patel"/>
    <s v="Projector Mini"/>
    <x v="3"/>
    <x v="4"/>
    <n v="2"/>
    <n v="488"/>
    <n v="0"/>
    <n v="117.12"/>
    <n v="10.06"/>
    <n v="1103.18"/>
    <x v="3"/>
    <x v="0"/>
    <s v="Columbus"/>
    <s v="OH"/>
    <s v="Canada"/>
  </r>
  <r>
    <x v="560"/>
    <x v="199"/>
    <s v="CUST022713"/>
    <s v="Ritika Gupta"/>
    <s v="Bluetooth Speaker"/>
    <x v="2"/>
    <x v="1"/>
    <n v="4"/>
    <n v="134.34"/>
    <n v="0.15"/>
    <n v="36.54"/>
    <n v="14.11"/>
    <n v="507.41"/>
    <x v="0"/>
    <x v="0"/>
    <s v="San Jose"/>
    <s v="CA"/>
    <s v="United States"/>
  </r>
  <r>
    <x v="561"/>
    <x v="470"/>
    <s v="CUST013389"/>
    <s v="Priya Sharma"/>
    <s v="Vacuum Cleaner"/>
    <x v="5"/>
    <x v="8"/>
    <n v="3"/>
    <n v="301.47000000000003"/>
    <n v="0"/>
    <n v="162.79"/>
    <n v="1.01"/>
    <n v="1068.21"/>
    <x v="3"/>
    <x v="0"/>
    <s v="Los Angeles"/>
    <s v="CA"/>
    <s v="India"/>
  </r>
  <r>
    <x v="562"/>
    <x v="464"/>
    <s v="CUST033863"/>
    <s v="Sunita Gupta"/>
    <s v="Wireless Earbuds"/>
    <x v="2"/>
    <x v="4"/>
    <n v="3"/>
    <n v="326.22000000000003"/>
    <n v="0.3"/>
    <n v="0"/>
    <n v="12.96"/>
    <n v="698.02"/>
    <x v="4"/>
    <x v="3"/>
    <s v="New York"/>
    <s v="NY"/>
    <s v="United States"/>
  </r>
  <r>
    <x v="563"/>
    <x v="471"/>
    <s v="CUST017524"/>
    <s v="Aarav Kapoor"/>
    <s v="Air Fryer"/>
    <x v="3"/>
    <x v="1"/>
    <n v="1"/>
    <n v="209.89"/>
    <n v="0.25"/>
    <n v="28.34"/>
    <n v="5.39"/>
    <n v="191.15"/>
    <x v="4"/>
    <x v="0"/>
    <s v="Los Angeles"/>
    <s v="CA"/>
    <s v="United States"/>
  </r>
  <r>
    <x v="564"/>
    <x v="472"/>
    <s v="CUST027833"/>
    <s v="Vivaan Kapoor"/>
    <s v="Microphone"/>
    <x v="0"/>
    <x v="8"/>
    <n v="4"/>
    <n v="8.39"/>
    <n v="0"/>
    <n v="2.68"/>
    <n v="4.5999999999999996"/>
    <n v="40.840000000000003"/>
    <x v="4"/>
    <x v="0"/>
    <s v="Jacksonville"/>
    <s v="FL"/>
    <s v="India"/>
  </r>
  <r>
    <x v="565"/>
    <x v="473"/>
    <s v="CUST006467"/>
    <s v="Neha Gupta"/>
    <s v="Backpack"/>
    <x v="0"/>
    <x v="0"/>
    <n v="3"/>
    <n v="596.75"/>
    <n v="0.05"/>
    <n v="0"/>
    <n v="11.38"/>
    <n v="1712.12"/>
    <x v="0"/>
    <x v="0"/>
    <s v="Houston"/>
    <s v="TX"/>
    <s v="India"/>
  </r>
  <r>
    <x v="566"/>
    <x v="474"/>
    <s v="CUST008207"/>
    <s v="Sneha Kapoor"/>
    <s v="Desk Plant"/>
    <x v="4"/>
    <x v="7"/>
    <n v="2"/>
    <n v="165.15"/>
    <n v="0"/>
    <n v="16.52"/>
    <n v="10.49"/>
    <n v="357.31"/>
    <x v="3"/>
    <x v="0"/>
    <s v="Chicago"/>
    <s v="IL"/>
    <s v="United States"/>
  </r>
  <r>
    <x v="567"/>
    <x v="475"/>
    <s v="CUST015188"/>
    <s v="Vikas Kumar"/>
    <s v="Wireless Earbuds"/>
    <x v="5"/>
    <x v="4"/>
    <n v="2"/>
    <n v="427.79"/>
    <n v="0"/>
    <n v="154"/>
    <n v="0.21"/>
    <n v="1009.79"/>
    <x v="1"/>
    <x v="0"/>
    <s v="San Antonio"/>
    <s v="TX"/>
    <s v="United States"/>
  </r>
  <r>
    <x v="568"/>
    <x v="253"/>
    <s v="CUST039354"/>
    <s v="Rohit Kapoor"/>
    <s v="Mechanical Keyboard"/>
    <x v="4"/>
    <x v="4"/>
    <n v="2"/>
    <n v="532.98"/>
    <n v="0.3"/>
    <n v="59.69"/>
    <n v="3.77"/>
    <n v="809.63"/>
    <x v="0"/>
    <x v="0"/>
    <s v="Philadelphia"/>
    <s v="PA"/>
    <s v="United States"/>
  </r>
  <r>
    <x v="569"/>
    <x v="476"/>
    <s v="CUST034307"/>
    <s v="Pooja Singh"/>
    <s v="Kids Toy Car"/>
    <x v="1"/>
    <x v="2"/>
    <n v="4"/>
    <n v="158.41999999999999"/>
    <n v="0.05"/>
    <n v="48.16"/>
    <n v="12.19"/>
    <n v="662.35"/>
    <x v="2"/>
    <x v="0"/>
    <s v="San Francisco"/>
    <s v="CA"/>
    <s v="United States"/>
  </r>
  <r>
    <x v="570"/>
    <x v="477"/>
    <s v="CUST037946"/>
    <s v="Vihaan Sharma"/>
    <s v="Yoga Mat"/>
    <x v="1"/>
    <x v="2"/>
    <n v="2"/>
    <n v="501.89"/>
    <n v="0"/>
    <n v="120.45"/>
    <n v="5.94"/>
    <n v="1130.17"/>
    <x v="1"/>
    <x v="3"/>
    <s v="Fort Worth"/>
    <s v="TX"/>
    <s v="United States"/>
  </r>
  <r>
    <x v="571"/>
    <x v="478"/>
    <s v="CUST006543"/>
    <s v="Priya Joshi"/>
    <s v="Novel Bestseller"/>
    <x v="5"/>
    <x v="4"/>
    <n v="5"/>
    <n v="45.87"/>
    <n v="0"/>
    <n v="27.52"/>
    <n v="13.66"/>
    <n v="270.52999999999997"/>
    <x v="0"/>
    <x v="1"/>
    <s v="New York"/>
    <s v="NY"/>
    <s v="United States"/>
  </r>
  <r>
    <x v="572"/>
    <x v="479"/>
    <s v="CUST045827"/>
    <s v="Vivaan Kapoor"/>
    <s v="Car Charger"/>
    <x v="5"/>
    <x v="4"/>
    <n v="2"/>
    <n v="393.45"/>
    <n v="0"/>
    <n v="62.95"/>
    <n v="0.82"/>
    <n v="850.67"/>
    <x v="1"/>
    <x v="0"/>
    <s v="San Jose"/>
    <s v="CA"/>
    <s v="India"/>
  </r>
  <r>
    <x v="573"/>
    <x v="480"/>
    <s v="CUST007580"/>
    <s v="Vikas Singh"/>
    <s v="Fitness Band"/>
    <x v="4"/>
    <x v="1"/>
    <n v="4"/>
    <n v="194.44"/>
    <n v="0.05"/>
    <n v="59.11"/>
    <n v="5.87"/>
    <n v="803.85"/>
    <x v="3"/>
    <x v="0"/>
    <s v="Jacksonville"/>
    <s v="FL"/>
    <s v="United States"/>
  </r>
  <r>
    <x v="574"/>
    <x v="304"/>
    <s v="CUST026287"/>
    <s v="Aditya Gupta"/>
    <s v="USB-C Charger"/>
    <x v="5"/>
    <x v="4"/>
    <n v="1"/>
    <n v="301.99"/>
    <n v="0.15"/>
    <n v="12.83"/>
    <n v="3.11"/>
    <n v="272.63"/>
    <x v="5"/>
    <x v="0"/>
    <s v="Philadelphia"/>
    <s v="PA"/>
    <s v="United States"/>
  </r>
  <r>
    <x v="575"/>
    <x v="481"/>
    <s v="CUST043585"/>
    <s v="Anjali Mehta"/>
    <s v="Air Fryer"/>
    <x v="4"/>
    <x v="7"/>
    <n v="5"/>
    <n v="584.19000000000005"/>
    <n v="0.1"/>
    <n v="131.44"/>
    <n v="5.65"/>
    <n v="2765.95"/>
    <x v="3"/>
    <x v="0"/>
    <s v="Dallas"/>
    <s v="TX"/>
    <s v="United States"/>
  </r>
  <r>
    <x v="576"/>
    <x v="482"/>
    <s v="CUST042421"/>
    <s v="Mohit Kumar"/>
    <s v="Portable SSD 1TB"/>
    <x v="2"/>
    <x v="1"/>
    <n v="3"/>
    <n v="326.83999999999997"/>
    <n v="0.05"/>
    <n v="46.57"/>
    <n v="8.4700000000000006"/>
    <n v="986.53"/>
    <x v="0"/>
    <x v="0"/>
    <s v="Houston"/>
    <s v="TX"/>
    <s v="United States"/>
  </r>
  <r>
    <x v="577"/>
    <x v="483"/>
    <s v="CUST005012"/>
    <s v="Arjun Reddy"/>
    <s v="Smartphone Case"/>
    <x v="0"/>
    <x v="4"/>
    <n v="2"/>
    <n v="417.98"/>
    <n v="0.05"/>
    <n v="95.3"/>
    <n v="8.52"/>
    <n v="897.98"/>
    <x v="0"/>
    <x v="0"/>
    <s v="Phoenix"/>
    <s v="AZ"/>
    <s v="India"/>
  </r>
  <r>
    <x v="578"/>
    <x v="484"/>
    <s v="CUST013323"/>
    <s v="Vikas Reddy"/>
    <s v="Water Bottle"/>
    <x v="3"/>
    <x v="4"/>
    <n v="1"/>
    <n v="517.9"/>
    <n v="0.05"/>
    <n v="59.04"/>
    <n v="10.5"/>
    <n v="561.54"/>
    <x v="3"/>
    <x v="0"/>
    <s v="San Diego"/>
    <s v="CA"/>
    <s v="United States"/>
  </r>
  <r>
    <x v="579"/>
    <x v="485"/>
    <s v="CUST034585"/>
    <s v="Aman Gupta"/>
    <s v="Bluetooth Speaker"/>
    <x v="4"/>
    <x v="9"/>
    <n v="5"/>
    <n v="29.2"/>
    <n v="0.05"/>
    <n v="0"/>
    <n v="11.99"/>
    <n v="150.69"/>
    <x v="2"/>
    <x v="3"/>
    <s v="San Jose"/>
    <s v="CA"/>
    <s v="United Kingdom"/>
  </r>
  <r>
    <x v="580"/>
    <x v="486"/>
    <s v="CUST026815"/>
    <s v="Mohit Gupta"/>
    <s v="Jeans"/>
    <x v="5"/>
    <x v="5"/>
    <n v="3"/>
    <n v="119.58"/>
    <n v="0.05"/>
    <n v="17.04"/>
    <n v="6.34"/>
    <n v="364.18"/>
    <x v="3"/>
    <x v="0"/>
    <s v="San Diego"/>
    <s v="CA"/>
    <s v="India"/>
  </r>
  <r>
    <x v="581"/>
    <x v="2"/>
    <s v="CUST005636"/>
    <s v="Neha Gupta"/>
    <s v="Novel Bestseller"/>
    <x v="2"/>
    <x v="8"/>
    <n v="3"/>
    <n v="499.02"/>
    <n v="0"/>
    <n v="0"/>
    <n v="12.59"/>
    <n v="1509.65"/>
    <x v="0"/>
    <x v="0"/>
    <s v="Phoenix"/>
    <s v="AZ"/>
    <s v="United States"/>
  </r>
  <r>
    <x v="582"/>
    <x v="258"/>
    <s v="CUST006995"/>
    <s v="Anjali Verma"/>
    <s v="LED Desk Lamp"/>
    <x v="2"/>
    <x v="5"/>
    <n v="2"/>
    <n v="77.94"/>
    <n v="0.05"/>
    <n v="17.77"/>
    <n v="9.49"/>
    <n v="175.35"/>
    <x v="0"/>
    <x v="0"/>
    <s v="San Diego"/>
    <s v="CA"/>
    <s v="India"/>
  </r>
  <r>
    <x v="583"/>
    <x v="487"/>
    <s v="CUST028214"/>
    <s v="Simran Verma"/>
    <s v="Projector Mini"/>
    <x v="4"/>
    <x v="3"/>
    <n v="3"/>
    <n v="172.75"/>
    <n v="0"/>
    <n v="25.91"/>
    <n v="0.56999999999999995"/>
    <n v="544.73"/>
    <x v="3"/>
    <x v="0"/>
    <s v="San Francisco"/>
    <s v="CA"/>
    <s v="Australia"/>
  </r>
  <r>
    <x v="584"/>
    <x v="488"/>
    <s v="CUST038972"/>
    <s v="Arjun Kumar"/>
    <s v="Kids Toy Car"/>
    <x v="2"/>
    <x v="9"/>
    <n v="2"/>
    <n v="447.53"/>
    <n v="0"/>
    <n v="44.75"/>
    <n v="0.73"/>
    <n v="940.54"/>
    <x v="5"/>
    <x v="0"/>
    <s v="Jacksonville"/>
    <s v="FL"/>
    <s v="Canada"/>
  </r>
  <r>
    <x v="585"/>
    <x v="489"/>
    <s v="CUST004252"/>
    <s v="Sunita Reddy"/>
    <s v="External HDD 2TB"/>
    <x v="0"/>
    <x v="7"/>
    <n v="2"/>
    <n v="181.28"/>
    <n v="0"/>
    <n v="18.13"/>
    <n v="13.41"/>
    <n v="394.1"/>
    <x v="5"/>
    <x v="4"/>
    <s v="Indianapolis"/>
    <s v="IN"/>
    <s v="United States"/>
  </r>
  <r>
    <x v="586"/>
    <x v="490"/>
    <s v="CUST044170"/>
    <s v="Vikas Verma"/>
    <s v="Mechanical Keyboard"/>
    <x v="4"/>
    <x v="7"/>
    <n v="5"/>
    <n v="365.39"/>
    <n v="0.2"/>
    <n v="73.08"/>
    <n v="13.35"/>
    <n v="1547.99"/>
    <x v="0"/>
    <x v="0"/>
    <s v="Austin"/>
    <s v="TX"/>
    <s v="United States"/>
  </r>
  <r>
    <x v="587"/>
    <x v="491"/>
    <s v="CUST046075"/>
    <s v="Sunita Sharma"/>
    <s v="USB-C Charger"/>
    <x v="3"/>
    <x v="1"/>
    <n v="1"/>
    <n v="85.9"/>
    <n v="0"/>
    <n v="4.3"/>
    <n v="7.59"/>
    <n v="97.79"/>
    <x v="1"/>
    <x v="0"/>
    <s v="Fort Worth"/>
    <s v="TX"/>
    <s v="United States"/>
  </r>
  <r>
    <x v="588"/>
    <x v="194"/>
    <s v="CUST039381"/>
    <s v="Pooja Reddy"/>
    <s v="Sunglasses"/>
    <x v="3"/>
    <x v="7"/>
    <n v="5"/>
    <n v="350.26"/>
    <n v="0"/>
    <n v="210.16"/>
    <n v="4.42"/>
    <n v="1965.88"/>
    <x v="3"/>
    <x v="0"/>
    <s v="Fort Worth"/>
    <s v="TX"/>
    <s v="United States"/>
  </r>
  <r>
    <x v="589"/>
    <x v="492"/>
    <s v="CUST042660"/>
    <s v="Vihaan Joshi"/>
    <s v="Dress Shirt"/>
    <x v="3"/>
    <x v="1"/>
    <n v="5"/>
    <n v="63.52"/>
    <n v="0.15"/>
    <n v="48.59"/>
    <n v="12.87"/>
    <n v="331.42"/>
    <x v="3"/>
    <x v="0"/>
    <s v="Denver"/>
    <s v="CO"/>
    <s v="United States"/>
  </r>
  <r>
    <x v="590"/>
    <x v="493"/>
    <s v="CUST013904"/>
    <s v="Vikas Gupta"/>
    <s v="4K Monitor"/>
    <x v="1"/>
    <x v="2"/>
    <n v="4"/>
    <n v="56.27"/>
    <n v="0.15"/>
    <n v="34.44"/>
    <n v="6.88"/>
    <n v="232.64"/>
    <x v="5"/>
    <x v="0"/>
    <s v="Denver"/>
    <s v="CO"/>
    <s v="India"/>
  </r>
  <r>
    <x v="591"/>
    <x v="371"/>
    <s v="CUST019361"/>
    <s v="Ritika Mehta"/>
    <s v="4K Monitor"/>
    <x v="0"/>
    <x v="4"/>
    <n v="4"/>
    <n v="316.54000000000002"/>
    <n v="0.25"/>
    <n v="47.48"/>
    <n v="10.84"/>
    <n v="1007.94"/>
    <x v="3"/>
    <x v="0"/>
    <s v="Seattle"/>
    <s v="WA"/>
    <s v="India"/>
  </r>
  <r>
    <x v="592"/>
    <x v="494"/>
    <s v="CUST024891"/>
    <s v="Vikas Verma"/>
    <s v="Fitness Band"/>
    <x v="1"/>
    <x v="3"/>
    <n v="2"/>
    <n v="101.06"/>
    <n v="0.15"/>
    <n v="0"/>
    <n v="4.45"/>
    <n v="176.25"/>
    <x v="0"/>
    <x v="3"/>
    <s v="San Antonio"/>
    <s v="TX"/>
    <s v="India"/>
  </r>
  <r>
    <x v="593"/>
    <x v="495"/>
    <s v="CUST029875"/>
    <s v="Sneha Joshi"/>
    <s v="Novel Bestseller"/>
    <x v="4"/>
    <x v="5"/>
    <n v="1"/>
    <n v="409.03"/>
    <n v="0.2"/>
    <n v="39.270000000000003"/>
    <n v="2.71"/>
    <n v="369.2"/>
    <x v="2"/>
    <x v="0"/>
    <s v="Denver"/>
    <s v="CO"/>
    <s v="United States"/>
  </r>
  <r>
    <x v="594"/>
    <x v="496"/>
    <s v="CUST046126"/>
    <s v="Aarav Kapoor"/>
    <s v="Backpack"/>
    <x v="1"/>
    <x v="0"/>
    <n v="3"/>
    <n v="490.58"/>
    <n v="0.1"/>
    <n v="238.42"/>
    <n v="11.4"/>
    <n v="1574.39"/>
    <x v="3"/>
    <x v="0"/>
    <s v="Jacksonville"/>
    <s v="FL"/>
    <s v="United States"/>
  </r>
  <r>
    <x v="595"/>
    <x v="497"/>
    <s v="CUST044429"/>
    <s v="Sahil Patel"/>
    <s v="Dress Shirt"/>
    <x v="1"/>
    <x v="4"/>
    <n v="1"/>
    <n v="36.89"/>
    <n v="0"/>
    <n v="2.95"/>
    <n v="6.18"/>
    <n v="46.02"/>
    <x v="3"/>
    <x v="0"/>
    <s v="Denver"/>
    <s v="CO"/>
    <s v="United States"/>
  </r>
  <r>
    <x v="596"/>
    <x v="498"/>
    <s v="CUST035227"/>
    <s v="Kabir Kumar"/>
    <s v="Mechanical Keyboard"/>
    <x v="2"/>
    <x v="3"/>
    <n v="3"/>
    <n v="143.79"/>
    <n v="0"/>
    <n v="34.51"/>
    <n v="7.39"/>
    <n v="473.27"/>
    <x v="3"/>
    <x v="4"/>
    <s v="San Diego"/>
    <s v="CA"/>
    <s v="United States"/>
  </r>
  <r>
    <x v="597"/>
    <x v="48"/>
    <s v="CUST016520"/>
    <s v="Aditya Joshi"/>
    <s v="Water Bottle"/>
    <x v="4"/>
    <x v="0"/>
    <n v="2"/>
    <n v="592.01"/>
    <n v="0.05"/>
    <n v="89.99"/>
    <n v="1.49"/>
    <n v="1216.3"/>
    <x v="4"/>
    <x v="3"/>
    <s v="San Jose"/>
    <s v="CA"/>
    <s v="India"/>
  </r>
  <r>
    <x v="598"/>
    <x v="499"/>
    <s v="CUST049966"/>
    <s v="Priya Mehta"/>
    <s v="Smart Light Bulb"/>
    <x v="1"/>
    <x v="0"/>
    <n v="1"/>
    <n v="229.03"/>
    <n v="0.1"/>
    <n v="16.489999999999998"/>
    <n v="0.21"/>
    <n v="222.83"/>
    <x v="4"/>
    <x v="0"/>
    <s v="Jacksonville"/>
    <s v="FL"/>
    <s v="United States"/>
  </r>
  <r>
    <x v="599"/>
    <x v="308"/>
    <s v="CUST011144"/>
    <s v="Vihaan Singh"/>
    <s v="Smartphone Case"/>
    <x v="5"/>
    <x v="5"/>
    <n v="5"/>
    <n v="304.18"/>
    <n v="0"/>
    <n v="76.040000000000006"/>
    <n v="3.7"/>
    <n v="1600.64"/>
    <x v="4"/>
    <x v="0"/>
    <s v="Washington"/>
    <s v="DC"/>
    <s v="India"/>
  </r>
  <r>
    <x v="600"/>
    <x v="500"/>
    <s v="CUST006657"/>
    <s v="Vivaan Sharma"/>
    <s v="4K Monitor"/>
    <x v="1"/>
    <x v="0"/>
    <n v="4"/>
    <n v="467.6"/>
    <n v="0.25"/>
    <n v="70.14"/>
    <n v="0.76"/>
    <n v="1473.7"/>
    <x v="3"/>
    <x v="4"/>
    <s v="San Jose"/>
    <s v="CA"/>
    <s v="United States"/>
  </r>
  <r>
    <x v="601"/>
    <x v="501"/>
    <s v="CUST031211"/>
    <s v="Priya Joshi"/>
    <s v="Office Chair"/>
    <x v="1"/>
    <x v="0"/>
    <n v="3"/>
    <n v="473.83"/>
    <n v="0.25"/>
    <n v="85.29"/>
    <n v="3.84"/>
    <n v="1155.25"/>
    <x v="0"/>
    <x v="0"/>
    <s v="Houston"/>
    <s v="TX"/>
    <s v="United Kingdom"/>
  </r>
  <r>
    <x v="602"/>
    <x v="502"/>
    <s v="CUST032624"/>
    <s v="Vihaan Verma"/>
    <s v="Puzzle 1000pc"/>
    <x v="0"/>
    <x v="4"/>
    <n v="2"/>
    <n v="147.61000000000001"/>
    <n v="0.1"/>
    <n v="21.26"/>
    <n v="10.4"/>
    <n v="297.36"/>
    <x v="0"/>
    <x v="2"/>
    <s v="Philadelphia"/>
    <s v="PA"/>
    <s v="United States"/>
  </r>
  <r>
    <x v="603"/>
    <x v="503"/>
    <s v="CUST023521"/>
    <s v="Sneha Reddy"/>
    <s v="Car Charger"/>
    <x v="3"/>
    <x v="9"/>
    <n v="2"/>
    <n v="568.55999999999995"/>
    <n v="0"/>
    <n v="136.44999999999999"/>
    <n v="4.9000000000000004"/>
    <n v="1278.47"/>
    <x v="2"/>
    <x v="0"/>
    <s v="Washington"/>
    <s v="DC"/>
    <s v="United States"/>
  </r>
  <r>
    <x v="604"/>
    <x v="504"/>
    <s v="CUST006077"/>
    <s v="Arjun Mehta"/>
    <s v="Laptop Sleeve"/>
    <x v="2"/>
    <x v="3"/>
    <n v="5"/>
    <n v="357.16"/>
    <n v="0.15"/>
    <n v="75.900000000000006"/>
    <n v="3.35"/>
    <n v="1597.18"/>
    <x v="4"/>
    <x v="0"/>
    <s v="Washington"/>
    <s v="DC"/>
    <s v="United Kingdom"/>
  </r>
  <r>
    <x v="605"/>
    <x v="505"/>
    <s v="CUST012756"/>
    <s v="Simran Patel"/>
    <s v="Fitness Band"/>
    <x v="5"/>
    <x v="9"/>
    <n v="2"/>
    <n v="433.81"/>
    <n v="0"/>
    <n v="69.41"/>
    <n v="1.25"/>
    <n v="938.28"/>
    <x v="0"/>
    <x v="2"/>
    <s v="Seattle"/>
    <s v="WA"/>
    <s v="United States"/>
  </r>
  <r>
    <x v="606"/>
    <x v="290"/>
    <s v="CUST002770"/>
    <s v="Sahil Mehta"/>
    <s v="Yoga Mat"/>
    <x v="1"/>
    <x v="9"/>
    <n v="1"/>
    <n v="225.61"/>
    <n v="0"/>
    <n v="40.61"/>
    <n v="4"/>
    <n v="270.22000000000003"/>
    <x v="2"/>
    <x v="0"/>
    <s v="Washington"/>
    <s v="DC"/>
    <s v="United Kingdom"/>
  </r>
  <r>
    <x v="607"/>
    <x v="506"/>
    <s v="CUST036442"/>
    <s v="Ritika Singh"/>
    <s v="Drone Mini"/>
    <x v="2"/>
    <x v="3"/>
    <n v="4"/>
    <n v="229.15"/>
    <n v="0.1"/>
    <n v="98.99"/>
    <n v="1.3"/>
    <n v="925.23"/>
    <x v="4"/>
    <x v="0"/>
    <s v="Denver"/>
    <s v="CO"/>
    <s v="India"/>
  </r>
  <r>
    <x v="608"/>
    <x v="507"/>
    <s v="CUST028699"/>
    <s v="Karan Verma"/>
    <s v="Backpack"/>
    <x v="3"/>
    <x v="5"/>
    <n v="1"/>
    <n v="51.51"/>
    <n v="0"/>
    <n v="4.12"/>
    <n v="5.43"/>
    <n v="61.06"/>
    <x v="2"/>
    <x v="3"/>
    <s v="San Antonio"/>
    <s v="TX"/>
    <s v="Australia"/>
  </r>
  <r>
    <x v="609"/>
    <x v="508"/>
    <s v="CUST041158"/>
    <s v="Neha Kapoor"/>
    <s v="Smart Light Bulb"/>
    <x v="1"/>
    <x v="2"/>
    <n v="1"/>
    <n v="570.53"/>
    <n v="0"/>
    <n v="68.459999999999994"/>
    <n v="3.1"/>
    <n v="642.09"/>
    <x v="0"/>
    <x v="0"/>
    <s v="Philadelphia"/>
    <s v="PA"/>
    <s v="United States"/>
  </r>
  <r>
    <x v="610"/>
    <x v="182"/>
    <s v="CUST015252"/>
    <s v="Karan Gupta"/>
    <s v="Power Bank 20000mAh"/>
    <x v="5"/>
    <x v="3"/>
    <n v="5"/>
    <n v="407.46"/>
    <n v="0.2"/>
    <n v="0"/>
    <n v="4.6500000000000004"/>
    <n v="1634.49"/>
    <x v="3"/>
    <x v="0"/>
    <s v="Austin"/>
    <s v="TX"/>
    <s v="United States"/>
  </r>
  <r>
    <x v="611"/>
    <x v="509"/>
    <s v="CUST009190"/>
    <s v="Vivaan Patel"/>
    <s v="Air Fryer"/>
    <x v="2"/>
    <x v="5"/>
    <n v="5"/>
    <n v="367.29"/>
    <n v="0.1"/>
    <n v="132.22"/>
    <n v="2.54"/>
    <n v="1787.56"/>
    <x v="3"/>
    <x v="0"/>
    <s v="San Diego"/>
    <s v="CA"/>
    <s v="United States"/>
  </r>
  <r>
    <x v="612"/>
    <x v="510"/>
    <s v="CUST015078"/>
    <s v="Rohit Joshi"/>
    <s v="Portable SSD 1TB"/>
    <x v="2"/>
    <x v="7"/>
    <n v="3"/>
    <n v="287.18"/>
    <n v="0"/>
    <n v="103.38"/>
    <n v="7.76"/>
    <n v="972.68"/>
    <x v="3"/>
    <x v="2"/>
    <s v="Seattle"/>
    <s v="WA"/>
    <s v="United States"/>
  </r>
  <r>
    <x v="613"/>
    <x v="511"/>
    <s v="CUST015888"/>
    <s v="Simran Kumar"/>
    <s v="Winter Jacket"/>
    <x v="2"/>
    <x v="6"/>
    <n v="2"/>
    <n v="190.23"/>
    <n v="0"/>
    <n v="30.44"/>
    <n v="9.0500000000000007"/>
    <n v="419.95"/>
    <x v="2"/>
    <x v="0"/>
    <s v="San Jose"/>
    <s v="CA"/>
    <s v="United States"/>
  </r>
  <r>
    <x v="614"/>
    <x v="512"/>
    <s v="CUST047044"/>
    <s v="Vikas Verma"/>
    <s v="Novel Bestseller"/>
    <x v="5"/>
    <x v="0"/>
    <n v="3"/>
    <n v="20.239999999999998"/>
    <n v="0.2"/>
    <n v="2.4300000000000002"/>
    <n v="14.6"/>
    <n v="65.61"/>
    <x v="0"/>
    <x v="3"/>
    <s v="San Francisco"/>
    <s v="CA"/>
    <s v="United States"/>
  </r>
  <r>
    <x v="615"/>
    <x v="513"/>
    <s v="CUST014358"/>
    <s v="Vikas Reddy"/>
    <s v="Yoga Mat"/>
    <x v="3"/>
    <x v="8"/>
    <n v="5"/>
    <n v="319.61"/>
    <n v="0"/>
    <n v="127.84"/>
    <n v="3.69"/>
    <n v="1729.58"/>
    <x v="4"/>
    <x v="3"/>
    <s v="Seattle"/>
    <s v="WA"/>
    <s v="India"/>
  </r>
  <r>
    <x v="616"/>
    <x v="16"/>
    <s v="CUST046153"/>
    <s v="Vikas Sharma"/>
    <s v="Jeans"/>
    <x v="0"/>
    <x v="4"/>
    <n v="3"/>
    <n v="563.21"/>
    <n v="0.05"/>
    <n v="192.62"/>
    <n v="14.53"/>
    <n v="1812.3"/>
    <x v="0"/>
    <x v="1"/>
    <s v="Denver"/>
    <s v="CO"/>
    <s v="United States"/>
  </r>
  <r>
    <x v="617"/>
    <x v="474"/>
    <s v="CUST001720"/>
    <s v="Sunita Gupta"/>
    <s v="Electric Kettle"/>
    <x v="4"/>
    <x v="2"/>
    <n v="4"/>
    <n v="339.22"/>
    <n v="0"/>
    <n v="0"/>
    <n v="8.32"/>
    <n v="1365.2"/>
    <x v="5"/>
    <x v="0"/>
    <s v="San Francisco"/>
    <s v="CA"/>
    <s v="United Kingdom"/>
  </r>
  <r>
    <x v="618"/>
    <x v="514"/>
    <s v="CUST028536"/>
    <s v="Rohit Verma"/>
    <s v="Instant Pot"/>
    <x v="2"/>
    <x v="3"/>
    <n v="1"/>
    <n v="333.22"/>
    <n v="0"/>
    <n v="16.66"/>
    <n v="6.52"/>
    <n v="356.4"/>
    <x v="1"/>
    <x v="3"/>
    <s v="Houston"/>
    <s v="TX"/>
    <s v="United States"/>
  </r>
  <r>
    <x v="619"/>
    <x v="515"/>
    <s v="CUST041352"/>
    <s v="Simran Verma"/>
    <s v="T-Shirt"/>
    <x v="2"/>
    <x v="3"/>
    <n v="5"/>
    <n v="409.28"/>
    <n v="0.05"/>
    <n v="97.2"/>
    <n v="0.68"/>
    <n v="2041.96"/>
    <x v="3"/>
    <x v="0"/>
    <s v="San Jose"/>
    <s v="CA"/>
    <s v="India"/>
  </r>
  <r>
    <x v="620"/>
    <x v="516"/>
    <s v="CUST042316"/>
    <s v="Rohit Kapoor"/>
    <s v="Children's Book"/>
    <x v="0"/>
    <x v="6"/>
    <n v="2"/>
    <n v="548.88"/>
    <n v="0"/>
    <n v="54.89"/>
    <n v="2.15"/>
    <n v="1154.8"/>
    <x v="1"/>
    <x v="0"/>
    <s v="San Jose"/>
    <s v="CA"/>
    <s v="United States"/>
  </r>
  <r>
    <x v="621"/>
    <x v="313"/>
    <s v="CUST031158"/>
    <s v="Aarav Sharma"/>
    <s v="Vacuum Cleaner"/>
    <x v="0"/>
    <x v="6"/>
    <n v="5"/>
    <n v="16.8"/>
    <n v="0"/>
    <n v="4.2"/>
    <n v="2.83"/>
    <n v="91.03"/>
    <x v="1"/>
    <x v="0"/>
    <s v="Chicago"/>
    <s v="IL"/>
    <s v="United States"/>
  </r>
  <r>
    <x v="622"/>
    <x v="235"/>
    <s v="CUST021388"/>
    <s v="Anjali Kumar"/>
    <s v="Projector Mini"/>
    <x v="5"/>
    <x v="2"/>
    <n v="5"/>
    <n v="508.77"/>
    <n v="0"/>
    <n v="127.19"/>
    <n v="11.33"/>
    <n v="2682.37"/>
    <x v="3"/>
    <x v="0"/>
    <s v="Columbus"/>
    <s v="OH"/>
    <s v="United States"/>
  </r>
  <r>
    <x v="623"/>
    <x v="230"/>
    <s v="CUST035024"/>
    <s v="Arjun Kapoor"/>
    <s v="Vacuum Cleaner"/>
    <x v="5"/>
    <x v="9"/>
    <n v="1"/>
    <n v="102.17"/>
    <n v="0.05"/>
    <n v="7.76"/>
    <n v="11.53"/>
    <n v="116.35"/>
    <x v="4"/>
    <x v="0"/>
    <s v="Austin"/>
    <s v="TX"/>
    <s v="United States"/>
  </r>
  <r>
    <x v="624"/>
    <x v="517"/>
    <s v="CUST012302"/>
    <s v="Rohit Verma"/>
    <s v="T-Shirt"/>
    <x v="4"/>
    <x v="6"/>
    <n v="2"/>
    <n v="291.54000000000002"/>
    <n v="0"/>
    <n v="0"/>
    <n v="2.78"/>
    <n v="585.86"/>
    <x v="3"/>
    <x v="2"/>
    <s v="Philadelphia"/>
    <s v="PA"/>
    <s v="United States"/>
  </r>
  <r>
    <x v="625"/>
    <x v="518"/>
    <s v="CUST005342"/>
    <s v="Sahil Kumar"/>
    <s v="Wireless Earbuds"/>
    <x v="0"/>
    <x v="6"/>
    <n v="3"/>
    <n v="86.49"/>
    <n v="0.15"/>
    <n v="11.03"/>
    <n v="13.31"/>
    <n v="244.89"/>
    <x v="3"/>
    <x v="3"/>
    <s v="New York"/>
    <s v="NY"/>
    <s v="United States"/>
  </r>
  <r>
    <x v="626"/>
    <x v="519"/>
    <s v="CUST002027"/>
    <s v="Ritika Kumar"/>
    <s v="Noise Cancelling Headphones"/>
    <x v="5"/>
    <x v="0"/>
    <n v="2"/>
    <n v="106.56"/>
    <n v="0"/>
    <n v="0"/>
    <n v="5.84"/>
    <n v="218.96"/>
    <x v="5"/>
    <x v="0"/>
    <s v="Phoenix"/>
    <s v="AZ"/>
    <s v="United States"/>
  </r>
  <r>
    <x v="627"/>
    <x v="520"/>
    <s v="CUST004340"/>
    <s v="Sneha Patel"/>
    <s v="Gaming Mouse"/>
    <x v="5"/>
    <x v="1"/>
    <n v="3"/>
    <n v="513.54999999999995"/>
    <n v="0.1"/>
    <n v="166.39"/>
    <n v="1.44"/>
    <n v="1554.42"/>
    <x v="5"/>
    <x v="0"/>
    <s v="Washington"/>
    <s v="DC"/>
    <s v="India"/>
  </r>
  <r>
    <x v="628"/>
    <x v="521"/>
    <s v="CUST001299"/>
    <s v="Arjun Kapoor"/>
    <s v="HDMI Cable 2m"/>
    <x v="2"/>
    <x v="9"/>
    <n v="3"/>
    <n v="592.04"/>
    <n v="0.25"/>
    <n v="106.57"/>
    <n v="9.9700000000000006"/>
    <n v="1448.63"/>
    <x v="3"/>
    <x v="0"/>
    <s v="San Antonio"/>
    <s v="TX"/>
    <s v="United States"/>
  </r>
  <r>
    <x v="629"/>
    <x v="112"/>
    <s v="CUST034381"/>
    <s v="Aarav Gupta"/>
    <s v="HDMI Cable 2m"/>
    <x v="5"/>
    <x v="2"/>
    <n v="5"/>
    <n v="80.2"/>
    <n v="0.05"/>
    <n v="0"/>
    <n v="7.31"/>
    <n v="388.26"/>
    <x v="5"/>
    <x v="0"/>
    <s v="Jacksonville"/>
    <s v="FL"/>
    <s v="United States"/>
  </r>
  <r>
    <x v="630"/>
    <x v="522"/>
    <s v="CUST032876"/>
    <s v="Arjun Singh"/>
    <s v="Board Game"/>
    <x v="1"/>
    <x v="6"/>
    <n v="5"/>
    <n v="229.54"/>
    <n v="0"/>
    <n v="91.82"/>
    <n v="6.9"/>
    <n v="1246.42"/>
    <x v="3"/>
    <x v="0"/>
    <s v="San Francisco"/>
    <s v="CA"/>
    <s v="Canada"/>
  </r>
  <r>
    <x v="631"/>
    <x v="523"/>
    <s v="CUST001354"/>
    <s v="Sahil Gupta"/>
    <s v="Phone Tripod"/>
    <x v="3"/>
    <x v="3"/>
    <n v="5"/>
    <n v="101.63"/>
    <n v="0.05"/>
    <n v="38.619999999999997"/>
    <n v="1.65"/>
    <n v="523.01"/>
    <x v="1"/>
    <x v="0"/>
    <s v="Charlotte"/>
    <s v="NC"/>
    <s v="United States"/>
  </r>
  <r>
    <x v="632"/>
    <x v="524"/>
    <s v="CUST034415"/>
    <s v="Mohit Verma"/>
    <s v="Smartwatch"/>
    <x v="3"/>
    <x v="6"/>
    <n v="1"/>
    <n v="92.3"/>
    <n v="0"/>
    <n v="11.08"/>
    <n v="10.61"/>
    <n v="113.99"/>
    <x v="0"/>
    <x v="2"/>
    <s v="Seattle"/>
    <s v="WA"/>
    <s v="United States"/>
  </r>
  <r>
    <x v="633"/>
    <x v="376"/>
    <s v="CUST004221"/>
    <s v="Aarav Singh"/>
    <s v="Board Game"/>
    <x v="4"/>
    <x v="6"/>
    <n v="5"/>
    <n v="214.56"/>
    <n v="0"/>
    <n v="128.74"/>
    <n v="4.45"/>
    <n v="1205.99"/>
    <x v="4"/>
    <x v="0"/>
    <s v="Phoenix"/>
    <s v="AZ"/>
    <s v="India"/>
  </r>
  <r>
    <x v="634"/>
    <x v="525"/>
    <s v="CUST017501"/>
    <s v="Aarav Patel"/>
    <s v="Car Charger"/>
    <x v="2"/>
    <x v="5"/>
    <n v="3"/>
    <n v="211.25"/>
    <n v="0.2"/>
    <n v="60.84"/>
    <n v="6.1"/>
    <n v="573.94000000000005"/>
    <x v="3"/>
    <x v="0"/>
    <s v="Indianapolis"/>
    <s v="IN"/>
    <s v="United States"/>
  </r>
  <r>
    <x v="635"/>
    <x v="526"/>
    <s v="CUST041372"/>
    <s v="Sneha Kapoor"/>
    <s v="Fitness Band"/>
    <x v="3"/>
    <x v="3"/>
    <n v="5"/>
    <n v="209.51"/>
    <n v="0.05"/>
    <n v="49.76"/>
    <n v="11.36"/>
    <n v="1056.29"/>
    <x v="0"/>
    <x v="0"/>
    <s v="Columbus"/>
    <s v="OH"/>
    <s v="United States"/>
  </r>
  <r>
    <x v="636"/>
    <x v="527"/>
    <s v="CUST003021"/>
    <s v="Anjali Sharma"/>
    <s v="T-Shirt"/>
    <x v="3"/>
    <x v="1"/>
    <n v="2"/>
    <n v="421.94"/>
    <n v="0"/>
    <n v="101.27"/>
    <n v="1.04"/>
    <n v="946.19"/>
    <x v="4"/>
    <x v="4"/>
    <s v="San Jose"/>
    <s v="CA"/>
    <s v="India"/>
  </r>
  <r>
    <x v="637"/>
    <x v="528"/>
    <s v="CUST000237"/>
    <s v="Mohit Gupta"/>
    <s v="Winter Jacket"/>
    <x v="3"/>
    <x v="5"/>
    <n v="4"/>
    <n v="18.329999999999998"/>
    <n v="0"/>
    <n v="0"/>
    <n v="3.84"/>
    <n v="77.16"/>
    <x v="3"/>
    <x v="0"/>
    <s v="Washington"/>
    <s v="DC"/>
    <s v="United States"/>
  </r>
  <r>
    <x v="638"/>
    <x v="18"/>
    <s v="CUST035471"/>
    <s v="Vivaan Singh"/>
    <s v="Router"/>
    <x v="1"/>
    <x v="0"/>
    <n v="2"/>
    <n v="123"/>
    <n v="0.2"/>
    <n v="9.84"/>
    <n v="14.33"/>
    <n v="220.97"/>
    <x v="1"/>
    <x v="0"/>
    <s v="New York"/>
    <s v="NY"/>
    <s v="United States"/>
  </r>
  <r>
    <x v="639"/>
    <x v="529"/>
    <s v="CUST041169"/>
    <s v="Karan Reddy"/>
    <s v="Wireless Charger"/>
    <x v="2"/>
    <x v="4"/>
    <n v="1"/>
    <n v="449.57"/>
    <n v="0.2"/>
    <n v="43.16"/>
    <n v="3.18"/>
    <n v="406"/>
    <x v="0"/>
    <x v="0"/>
    <s v="Los Angeles"/>
    <s v="CA"/>
    <s v="United States"/>
  </r>
  <r>
    <x v="640"/>
    <x v="132"/>
    <s v="CUST013631"/>
    <s v="Vihaan Verma"/>
    <s v="Mechanical Keyboard"/>
    <x v="0"/>
    <x v="3"/>
    <n v="1"/>
    <n v="422.22"/>
    <n v="0.1"/>
    <n v="45.6"/>
    <n v="9.3800000000000008"/>
    <n v="434.98"/>
    <x v="1"/>
    <x v="0"/>
    <s v="Columbus"/>
    <s v="OH"/>
    <s v="United States"/>
  </r>
  <r>
    <x v="641"/>
    <x v="116"/>
    <s v="CUST012298"/>
    <s v="Neha Joshi"/>
    <s v="Running Shoes"/>
    <x v="0"/>
    <x v="1"/>
    <n v="5"/>
    <n v="243.42"/>
    <n v="0.1"/>
    <n v="131.44999999999999"/>
    <n v="3.54"/>
    <n v="1230.3800000000001"/>
    <x v="5"/>
    <x v="0"/>
    <s v="San Antonio"/>
    <s v="TX"/>
    <s v="United States"/>
  </r>
  <r>
    <x v="642"/>
    <x v="530"/>
    <s v="CUST015104"/>
    <s v="Vikas Reddy"/>
    <s v="Phone Tripod"/>
    <x v="0"/>
    <x v="5"/>
    <n v="1"/>
    <n v="445.19"/>
    <n v="0.15"/>
    <n v="45.41"/>
    <n v="13.76"/>
    <n v="437.58"/>
    <x v="3"/>
    <x v="0"/>
    <s v="Columbus"/>
    <s v="OH"/>
    <s v="Australia"/>
  </r>
  <r>
    <x v="643"/>
    <x v="334"/>
    <s v="CUST016270"/>
    <s v="Ritika Verma"/>
    <s v="Fitness Band"/>
    <x v="5"/>
    <x v="4"/>
    <n v="3"/>
    <n v="223.77"/>
    <n v="0"/>
    <n v="53.7"/>
    <n v="11.24"/>
    <n v="736.25"/>
    <x v="3"/>
    <x v="3"/>
    <s v="San Jose"/>
    <s v="CA"/>
    <s v="United States"/>
  </r>
  <r>
    <x v="644"/>
    <x v="531"/>
    <s v="CUST035106"/>
    <s v="Simran Reddy"/>
    <s v="4K Monitor"/>
    <x v="2"/>
    <x v="8"/>
    <n v="3"/>
    <n v="268.82"/>
    <n v="0.05"/>
    <n v="91.94"/>
    <n v="2.19"/>
    <n v="860.27"/>
    <x v="4"/>
    <x v="0"/>
    <s v="San Diego"/>
    <s v="CA"/>
    <s v="United States"/>
  </r>
  <r>
    <x v="645"/>
    <x v="532"/>
    <s v="CUST038495"/>
    <s v="Sneha Kapoor"/>
    <s v="Air Fryer"/>
    <x v="5"/>
    <x v="7"/>
    <n v="2"/>
    <n v="479.12"/>
    <n v="0.1"/>
    <n v="0"/>
    <n v="3.92"/>
    <n v="866.34"/>
    <x v="1"/>
    <x v="0"/>
    <s v="Washington"/>
    <s v="DC"/>
    <s v="India"/>
  </r>
  <r>
    <x v="646"/>
    <x v="240"/>
    <s v="CUST010023"/>
    <s v="Vivaan Reddy"/>
    <s v="Bluetooth Speaker"/>
    <x v="3"/>
    <x v="1"/>
    <n v="3"/>
    <n v="115.37"/>
    <n v="0.1"/>
    <n v="15.57"/>
    <n v="4.0999999999999996"/>
    <n v="331.17"/>
    <x v="4"/>
    <x v="0"/>
    <s v="Washington"/>
    <s v="DC"/>
    <s v="United States"/>
  </r>
  <r>
    <x v="647"/>
    <x v="236"/>
    <s v="CUST018336"/>
    <s v="Priya Joshi"/>
    <s v="Bluetooth Speaker"/>
    <x v="4"/>
    <x v="4"/>
    <n v="4"/>
    <n v="370.92"/>
    <n v="0.2"/>
    <n v="59.35"/>
    <n v="4.67"/>
    <n v="1250.96"/>
    <x v="5"/>
    <x v="3"/>
    <s v="San Jose"/>
    <s v="CA"/>
    <s v="India"/>
  </r>
  <r>
    <x v="648"/>
    <x v="533"/>
    <s v="CUST010320"/>
    <s v="Aarav Sharma"/>
    <s v="Smart Light Bulb"/>
    <x v="1"/>
    <x v="7"/>
    <n v="1"/>
    <n v="410.06"/>
    <n v="0.15"/>
    <n v="62.74"/>
    <n v="9.1"/>
    <n v="420.39"/>
    <x v="0"/>
    <x v="3"/>
    <s v="San Antonio"/>
    <s v="TX"/>
    <s v="Australia"/>
  </r>
  <r>
    <x v="649"/>
    <x v="534"/>
    <s v="CUST040657"/>
    <s v="Neha Mehta"/>
    <s v="Wireless Earbuds"/>
    <x v="5"/>
    <x v="9"/>
    <n v="1"/>
    <n v="141.41"/>
    <n v="0.2"/>
    <n v="5.66"/>
    <n v="4.46"/>
    <n v="123.25"/>
    <x v="0"/>
    <x v="0"/>
    <s v="Seattle"/>
    <s v="WA"/>
    <s v="United Kingdom"/>
  </r>
  <r>
    <x v="650"/>
    <x v="535"/>
    <s v="CUST027748"/>
    <s v="Karan Verma"/>
    <s v="Board Game"/>
    <x v="3"/>
    <x v="0"/>
    <n v="4"/>
    <n v="58.27"/>
    <n v="0"/>
    <n v="27.97"/>
    <n v="11.21"/>
    <n v="272.26"/>
    <x v="4"/>
    <x v="3"/>
    <s v="Houston"/>
    <s v="TX"/>
    <s v="United States"/>
  </r>
  <r>
    <x v="651"/>
    <x v="536"/>
    <s v="CUST039331"/>
    <s v="Neha Joshi"/>
    <s v="Yoga Mat"/>
    <x v="1"/>
    <x v="6"/>
    <n v="2"/>
    <n v="131.55000000000001"/>
    <n v="0.15"/>
    <n v="26.84"/>
    <n v="0.38"/>
    <n v="250.86"/>
    <x v="0"/>
    <x v="3"/>
    <s v="Indianapolis"/>
    <s v="IN"/>
    <s v="India"/>
  </r>
  <r>
    <x v="652"/>
    <x v="93"/>
    <s v="CUST026647"/>
    <s v="Aditya Verma"/>
    <s v="Power Bank 20000mAh"/>
    <x v="0"/>
    <x v="1"/>
    <n v="3"/>
    <n v="362.92"/>
    <n v="0.05"/>
    <n v="82.75"/>
    <n v="11.7"/>
    <n v="1128.77"/>
    <x v="2"/>
    <x v="0"/>
    <s v="San Diego"/>
    <s v="CA"/>
    <s v="India"/>
  </r>
  <r>
    <x v="653"/>
    <x v="537"/>
    <s v="CUST048921"/>
    <s v="Anjali Kapoor"/>
    <s v="Fitness Band"/>
    <x v="3"/>
    <x v="6"/>
    <n v="3"/>
    <n v="453.13"/>
    <n v="0.05"/>
    <n v="64.569999999999993"/>
    <n v="1.98"/>
    <n v="1357.97"/>
    <x v="5"/>
    <x v="0"/>
    <s v="Dallas"/>
    <s v="TX"/>
    <s v="United States"/>
  </r>
  <r>
    <x v="654"/>
    <x v="538"/>
    <s v="CUST041207"/>
    <s v="Arjun Verma"/>
    <s v="HDMI Cable 2m"/>
    <x v="2"/>
    <x v="9"/>
    <n v="1"/>
    <n v="104.92"/>
    <n v="0.15"/>
    <n v="7.13"/>
    <n v="12.53"/>
    <n v="108.84"/>
    <x v="3"/>
    <x v="0"/>
    <s v="Columbus"/>
    <s v="OH"/>
    <s v="United States"/>
  </r>
  <r>
    <x v="655"/>
    <x v="539"/>
    <s v="CUST022106"/>
    <s v="Arjun Gupta"/>
    <s v="Board Game"/>
    <x v="0"/>
    <x v="9"/>
    <n v="2"/>
    <n v="109.98"/>
    <n v="0"/>
    <n v="17.600000000000001"/>
    <n v="3.26"/>
    <n v="240.82"/>
    <x v="3"/>
    <x v="0"/>
    <s v="Fort Worth"/>
    <s v="TX"/>
    <s v="United States"/>
  </r>
  <r>
    <x v="656"/>
    <x v="540"/>
    <s v="CUST047036"/>
    <s v="Kabir Kapoor"/>
    <s v="Air Fryer"/>
    <x v="1"/>
    <x v="8"/>
    <n v="5"/>
    <n v="57.21"/>
    <n v="0.2"/>
    <n v="11.44"/>
    <n v="12.77"/>
    <n v="253.05"/>
    <x v="1"/>
    <x v="3"/>
    <s v="Dallas"/>
    <s v="TX"/>
    <s v="India"/>
  </r>
  <r>
    <x v="657"/>
    <x v="541"/>
    <s v="CUST018918"/>
    <s v="Sahil Patel"/>
    <s v="Jeans"/>
    <x v="4"/>
    <x v="1"/>
    <n v="5"/>
    <n v="484.82"/>
    <n v="0.1"/>
    <n v="109.08"/>
    <n v="9.1199999999999992"/>
    <n v="2299.89"/>
    <x v="3"/>
    <x v="0"/>
    <s v="San Antonio"/>
    <s v="TX"/>
    <s v="United States"/>
  </r>
  <r>
    <x v="658"/>
    <x v="542"/>
    <s v="CUST013331"/>
    <s v="Sunita Kapoor"/>
    <s v="Action Camera"/>
    <x v="2"/>
    <x v="6"/>
    <n v="3"/>
    <n v="70.34"/>
    <n v="0.1"/>
    <n v="22.79"/>
    <n v="10.51"/>
    <n v="223.22"/>
    <x v="2"/>
    <x v="0"/>
    <s v="Chicago"/>
    <s v="IL"/>
    <s v="United States"/>
  </r>
  <r>
    <x v="659"/>
    <x v="543"/>
    <s v="CUST028139"/>
    <s v="Aman Gupta"/>
    <s v="Air Fryer"/>
    <x v="0"/>
    <x v="2"/>
    <n v="1"/>
    <n v="496"/>
    <n v="0"/>
    <n v="24.8"/>
    <n v="5.95"/>
    <n v="526.75"/>
    <x v="3"/>
    <x v="3"/>
    <s v="Chicago"/>
    <s v="IL"/>
    <s v="Australia"/>
  </r>
  <r>
    <x v="660"/>
    <x v="544"/>
    <s v="CUST041747"/>
    <s v="Simran Reddy"/>
    <s v="Bluetooth Speaker"/>
    <x v="2"/>
    <x v="4"/>
    <n v="3"/>
    <n v="533.42999999999995"/>
    <n v="0.1"/>
    <n v="72.010000000000005"/>
    <n v="0.86"/>
    <n v="1513.13"/>
    <x v="4"/>
    <x v="0"/>
    <s v="Seattle"/>
    <s v="WA"/>
    <s v="India"/>
  </r>
  <r>
    <x v="661"/>
    <x v="78"/>
    <s v="CUST021614"/>
    <s v="Kabir Mehta"/>
    <s v="Projector Mini"/>
    <x v="0"/>
    <x v="2"/>
    <n v="3"/>
    <n v="298.35000000000002"/>
    <n v="0"/>
    <n v="161.11000000000001"/>
    <n v="14.15"/>
    <n v="1070.31"/>
    <x v="4"/>
    <x v="3"/>
    <s v="Fort Worth"/>
    <s v="TX"/>
    <s v="Canada"/>
  </r>
  <r>
    <x v="662"/>
    <x v="428"/>
    <s v="CUST015215"/>
    <s v="Vihaan Verma"/>
    <s v="Microphone"/>
    <x v="3"/>
    <x v="4"/>
    <n v="2"/>
    <n v="101.97"/>
    <n v="0"/>
    <n v="10.199999999999999"/>
    <n v="10.29"/>
    <n v="224.43"/>
    <x v="4"/>
    <x v="0"/>
    <s v="Phoenix"/>
    <s v="AZ"/>
    <s v="United States"/>
  </r>
  <r>
    <x v="663"/>
    <x v="545"/>
    <s v="CUST038495"/>
    <s v="Sahil Kumar"/>
    <s v="Bluetooth Speaker"/>
    <x v="0"/>
    <x v="3"/>
    <n v="4"/>
    <n v="579.05999999999995"/>
    <n v="0.2"/>
    <n v="333.54"/>
    <n v="11.53"/>
    <n v="2198.06"/>
    <x v="1"/>
    <x v="0"/>
    <s v="Philadelphia"/>
    <s v="PA"/>
    <s v="United States"/>
  </r>
  <r>
    <x v="664"/>
    <x v="546"/>
    <s v="CUST029669"/>
    <s v="Karan Joshi"/>
    <s v="Microphone"/>
    <x v="2"/>
    <x v="8"/>
    <n v="3"/>
    <n v="569.16"/>
    <n v="0"/>
    <n v="307.35000000000002"/>
    <n v="6.44"/>
    <n v="2021.27"/>
    <x v="1"/>
    <x v="0"/>
    <s v="Jacksonville"/>
    <s v="FL"/>
    <s v="United States"/>
  </r>
  <r>
    <x v="665"/>
    <x v="77"/>
    <s v="CUST043404"/>
    <s v="Sneha Mehta"/>
    <s v="Novel Bestseller"/>
    <x v="1"/>
    <x v="1"/>
    <n v="2"/>
    <n v="136.85"/>
    <n v="0.05"/>
    <n v="46.8"/>
    <n v="6.46"/>
    <n v="313.27"/>
    <x v="3"/>
    <x v="3"/>
    <s v="Columbus"/>
    <s v="OH"/>
    <s v="United States"/>
  </r>
  <r>
    <x v="666"/>
    <x v="547"/>
    <s v="CUST000342"/>
    <s v="Anjali Joshi"/>
    <s v="Router"/>
    <x v="4"/>
    <x v="2"/>
    <n v="1"/>
    <n v="174.15"/>
    <n v="0.1"/>
    <n v="28.21"/>
    <n v="8.6199999999999992"/>
    <n v="193.57"/>
    <x v="1"/>
    <x v="0"/>
    <s v="Dallas"/>
    <s v="TX"/>
    <s v="India"/>
  </r>
  <r>
    <x v="667"/>
    <x v="548"/>
    <s v="CUST028594"/>
    <s v="Sunita Mehta"/>
    <s v="Drone Mini"/>
    <x v="0"/>
    <x v="0"/>
    <n v="5"/>
    <n v="62.49"/>
    <n v="0"/>
    <n v="25"/>
    <n v="8.91"/>
    <n v="346.36"/>
    <x v="0"/>
    <x v="0"/>
    <s v="Chicago"/>
    <s v="IL"/>
    <s v="United Kingdom"/>
  </r>
  <r>
    <x v="668"/>
    <x v="549"/>
    <s v="CUST039500"/>
    <s v="Vihaan Patel"/>
    <s v="Phone Tripod"/>
    <x v="2"/>
    <x v="4"/>
    <n v="3"/>
    <n v="478.63"/>
    <n v="0.2"/>
    <n v="57.44"/>
    <n v="9.5299999999999994"/>
    <n v="1215.68"/>
    <x v="0"/>
    <x v="3"/>
    <s v="Houston"/>
    <s v="TX"/>
    <s v="United States"/>
  </r>
  <r>
    <x v="669"/>
    <x v="84"/>
    <s v="CUST042143"/>
    <s v="Karan Patel"/>
    <s v="Puzzle 1000pc"/>
    <x v="5"/>
    <x v="6"/>
    <n v="4"/>
    <n v="404.87"/>
    <n v="0"/>
    <n v="80.97"/>
    <n v="2.58"/>
    <n v="1703.03"/>
    <x v="3"/>
    <x v="3"/>
    <s v="San Diego"/>
    <s v="CA"/>
    <s v="Australia"/>
  </r>
  <r>
    <x v="670"/>
    <x v="550"/>
    <s v="CUST030029"/>
    <s v="Pooja Patel"/>
    <s v="Smartwatch"/>
    <x v="5"/>
    <x v="7"/>
    <n v="3"/>
    <n v="5.5"/>
    <n v="0.05"/>
    <n v="1.25"/>
    <n v="0.92"/>
    <n v="17.84"/>
    <x v="5"/>
    <x v="0"/>
    <s v="Austin"/>
    <s v="TX"/>
    <s v="United States"/>
  </r>
  <r>
    <x v="671"/>
    <x v="551"/>
    <s v="CUST017431"/>
    <s v="Arjun Joshi"/>
    <s v="Instant Pot"/>
    <x v="5"/>
    <x v="6"/>
    <n v="3"/>
    <n v="22.11"/>
    <n v="0.1"/>
    <n v="10.75"/>
    <n v="2.8"/>
    <n v="73.25"/>
    <x v="0"/>
    <x v="0"/>
    <s v="Austin"/>
    <s v="TX"/>
    <s v="United States"/>
  </r>
  <r>
    <x v="672"/>
    <x v="552"/>
    <s v="CUST001021"/>
    <s v="Aditya Verma"/>
    <s v="HDMI Cable 2m"/>
    <x v="5"/>
    <x v="6"/>
    <n v="2"/>
    <n v="72.88"/>
    <n v="0"/>
    <n v="7.29"/>
    <n v="2.83"/>
    <n v="155.88"/>
    <x v="2"/>
    <x v="0"/>
    <s v="Jacksonville"/>
    <s v="FL"/>
    <s v="Canada"/>
  </r>
  <r>
    <x v="673"/>
    <x v="446"/>
    <s v="CUST046797"/>
    <s v="Aditya Verma"/>
    <s v="Water Bottle"/>
    <x v="2"/>
    <x v="5"/>
    <n v="1"/>
    <n v="555.47"/>
    <n v="0"/>
    <n v="44.44"/>
    <n v="9.32"/>
    <n v="609.23"/>
    <x v="3"/>
    <x v="3"/>
    <s v="Houston"/>
    <s v="TX"/>
    <s v="Australia"/>
  </r>
  <r>
    <x v="674"/>
    <x v="553"/>
    <s v="CUST030534"/>
    <s v="Karan Verma"/>
    <s v="USB-C Charger"/>
    <x v="0"/>
    <x v="8"/>
    <n v="1"/>
    <n v="54.04"/>
    <n v="0"/>
    <n v="9.73"/>
    <n v="14.54"/>
    <n v="78.31"/>
    <x v="0"/>
    <x v="2"/>
    <s v="Houston"/>
    <s v="TX"/>
    <s v="United States"/>
  </r>
  <r>
    <x v="675"/>
    <x v="554"/>
    <s v="CUST049021"/>
    <s v="Vikas Singh"/>
    <s v="Air Fryer"/>
    <x v="1"/>
    <x v="5"/>
    <n v="4"/>
    <n v="176.73"/>
    <n v="0.05"/>
    <n v="33.58"/>
    <n v="3.45"/>
    <n v="708.6"/>
    <x v="3"/>
    <x v="0"/>
    <s v="New York"/>
    <s v="NY"/>
    <s v="United States"/>
  </r>
  <r>
    <x v="676"/>
    <x v="555"/>
    <s v="CUST027888"/>
    <s v="Sahil Sharma"/>
    <s v="Children's Book"/>
    <x v="4"/>
    <x v="4"/>
    <n v="4"/>
    <n v="500.88"/>
    <n v="0.15"/>
    <n v="85.15"/>
    <n v="2.61"/>
    <n v="1790.75"/>
    <x v="0"/>
    <x v="2"/>
    <s v="Jacksonville"/>
    <s v="FL"/>
    <s v="India"/>
  </r>
  <r>
    <x v="677"/>
    <x v="556"/>
    <s v="CUST002243"/>
    <s v="Ritika Reddy"/>
    <s v="4K Monitor"/>
    <x v="0"/>
    <x v="2"/>
    <n v="4"/>
    <n v="179.29"/>
    <n v="0.1"/>
    <n v="32.270000000000003"/>
    <n v="0.96"/>
    <n v="678.67"/>
    <x v="4"/>
    <x v="0"/>
    <s v="Austin"/>
    <s v="TX"/>
    <s v="United States"/>
  </r>
  <r>
    <x v="678"/>
    <x v="557"/>
    <s v="CUST008903"/>
    <s v="Sahil Patel"/>
    <s v="Backpack"/>
    <x v="1"/>
    <x v="7"/>
    <n v="4"/>
    <n v="56.37"/>
    <n v="0.1"/>
    <n v="10.15"/>
    <n v="6.88"/>
    <n v="219.96"/>
    <x v="3"/>
    <x v="3"/>
    <s v="Charlotte"/>
    <s v="NC"/>
    <s v="United States"/>
  </r>
  <r>
    <x v="679"/>
    <x v="558"/>
    <s v="CUST027637"/>
    <s v="Vihaan Mehta"/>
    <s v="Office Chair"/>
    <x v="1"/>
    <x v="6"/>
    <n v="5"/>
    <n v="373.9"/>
    <n v="0.15"/>
    <n v="79.45"/>
    <n v="7.32"/>
    <n v="1675.84"/>
    <x v="5"/>
    <x v="0"/>
    <s v="Indianapolis"/>
    <s v="IN"/>
    <s v="United Kingdom"/>
  </r>
  <r>
    <x v="680"/>
    <x v="559"/>
    <s v="CUST002558"/>
    <s v="Vikas Mehta"/>
    <s v="Memory Card 128GB"/>
    <x v="5"/>
    <x v="3"/>
    <n v="4"/>
    <n v="339.26"/>
    <n v="0.2"/>
    <n v="86.85"/>
    <n v="11.98"/>
    <n v="1184.46"/>
    <x v="0"/>
    <x v="0"/>
    <s v="San Diego"/>
    <s v="CA"/>
    <s v="United States"/>
  </r>
  <r>
    <x v="681"/>
    <x v="321"/>
    <s v="CUST021727"/>
    <s v="Vivaan Gupta"/>
    <s v="Running Shoes"/>
    <x v="4"/>
    <x v="8"/>
    <n v="2"/>
    <n v="415.43"/>
    <n v="0.15"/>
    <n v="84.75"/>
    <n v="7.29"/>
    <n v="798.27"/>
    <x v="4"/>
    <x v="4"/>
    <s v="New York"/>
    <s v="NY"/>
    <s v="India"/>
  </r>
  <r>
    <x v="682"/>
    <x v="560"/>
    <s v="CUST005548"/>
    <s v="Kabir Gupta"/>
    <s v="Microphone"/>
    <x v="4"/>
    <x v="7"/>
    <n v="1"/>
    <n v="299.44"/>
    <n v="0.2"/>
    <n v="0"/>
    <n v="12.55"/>
    <n v="252.1"/>
    <x v="4"/>
    <x v="0"/>
    <s v="Philadelphia"/>
    <s v="PA"/>
    <s v="India"/>
  </r>
  <r>
    <x v="683"/>
    <x v="339"/>
    <s v="CUST046930"/>
    <s v="Vikas Verma"/>
    <s v="Dress Shirt"/>
    <x v="5"/>
    <x v="4"/>
    <n v="1"/>
    <n v="597.04999999999995"/>
    <n v="0.05"/>
    <n v="45.38"/>
    <n v="1.88"/>
    <n v="614.46"/>
    <x v="3"/>
    <x v="0"/>
    <s v="Dallas"/>
    <s v="TX"/>
    <s v="United States"/>
  </r>
  <r>
    <x v="684"/>
    <x v="180"/>
    <s v="CUST030151"/>
    <s v="Ritika Reddy"/>
    <s v="Portable SSD 1TB"/>
    <x v="3"/>
    <x v="4"/>
    <n v="2"/>
    <n v="153.62"/>
    <n v="0"/>
    <n v="24.58"/>
    <n v="10.82"/>
    <n v="342.64"/>
    <x v="3"/>
    <x v="3"/>
    <s v="Chicago"/>
    <s v="IL"/>
    <s v="India"/>
  </r>
  <r>
    <x v="685"/>
    <x v="561"/>
    <s v="CUST029666"/>
    <s v="Rohit Singh"/>
    <s v="Jeans"/>
    <x v="4"/>
    <x v="6"/>
    <n v="1"/>
    <n v="250.92"/>
    <n v="0.05"/>
    <n v="42.91"/>
    <n v="0.25"/>
    <n v="281.52999999999997"/>
    <x v="2"/>
    <x v="0"/>
    <s v="Denver"/>
    <s v="CO"/>
    <s v="United States"/>
  </r>
  <r>
    <x v="686"/>
    <x v="562"/>
    <s v="CUST041687"/>
    <s v="Neha Kumar"/>
    <s v="Electric Kettle"/>
    <x v="5"/>
    <x v="1"/>
    <n v="1"/>
    <n v="189.19"/>
    <n v="0.3"/>
    <n v="6.62"/>
    <n v="14.37"/>
    <n v="153.41999999999999"/>
    <x v="3"/>
    <x v="0"/>
    <s v="Dallas"/>
    <s v="TX"/>
    <s v="United States"/>
  </r>
  <r>
    <x v="687"/>
    <x v="563"/>
    <s v="CUST029704"/>
    <s v="Vihaan Patel"/>
    <s v="4K Monitor"/>
    <x v="1"/>
    <x v="7"/>
    <n v="5"/>
    <n v="493.13"/>
    <n v="0"/>
    <n v="123.28"/>
    <n v="4.4400000000000004"/>
    <n v="2593.37"/>
    <x v="1"/>
    <x v="3"/>
    <s v="San Antonio"/>
    <s v="TX"/>
    <s v="United States"/>
  </r>
  <r>
    <x v="688"/>
    <x v="564"/>
    <s v="CUST014194"/>
    <s v="Sahil Patel"/>
    <s v="LED Desk Lamp"/>
    <x v="2"/>
    <x v="9"/>
    <n v="5"/>
    <n v="209.19"/>
    <n v="0.15"/>
    <n v="0"/>
    <n v="10.6"/>
    <n v="899.66"/>
    <x v="3"/>
    <x v="0"/>
    <s v="Jacksonville"/>
    <s v="FL"/>
    <s v="India"/>
  </r>
  <r>
    <x v="689"/>
    <x v="565"/>
    <s v="CUST012572"/>
    <s v="Vihaan Gupta"/>
    <s v="Noise Cancelling Headphones"/>
    <x v="1"/>
    <x v="2"/>
    <n v="4"/>
    <n v="41.65"/>
    <n v="0.2"/>
    <n v="6.66"/>
    <n v="2.87"/>
    <n v="142.81"/>
    <x v="4"/>
    <x v="0"/>
    <s v="Jacksonville"/>
    <s v="FL"/>
    <s v="United States"/>
  </r>
  <r>
    <x v="690"/>
    <x v="566"/>
    <s v="CUST009709"/>
    <s v="Ritika Kumar"/>
    <s v="Fitness Band"/>
    <x v="2"/>
    <x v="1"/>
    <n v="4"/>
    <n v="26.16"/>
    <n v="0.15"/>
    <n v="4.45"/>
    <n v="2.91"/>
    <n v="96.3"/>
    <x v="4"/>
    <x v="3"/>
    <s v="Fort Worth"/>
    <s v="TX"/>
    <s v="United States"/>
  </r>
  <r>
    <x v="691"/>
    <x v="567"/>
    <s v="CUST012727"/>
    <s v="Karan Reddy"/>
    <s v="Graphic Tablet"/>
    <x v="3"/>
    <x v="7"/>
    <n v="3"/>
    <n v="454.5"/>
    <n v="0.1"/>
    <n v="147.26"/>
    <n v="13.56"/>
    <n v="1387.97"/>
    <x v="0"/>
    <x v="0"/>
    <s v="San Francisco"/>
    <s v="CA"/>
    <s v="United States"/>
  </r>
  <r>
    <x v="692"/>
    <x v="568"/>
    <s v="CUST046847"/>
    <s v="Kabir Kapoor"/>
    <s v="Jeans"/>
    <x v="2"/>
    <x v="7"/>
    <n v="5"/>
    <n v="482.5"/>
    <n v="0"/>
    <n v="0"/>
    <n v="5.78"/>
    <n v="2418.2800000000002"/>
    <x v="3"/>
    <x v="0"/>
    <s v="San Antonio"/>
    <s v="TX"/>
    <s v="United States"/>
  </r>
  <r>
    <x v="693"/>
    <x v="312"/>
    <s v="CUST006467"/>
    <s v="Sahil Sharma"/>
    <s v="Running Shoes"/>
    <x v="3"/>
    <x v="8"/>
    <n v="2"/>
    <n v="227.77"/>
    <n v="0"/>
    <n v="22.78"/>
    <n v="11.15"/>
    <n v="489.47"/>
    <x v="0"/>
    <x v="2"/>
    <s v="Chicago"/>
    <s v="IL"/>
    <s v="United States"/>
  </r>
  <r>
    <x v="694"/>
    <x v="569"/>
    <s v="CUST022221"/>
    <s v="Kabir Gupta"/>
    <s v="Puzzle 1000pc"/>
    <x v="0"/>
    <x v="6"/>
    <n v="2"/>
    <n v="238.74"/>
    <n v="0.3"/>
    <n v="16.71"/>
    <n v="2.2400000000000002"/>
    <n v="353.19"/>
    <x v="5"/>
    <x v="0"/>
    <s v="Jacksonville"/>
    <s v="FL"/>
    <s v="United States"/>
  </r>
  <r>
    <x v="695"/>
    <x v="570"/>
    <s v="CUST022439"/>
    <s v="Aarav Singh"/>
    <s v="Wireless Earbuds"/>
    <x v="2"/>
    <x v="8"/>
    <n v="3"/>
    <n v="107.51"/>
    <n v="0.05"/>
    <n v="0"/>
    <n v="13.53"/>
    <n v="319.93"/>
    <x v="3"/>
    <x v="3"/>
    <s v="Dallas"/>
    <s v="TX"/>
    <s v="United States"/>
  </r>
  <r>
    <x v="696"/>
    <x v="496"/>
    <s v="CUST006859"/>
    <s v="Pooja Gupta"/>
    <s v="Phone Tripod"/>
    <x v="4"/>
    <x v="7"/>
    <n v="5"/>
    <n v="226.07"/>
    <n v="0"/>
    <n v="90.43"/>
    <n v="5.75"/>
    <n v="1226.53"/>
    <x v="1"/>
    <x v="0"/>
    <s v="Chicago"/>
    <s v="IL"/>
    <s v="United States"/>
  </r>
  <r>
    <x v="697"/>
    <x v="181"/>
    <s v="CUST039325"/>
    <s v="Anjali Patel"/>
    <s v="Sunglasses"/>
    <x v="4"/>
    <x v="8"/>
    <n v="5"/>
    <n v="168.27"/>
    <n v="0.1"/>
    <n v="0"/>
    <n v="8.52"/>
    <n v="765.74"/>
    <x v="3"/>
    <x v="3"/>
    <s v="Austin"/>
    <s v="TX"/>
    <s v="United States"/>
  </r>
  <r>
    <x v="698"/>
    <x v="18"/>
    <s v="CUST023697"/>
    <s v="Aarav Singh"/>
    <s v="Office Chair"/>
    <x v="0"/>
    <x v="8"/>
    <n v="2"/>
    <n v="491.81"/>
    <n v="0"/>
    <n v="118.03"/>
    <n v="12.07"/>
    <n v="1113.72"/>
    <x v="3"/>
    <x v="0"/>
    <s v="Jacksonville"/>
    <s v="FL"/>
    <s v="Canada"/>
  </r>
  <r>
    <x v="699"/>
    <x v="571"/>
    <s v="CUST048774"/>
    <s v="Arjun Kapoor"/>
    <s v="Power Bank 20000mAh"/>
    <x v="4"/>
    <x v="0"/>
    <n v="5"/>
    <n v="231.15"/>
    <n v="0"/>
    <n v="92.46"/>
    <n v="4.8499999999999996"/>
    <n v="1253.06"/>
    <x v="0"/>
    <x v="0"/>
    <s v="Los Angeles"/>
    <s v="CA"/>
    <s v="United States"/>
  </r>
  <r>
    <x v="700"/>
    <x v="433"/>
    <s v="CUST019726"/>
    <s v="Sunita Verma"/>
    <s v="Air Fryer"/>
    <x v="3"/>
    <x v="0"/>
    <n v="4"/>
    <n v="506.79"/>
    <n v="0.05"/>
    <n v="231.1"/>
    <n v="5.61"/>
    <n v="2162.5100000000002"/>
    <x v="0"/>
    <x v="3"/>
    <s v="Columbus"/>
    <s v="OH"/>
    <s v="United States"/>
  </r>
  <r>
    <x v="701"/>
    <x v="250"/>
    <s v="CUST028627"/>
    <s v="Arjun Sharma"/>
    <s v="HDMI Cable 2m"/>
    <x v="3"/>
    <x v="4"/>
    <n v="5"/>
    <n v="104.66"/>
    <n v="0"/>
    <n v="62.8"/>
    <n v="4.0999999999999996"/>
    <n v="590.20000000000005"/>
    <x v="5"/>
    <x v="3"/>
    <s v="Chicago"/>
    <s v="IL"/>
    <s v="United States"/>
  </r>
  <r>
    <x v="702"/>
    <x v="572"/>
    <s v="CUST037541"/>
    <s v="Aditya Reddy"/>
    <s v="Car Charger"/>
    <x v="4"/>
    <x v="3"/>
    <n v="5"/>
    <n v="264.33999999999997"/>
    <n v="0"/>
    <n v="0"/>
    <n v="10.32"/>
    <n v="1332.02"/>
    <x v="5"/>
    <x v="0"/>
    <s v="San Francisco"/>
    <s v="CA"/>
    <s v="United Kingdom"/>
  </r>
  <r>
    <x v="703"/>
    <x v="573"/>
    <s v="CUST018027"/>
    <s v="Rohit Mehta"/>
    <s v="Air Fryer"/>
    <x v="2"/>
    <x v="4"/>
    <n v="2"/>
    <n v="71.290000000000006"/>
    <n v="0.05"/>
    <n v="10.84"/>
    <n v="13.13"/>
    <n v="159.41999999999999"/>
    <x v="1"/>
    <x v="0"/>
    <s v="Fort Worth"/>
    <s v="TX"/>
    <s v="United States"/>
  </r>
  <r>
    <x v="704"/>
    <x v="574"/>
    <s v="CUST030540"/>
    <s v="Karan Joshi"/>
    <s v="Desk Plant"/>
    <x v="3"/>
    <x v="7"/>
    <n v="5"/>
    <n v="597.16"/>
    <n v="0.2"/>
    <n v="0"/>
    <n v="13.59"/>
    <n v="2402.23"/>
    <x v="3"/>
    <x v="0"/>
    <s v="Los Angeles"/>
    <s v="CA"/>
    <s v="United States"/>
  </r>
  <r>
    <x v="705"/>
    <x v="575"/>
    <s v="CUST034643"/>
    <s v="Anjali Singh"/>
    <s v="Memory Card 128GB"/>
    <x v="2"/>
    <x v="6"/>
    <n v="1"/>
    <n v="362.88"/>
    <n v="0.05"/>
    <n v="41.37"/>
    <n v="7.83"/>
    <n v="393.94"/>
    <x v="3"/>
    <x v="0"/>
    <s v="Dallas"/>
    <s v="TX"/>
    <s v="United States"/>
  </r>
  <r>
    <x v="706"/>
    <x v="576"/>
    <s v="CUST017237"/>
    <s v="Vikas Gupta"/>
    <s v="Dress Shirt"/>
    <x v="0"/>
    <x v="8"/>
    <n v="5"/>
    <n v="220.11"/>
    <n v="0.05"/>
    <n v="83.64"/>
    <n v="6.93"/>
    <n v="1136.0899999999999"/>
    <x v="1"/>
    <x v="0"/>
    <s v="Austin"/>
    <s v="TX"/>
    <s v="United States"/>
  </r>
  <r>
    <x v="707"/>
    <x v="577"/>
    <s v="CUST003101"/>
    <s v="Anjali Kapoor"/>
    <s v="Jeans"/>
    <x v="2"/>
    <x v="5"/>
    <n v="2"/>
    <n v="298.51"/>
    <n v="0.3"/>
    <n v="20.9"/>
    <n v="6.99"/>
    <n v="445.8"/>
    <x v="3"/>
    <x v="0"/>
    <s v="Dallas"/>
    <s v="TX"/>
    <s v="United States"/>
  </r>
  <r>
    <x v="708"/>
    <x v="113"/>
    <s v="CUST021724"/>
    <s v="Kabir Verma"/>
    <s v="Laptop Sleeve"/>
    <x v="3"/>
    <x v="8"/>
    <n v="1"/>
    <n v="19.55"/>
    <n v="0.05"/>
    <n v="2.23"/>
    <n v="3.7"/>
    <n v="24.5"/>
    <x v="5"/>
    <x v="0"/>
    <s v="San Francisco"/>
    <s v="CA"/>
    <s v="India"/>
  </r>
  <r>
    <x v="709"/>
    <x v="452"/>
    <s v="CUST042705"/>
    <s v="Vivaan Singh"/>
    <s v="Wireless Earbuds"/>
    <x v="1"/>
    <x v="7"/>
    <n v="4"/>
    <n v="62.63"/>
    <n v="0.05"/>
    <n v="19.04"/>
    <n v="11.02"/>
    <n v="268.05"/>
    <x v="4"/>
    <x v="0"/>
    <s v="Seattle"/>
    <s v="WA"/>
    <s v="United Kingdom"/>
  </r>
  <r>
    <x v="710"/>
    <x v="578"/>
    <s v="CUST007217"/>
    <s v="Mohit Kapoor"/>
    <s v="Router"/>
    <x v="2"/>
    <x v="9"/>
    <n v="1"/>
    <n v="470.49"/>
    <n v="0.15"/>
    <n v="20"/>
    <n v="4.9000000000000004"/>
    <n v="424.82"/>
    <x v="5"/>
    <x v="0"/>
    <s v="Seattle"/>
    <s v="WA"/>
    <s v="United States"/>
  </r>
  <r>
    <x v="711"/>
    <x v="203"/>
    <s v="CUST018425"/>
    <s v="Vivaan Verma"/>
    <s v="Phone Tripod"/>
    <x v="2"/>
    <x v="1"/>
    <n v="5"/>
    <n v="245.4"/>
    <n v="0.05"/>
    <n v="58.28"/>
    <n v="11.42"/>
    <n v="1235.3499999999999"/>
    <x v="1"/>
    <x v="2"/>
    <s v="San Jose"/>
    <s v="CA"/>
    <s v="United States"/>
  </r>
  <r>
    <x v="712"/>
    <x v="579"/>
    <s v="CUST005122"/>
    <s v="Pooja Joshi"/>
    <s v="Air Fryer"/>
    <x v="5"/>
    <x v="7"/>
    <n v="5"/>
    <n v="148.75"/>
    <n v="0"/>
    <n v="59.5"/>
    <n v="1.38"/>
    <n v="804.63"/>
    <x v="3"/>
    <x v="0"/>
    <s v="Fort Worth"/>
    <s v="TX"/>
    <s v="Australia"/>
  </r>
  <r>
    <x v="713"/>
    <x v="580"/>
    <s v="CUST041670"/>
    <s v="Karan Joshi"/>
    <s v="Water Bottle"/>
    <x v="0"/>
    <x v="2"/>
    <n v="3"/>
    <n v="35.159999999999997"/>
    <n v="0.05"/>
    <n v="5.01"/>
    <n v="5.41"/>
    <n v="110.63"/>
    <x v="1"/>
    <x v="0"/>
    <s v="Chicago"/>
    <s v="IL"/>
    <s v="United States"/>
  </r>
  <r>
    <x v="714"/>
    <x v="581"/>
    <s v="CUST043609"/>
    <s v="Kabir Joshi"/>
    <s v="Memory Card 128GB"/>
    <x v="2"/>
    <x v="4"/>
    <n v="4"/>
    <n v="467.71"/>
    <n v="0.15"/>
    <n v="190.83"/>
    <n v="10.5"/>
    <n v="1791.54"/>
    <x v="0"/>
    <x v="0"/>
    <s v="Houston"/>
    <s v="TX"/>
    <s v="United States"/>
  </r>
  <r>
    <x v="715"/>
    <x v="560"/>
    <s v="CUST000070"/>
    <s v="Karan Gupta"/>
    <s v="Projector Mini"/>
    <x v="0"/>
    <x v="6"/>
    <n v="2"/>
    <n v="221.87"/>
    <n v="0"/>
    <n v="22.19"/>
    <n v="1.1100000000000001"/>
    <n v="467.04"/>
    <x v="3"/>
    <x v="0"/>
    <s v="Indianapolis"/>
    <s v="IN"/>
    <s v="United States"/>
  </r>
  <r>
    <x v="716"/>
    <x v="437"/>
    <s v="CUST004801"/>
    <s v="Rohit Reddy"/>
    <s v="Desk Organizer"/>
    <x v="4"/>
    <x v="6"/>
    <n v="2"/>
    <n v="487.44"/>
    <n v="0"/>
    <n v="77.989999999999995"/>
    <n v="5.31"/>
    <n v="1058.18"/>
    <x v="5"/>
    <x v="4"/>
    <s v="Los Angeles"/>
    <s v="CA"/>
    <s v="United States"/>
  </r>
  <r>
    <x v="717"/>
    <x v="538"/>
    <s v="CUST024405"/>
    <s v="Vihaan Patel"/>
    <s v="Phone Tripod"/>
    <x v="2"/>
    <x v="2"/>
    <n v="2"/>
    <n v="56.82"/>
    <n v="0"/>
    <n v="13.64"/>
    <n v="10.54"/>
    <n v="137.82"/>
    <x v="1"/>
    <x v="0"/>
    <s v="Charlotte"/>
    <s v="NC"/>
    <s v="India"/>
  </r>
  <r>
    <x v="718"/>
    <x v="243"/>
    <s v="CUST017301"/>
    <s v="Karan Verma"/>
    <s v="Puzzle 1000pc"/>
    <x v="3"/>
    <x v="1"/>
    <n v="3"/>
    <n v="195.03"/>
    <n v="0.1"/>
    <n v="94.78"/>
    <n v="13.87"/>
    <n v="635.23"/>
    <x v="3"/>
    <x v="0"/>
    <s v="Denver"/>
    <s v="CO"/>
    <s v="United States"/>
  </r>
  <r>
    <x v="719"/>
    <x v="582"/>
    <s v="CUST031212"/>
    <s v="Priya Kapoor"/>
    <s v="Cookware Set"/>
    <x v="5"/>
    <x v="6"/>
    <n v="2"/>
    <n v="391.78"/>
    <n v="0.1"/>
    <n v="84.62"/>
    <n v="14.35"/>
    <n v="804.17"/>
    <x v="3"/>
    <x v="2"/>
    <s v="Dallas"/>
    <s v="TX"/>
    <s v="India"/>
  </r>
  <r>
    <x v="720"/>
    <x v="583"/>
    <s v="CUST043505"/>
    <s v="Neha Reddy"/>
    <s v="Graphic Tablet"/>
    <x v="0"/>
    <x v="9"/>
    <n v="1"/>
    <n v="167.4"/>
    <n v="0"/>
    <n v="30.13"/>
    <n v="7.61"/>
    <n v="205.14"/>
    <x v="3"/>
    <x v="0"/>
    <s v="Washington"/>
    <s v="DC"/>
    <s v="Australia"/>
  </r>
  <r>
    <x v="721"/>
    <x v="506"/>
    <s v="CUST001051"/>
    <s v="Priya Sharma"/>
    <s v="Water Bottle"/>
    <x v="0"/>
    <x v="0"/>
    <n v="4"/>
    <n v="260.35000000000002"/>
    <n v="0.2"/>
    <n v="99.97"/>
    <n v="2"/>
    <n v="935.09"/>
    <x v="3"/>
    <x v="3"/>
    <s v="Philadelphia"/>
    <s v="PA"/>
    <s v="United States"/>
  </r>
  <r>
    <x v="722"/>
    <x v="584"/>
    <s v="CUST017599"/>
    <s v="Sneha Mehta"/>
    <s v="Router"/>
    <x v="1"/>
    <x v="0"/>
    <n v="5"/>
    <n v="419.07"/>
    <n v="0.25"/>
    <n v="78.58"/>
    <n v="9.7200000000000006"/>
    <n v="1659.81"/>
    <x v="0"/>
    <x v="0"/>
    <s v="San Diego"/>
    <s v="CA"/>
    <s v="United States"/>
  </r>
  <r>
    <x v="723"/>
    <x v="585"/>
    <s v="CUST001815"/>
    <s v="Kabir Sharma"/>
    <s v="Mechanical Keyboard"/>
    <x v="5"/>
    <x v="0"/>
    <n v="2"/>
    <n v="299.49"/>
    <n v="0"/>
    <n v="29.95"/>
    <n v="0.04"/>
    <n v="628.97"/>
    <x v="3"/>
    <x v="0"/>
    <s v="San Francisco"/>
    <s v="CA"/>
    <s v="India"/>
  </r>
  <r>
    <x v="724"/>
    <x v="231"/>
    <s v="CUST036068"/>
    <s v="Aarav Kumar"/>
    <s v="Board Game"/>
    <x v="1"/>
    <x v="3"/>
    <n v="4"/>
    <n v="446.33"/>
    <n v="0"/>
    <n v="142.83000000000001"/>
    <n v="13.92"/>
    <n v="1942.07"/>
    <x v="4"/>
    <x v="4"/>
    <s v="Denver"/>
    <s v="CO"/>
    <s v="United States"/>
  </r>
  <r>
    <x v="725"/>
    <x v="586"/>
    <s v="CUST021348"/>
    <s v="Priya Kumar"/>
    <s v="Jeans"/>
    <x v="3"/>
    <x v="0"/>
    <n v="5"/>
    <n v="38.119999999999997"/>
    <n v="0.05"/>
    <n v="14.49"/>
    <n v="13.53"/>
    <n v="209.09"/>
    <x v="3"/>
    <x v="3"/>
    <s v="Philadelphia"/>
    <s v="PA"/>
    <s v="India"/>
  </r>
  <r>
    <x v="726"/>
    <x v="587"/>
    <s v="CUST001082"/>
    <s v="Arjun Gupta"/>
    <s v="Noise Cancelling Headphones"/>
    <x v="2"/>
    <x v="4"/>
    <n v="5"/>
    <n v="552.04"/>
    <n v="0.05"/>
    <n v="314.66000000000003"/>
    <n v="0.69"/>
    <n v="2937.54"/>
    <x v="0"/>
    <x v="1"/>
    <s v="Phoenix"/>
    <s v="AZ"/>
    <s v="United States"/>
  </r>
  <r>
    <x v="727"/>
    <x v="588"/>
    <s v="CUST041773"/>
    <s v="Priya Patel"/>
    <s v="Cookware Set"/>
    <x v="5"/>
    <x v="1"/>
    <n v="1"/>
    <n v="598.22"/>
    <n v="0.2"/>
    <n v="23.93"/>
    <n v="9.98"/>
    <n v="512.49"/>
    <x v="3"/>
    <x v="2"/>
    <s v="Denver"/>
    <s v="CO"/>
    <s v="United States"/>
  </r>
  <r>
    <x v="728"/>
    <x v="195"/>
    <s v="CUST037585"/>
    <s v="Vihaan Sharma"/>
    <s v="Wireless Charger"/>
    <x v="3"/>
    <x v="5"/>
    <n v="1"/>
    <n v="564.47"/>
    <n v="0"/>
    <n v="67.739999999999995"/>
    <n v="12.64"/>
    <n v="644.85"/>
    <x v="0"/>
    <x v="3"/>
    <s v="Indianapolis"/>
    <s v="IN"/>
    <s v="India"/>
  </r>
  <r>
    <x v="729"/>
    <x v="589"/>
    <s v="CUST039566"/>
    <s v="Neha Mehta"/>
    <s v="Air Fryer"/>
    <x v="5"/>
    <x v="1"/>
    <n v="5"/>
    <n v="144.61000000000001"/>
    <n v="0"/>
    <n v="130.15"/>
    <n v="5.13"/>
    <n v="858.33"/>
    <x v="1"/>
    <x v="4"/>
    <s v="Jacksonville"/>
    <s v="FL"/>
    <s v="United Kingdom"/>
  </r>
  <r>
    <x v="730"/>
    <x v="590"/>
    <s v="CUST032406"/>
    <s v="Mohit Singh"/>
    <s v="Power Bank 20000mAh"/>
    <x v="2"/>
    <x v="9"/>
    <n v="2"/>
    <n v="567.80999999999995"/>
    <n v="0"/>
    <n v="0"/>
    <n v="2.09"/>
    <n v="1137.71"/>
    <x v="3"/>
    <x v="0"/>
    <s v="Washington"/>
    <s v="DC"/>
    <s v="United States"/>
  </r>
  <r>
    <x v="731"/>
    <x v="591"/>
    <s v="CUST006673"/>
    <s v="Sunita Reddy"/>
    <s v="Wireless Charger"/>
    <x v="0"/>
    <x v="0"/>
    <n v="3"/>
    <n v="129.66999999999999"/>
    <n v="0"/>
    <n v="31.12"/>
    <n v="6.2"/>
    <n v="426.33"/>
    <x v="3"/>
    <x v="3"/>
    <s v="Washington"/>
    <s v="DC"/>
    <s v="United States"/>
  </r>
  <r>
    <x v="732"/>
    <x v="592"/>
    <s v="CUST009117"/>
    <s v="Sneha Reddy"/>
    <s v="Puzzle 1000pc"/>
    <x v="5"/>
    <x v="4"/>
    <n v="3"/>
    <n v="304.31"/>
    <n v="0"/>
    <n v="109.55"/>
    <n v="7.02"/>
    <n v="1029.5"/>
    <x v="0"/>
    <x v="0"/>
    <s v="Chicago"/>
    <s v="IL"/>
    <s v="United States"/>
  </r>
  <r>
    <x v="733"/>
    <x v="593"/>
    <s v="CUST020976"/>
    <s v="Sahil Patel"/>
    <s v="Drone Mini"/>
    <x v="1"/>
    <x v="8"/>
    <n v="2"/>
    <n v="481.79"/>
    <n v="0.1"/>
    <n v="156.1"/>
    <n v="2.37"/>
    <n v="1025.69"/>
    <x v="4"/>
    <x v="0"/>
    <s v="Denver"/>
    <s v="CO"/>
    <s v="United States"/>
  </r>
  <r>
    <x v="734"/>
    <x v="206"/>
    <s v="CUST039664"/>
    <s v="Aditya Mehta"/>
    <s v="Gaming Mouse"/>
    <x v="0"/>
    <x v="2"/>
    <n v="5"/>
    <n v="404.96"/>
    <n v="0"/>
    <n v="0"/>
    <n v="9.1300000000000008"/>
    <n v="2033.93"/>
    <x v="3"/>
    <x v="0"/>
    <s v="Charlotte"/>
    <s v="NC"/>
    <s v="Canada"/>
  </r>
  <r>
    <x v="735"/>
    <x v="73"/>
    <s v="CUST016159"/>
    <s v="Vivaan Mehta"/>
    <s v="External HDD 2TB"/>
    <x v="4"/>
    <x v="7"/>
    <n v="2"/>
    <n v="296.23"/>
    <n v="0.05"/>
    <n v="67.540000000000006"/>
    <n v="11.3"/>
    <n v="641.67999999999995"/>
    <x v="1"/>
    <x v="0"/>
    <s v="New York"/>
    <s v="NY"/>
    <s v="India"/>
  </r>
  <r>
    <x v="736"/>
    <x v="273"/>
    <s v="CUST018490"/>
    <s v="Aarav Joshi"/>
    <s v="Air Fryer"/>
    <x v="0"/>
    <x v="9"/>
    <n v="3"/>
    <n v="171.95"/>
    <n v="0"/>
    <n v="41.27"/>
    <n v="8.5"/>
    <n v="565.62"/>
    <x v="3"/>
    <x v="3"/>
    <s v="Houston"/>
    <s v="TX"/>
    <s v="United States"/>
  </r>
  <r>
    <x v="737"/>
    <x v="594"/>
    <s v="CUST000529"/>
    <s v="Aditya Patel"/>
    <s v="Memory Card 128GB"/>
    <x v="0"/>
    <x v="5"/>
    <n v="5"/>
    <n v="587.98"/>
    <n v="0.25"/>
    <n v="396.89"/>
    <n v="14.43"/>
    <n v="2616.2399999999998"/>
    <x v="1"/>
    <x v="0"/>
    <s v="Chicago"/>
    <s v="IL"/>
    <s v="Australia"/>
  </r>
  <r>
    <x v="738"/>
    <x v="494"/>
    <s v="CUST041592"/>
    <s v="Ritika Mehta"/>
    <s v="Microphone"/>
    <x v="3"/>
    <x v="1"/>
    <n v="1"/>
    <n v="420.81"/>
    <n v="0.05"/>
    <n v="0"/>
    <n v="8.26"/>
    <n v="408.03"/>
    <x v="3"/>
    <x v="0"/>
    <s v="New York"/>
    <s v="NY"/>
    <s v="United States"/>
  </r>
  <r>
    <x v="739"/>
    <x v="312"/>
    <s v="CUST025111"/>
    <s v="Ritika Mehta"/>
    <s v="Action Camera"/>
    <x v="4"/>
    <x v="4"/>
    <n v="1"/>
    <n v="123.43"/>
    <n v="0"/>
    <n v="22.22"/>
    <n v="13.52"/>
    <n v="159.16999999999999"/>
    <x v="4"/>
    <x v="0"/>
    <s v="Houston"/>
    <s v="TX"/>
    <s v="United States"/>
  </r>
  <r>
    <x v="740"/>
    <x v="584"/>
    <s v="CUST020962"/>
    <s v="Karan Gupta"/>
    <s v="Sunglasses"/>
    <x v="1"/>
    <x v="7"/>
    <n v="3"/>
    <n v="249.04"/>
    <n v="0.05"/>
    <n v="127.76"/>
    <n v="2.56"/>
    <n v="840.08"/>
    <x v="3"/>
    <x v="0"/>
    <s v="Columbus"/>
    <s v="OH"/>
    <s v="United States"/>
  </r>
  <r>
    <x v="741"/>
    <x v="595"/>
    <s v="CUST019154"/>
    <s v="Vihaan Mehta"/>
    <s v="Smart Light Bulb"/>
    <x v="1"/>
    <x v="8"/>
    <n v="1"/>
    <n v="248.15"/>
    <n v="0"/>
    <n v="19.850000000000001"/>
    <n v="4.74"/>
    <n v="272.74"/>
    <x v="4"/>
    <x v="2"/>
    <s v="San Antonio"/>
    <s v="TX"/>
    <s v="United States"/>
  </r>
  <r>
    <x v="742"/>
    <x v="596"/>
    <s v="CUST008405"/>
    <s v="Aarav Patel"/>
    <s v="Water Bottle"/>
    <x v="5"/>
    <x v="1"/>
    <n v="2"/>
    <n v="541.34"/>
    <n v="0"/>
    <n v="129.91999999999999"/>
    <n v="8.0299999999999994"/>
    <n v="1220.6300000000001"/>
    <x v="3"/>
    <x v="0"/>
    <s v="Houston"/>
    <s v="TX"/>
    <s v="India"/>
  </r>
  <r>
    <x v="743"/>
    <x v="597"/>
    <s v="CUST002196"/>
    <s v="Mohit Kapoor"/>
    <s v="Desk Organizer"/>
    <x v="2"/>
    <x v="6"/>
    <n v="4"/>
    <n v="52.22"/>
    <n v="0.05"/>
    <n v="15.87"/>
    <n v="3.55"/>
    <n v="217.86"/>
    <x v="0"/>
    <x v="0"/>
    <s v="Jacksonville"/>
    <s v="FL"/>
    <s v="United States"/>
  </r>
  <r>
    <x v="744"/>
    <x v="598"/>
    <s v="CUST022788"/>
    <s v="Simran Patel"/>
    <s v="Winter Jacket"/>
    <x v="0"/>
    <x v="8"/>
    <n v="4"/>
    <n v="198.26"/>
    <n v="0.15"/>
    <n v="33.700000000000003"/>
    <n v="9.39"/>
    <n v="717.17"/>
    <x v="3"/>
    <x v="0"/>
    <s v="San Francisco"/>
    <s v="CA"/>
    <s v="Canada"/>
  </r>
  <r>
    <x v="745"/>
    <x v="599"/>
    <s v="CUST020811"/>
    <s v="Aditya Mehta"/>
    <s v="Office Chair"/>
    <x v="3"/>
    <x v="7"/>
    <n v="1"/>
    <n v="111.71"/>
    <n v="0.1"/>
    <n v="8.0399999999999991"/>
    <n v="3.49"/>
    <n v="112.07"/>
    <x v="0"/>
    <x v="1"/>
    <s v="Dallas"/>
    <s v="TX"/>
    <s v="United States"/>
  </r>
  <r>
    <x v="746"/>
    <x v="600"/>
    <s v="CUST036913"/>
    <s v="Vihaan Kumar"/>
    <s v="USB-C Charger"/>
    <x v="5"/>
    <x v="4"/>
    <n v="2"/>
    <n v="569.66999999999996"/>
    <n v="0"/>
    <n v="91.15"/>
    <n v="3.4"/>
    <n v="1233.8900000000001"/>
    <x v="3"/>
    <x v="3"/>
    <s v="Phoenix"/>
    <s v="AZ"/>
    <s v="United Kingdom"/>
  </r>
  <r>
    <x v="747"/>
    <x v="601"/>
    <s v="CUST023917"/>
    <s v="Karan Kapoor"/>
    <s v="Instant Pot"/>
    <x v="4"/>
    <x v="3"/>
    <n v="1"/>
    <n v="346.29"/>
    <n v="0.3"/>
    <n v="12.12"/>
    <n v="9.0399999999999991"/>
    <n v="263.56"/>
    <x v="0"/>
    <x v="0"/>
    <s v="Washington"/>
    <s v="DC"/>
    <s v="United States"/>
  </r>
  <r>
    <x v="748"/>
    <x v="602"/>
    <s v="CUST049946"/>
    <s v="Sunita Reddy"/>
    <s v="Electric Kettle"/>
    <x v="4"/>
    <x v="1"/>
    <n v="1"/>
    <n v="408.88"/>
    <n v="0.05"/>
    <n v="69.92"/>
    <n v="3.2"/>
    <n v="461.56"/>
    <x v="0"/>
    <x v="0"/>
    <s v="Dallas"/>
    <s v="TX"/>
    <s v="United States"/>
  </r>
  <r>
    <x v="749"/>
    <x v="603"/>
    <s v="CUST037369"/>
    <s v="Aditya Mehta"/>
    <s v="Board Game"/>
    <x v="1"/>
    <x v="0"/>
    <n v="5"/>
    <n v="111.1"/>
    <n v="0"/>
    <n v="44.44"/>
    <n v="6.94"/>
    <n v="606.88"/>
    <x v="4"/>
    <x v="0"/>
    <s v="Washington"/>
    <s v="DC"/>
    <s v="India"/>
  </r>
  <r>
    <x v="750"/>
    <x v="407"/>
    <s v="CUST027164"/>
    <s v="Priya Patel"/>
    <s v="Wireless Charger"/>
    <x v="3"/>
    <x v="4"/>
    <n v="2"/>
    <n v="284.32"/>
    <n v="0"/>
    <n v="28.43"/>
    <n v="4.72"/>
    <n v="601.79"/>
    <x v="0"/>
    <x v="0"/>
    <s v="Chicago"/>
    <s v="IL"/>
    <s v="United States"/>
  </r>
  <r>
    <x v="751"/>
    <x v="604"/>
    <s v="CUST035635"/>
    <s v="Sneha Patel"/>
    <s v="Action Camera"/>
    <x v="2"/>
    <x v="3"/>
    <n v="3"/>
    <n v="369.85"/>
    <n v="0"/>
    <n v="199.72"/>
    <n v="11.04"/>
    <n v="1320.31"/>
    <x v="1"/>
    <x v="2"/>
    <s v="Fort Worth"/>
    <s v="TX"/>
    <s v="United States"/>
  </r>
  <r>
    <x v="752"/>
    <x v="605"/>
    <s v="CUST033448"/>
    <s v="Mohit Verma"/>
    <s v="Noise Cancelling Headphones"/>
    <x v="1"/>
    <x v="8"/>
    <n v="2"/>
    <n v="116.36"/>
    <n v="0.25"/>
    <n v="8.73"/>
    <n v="1.61"/>
    <n v="184.88"/>
    <x v="1"/>
    <x v="4"/>
    <s v="Columbus"/>
    <s v="OH"/>
    <s v="India"/>
  </r>
  <r>
    <x v="753"/>
    <x v="606"/>
    <s v="CUST022565"/>
    <s v="Aman Verma"/>
    <s v="Wireless Charger"/>
    <x v="2"/>
    <x v="5"/>
    <n v="2"/>
    <n v="535.91"/>
    <n v="0"/>
    <n v="53.59"/>
    <n v="6.09"/>
    <n v="1131.5"/>
    <x v="0"/>
    <x v="0"/>
    <s v="Columbus"/>
    <s v="OH"/>
    <s v="United States"/>
  </r>
  <r>
    <x v="754"/>
    <x v="607"/>
    <s v="CUST010986"/>
    <s v="Aman Reddy"/>
    <s v="Microphone"/>
    <x v="4"/>
    <x v="8"/>
    <n v="1"/>
    <n v="6.85"/>
    <n v="0.15"/>
    <n v="0.7"/>
    <n v="5.57"/>
    <n v="12.09"/>
    <x v="5"/>
    <x v="0"/>
    <s v="Washington"/>
    <s v="DC"/>
    <s v="United States"/>
  </r>
  <r>
    <x v="755"/>
    <x v="608"/>
    <s v="CUST015343"/>
    <s v="Rohit Patel"/>
    <s v="Board Game"/>
    <x v="1"/>
    <x v="0"/>
    <n v="5"/>
    <n v="106.25"/>
    <n v="0.25"/>
    <n v="19.920000000000002"/>
    <n v="4.62"/>
    <n v="422.98"/>
    <x v="1"/>
    <x v="0"/>
    <s v="San Jose"/>
    <s v="CA"/>
    <s v="Australia"/>
  </r>
  <r>
    <x v="756"/>
    <x v="165"/>
    <s v="CUST017587"/>
    <s v="Vikas Singh"/>
    <s v="Fitness Band"/>
    <x v="1"/>
    <x v="4"/>
    <n v="5"/>
    <n v="569.91"/>
    <n v="0.05"/>
    <n v="487.27"/>
    <n v="9.11"/>
    <n v="3203.45"/>
    <x v="5"/>
    <x v="3"/>
    <s v="Washington"/>
    <s v="DC"/>
    <s v="United States"/>
  </r>
  <r>
    <x v="757"/>
    <x v="515"/>
    <s v="CUST008249"/>
    <s v="Sneha Verma"/>
    <s v="Water Bottle"/>
    <x v="5"/>
    <x v="0"/>
    <n v="1"/>
    <n v="341.91"/>
    <n v="0.1"/>
    <n v="15.39"/>
    <n v="12.55"/>
    <n v="335.66"/>
    <x v="3"/>
    <x v="0"/>
    <s v="Chicago"/>
    <s v="IL"/>
    <s v="United States"/>
  </r>
  <r>
    <x v="758"/>
    <x v="471"/>
    <s v="CUST024297"/>
    <s v="Arjun Gupta"/>
    <s v="Router"/>
    <x v="4"/>
    <x v="6"/>
    <n v="5"/>
    <n v="240.42"/>
    <n v="0.2"/>
    <n v="0"/>
    <n v="12.58"/>
    <n v="974.26"/>
    <x v="0"/>
    <x v="0"/>
    <s v="Austin"/>
    <s v="TX"/>
    <s v="United States"/>
  </r>
  <r>
    <x v="759"/>
    <x v="609"/>
    <s v="CUST043504"/>
    <s v="Rohit Singh"/>
    <s v="Phone Tripod"/>
    <x v="1"/>
    <x v="4"/>
    <n v="2"/>
    <n v="340.07"/>
    <n v="0"/>
    <n v="54.41"/>
    <n v="5.31"/>
    <n v="739.86"/>
    <x v="0"/>
    <x v="3"/>
    <s v="New York"/>
    <s v="NY"/>
    <s v="United States"/>
  </r>
  <r>
    <x v="760"/>
    <x v="332"/>
    <s v="CUST033352"/>
    <s v="Kabir Singh"/>
    <s v="Phone Tripod"/>
    <x v="1"/>
    <x v="9"/>
    <n v="3"/>
    <n v="400.82"/>
    <n v="0.2"/>
    <n v="48.1"/>
    <n v="13.82"/>
    <n v="1023.89"/>
    <x v="0"/>
    <x v="3"/>
    <s v="Austin"/>
    <s v="TX"/>
    <s v="United States"/>
  </r>
  <r>
    <x v="761"/>
    <x v="11"/>
    <s v="CUST036031"/>
    <s v="Aditya Singh"/>
    <s v="Cookware Set"/>
    <x v="1"/>
    <x v="2"/>
    <n v="3"/>
    <n v="299.57"/>
    <n v="0"/>
    <n v="107.85"/>
    <n v="9.8699999999999992"/>
    <n v="1016.43"/>
    <x v="5"/>
    <x v="0"/>
    <s v="Columbus"/>
    <s v="OH"/>
    <s v="United States"/>
  </r>
  <r>
    <x v="762"/>
    <x v="610"/>
    <s v="CUST042892"/>
    <s v="Neha Joshi"/>
    <s v="Vacuum Cleaner"/>
    <x v="4"/>
    <x v="6"/>
    <n v="3"/>
    <n v="293.74"/>
    <n v="0.1"/>
    <n v="39.65"/>
    <n v="6.29"/>
    <n v="839.04"/>
    <x v="0"/>
    <x v="3"/>
    <s v="Indianapolis"/>
    <s v="IN"/>
    <s v="United States"/>
  </r>
  <r>
    <x v="763"/>
    <x v="611"/>
    <s v="CUST005231"/>
    <s v="Ritika Kapoor"/>
    <s v="Winter Jacket"/>
    <x v="4"/>
    <x v="8"/>
    <n v="5"/>
    <n v="238.68"/>
    <n v="0.2"/>
    <n v="114.57"/>
    <n v="1.51"/>
    <n v="1070.8"/>
    <x v="2"/>
    <x v="0"/>
    <s v="Columbus"/>
    <s v="OH"/>
    <s v="India"/>
  </r>
  <r>
    <x v="764"/>
    <x v="612"/>
    <s v="CUST048475"/>
    <s v="Simran Kapoor"/>
    <s v="Power Bank 20000mAh"/>
    <x v="5"/>
    <x v="5"/>
    <n v="4"/>
    <n v="72.73"/>
    <n v="0.05"/>
    <n v="13.82"/>
    <n v="0.72"/>
    <n v="290.91000000000003"/>
    <x v="1"/>
    <x v="0"/>
    <s v="San Antonio"/>
    <s v="TX"/>
    <s v="United States"/>
  </r>
  <r>
    <x v="765"/>
    <x v="613"/>
    <s v="CUST002611"/>
    <s v="Kabir Patel"/>
    <s v="Bluetooth Speaker"/>
    <x v="2"/>
    <x v="3"/>
    <n v="1"/>
    <n v="97.37"/>
    <n v="0.1"/>
    <n v="7.01"/>
    <n v="7.33"/>
    <n v="101.97"/>
    <x v="3"/>
    <x v="0"/>
    <s v="Indianapolis"/>
    <s v="IN"/>
    <s v="Canada"/>
  </r>
  <r>
    <x v="766"/>
    <x v="614"/>
    <s v="CUST010990"/>
    <s v="Anjali Singh"/>
    <s v="Action Camera"/>
    <x v="1"/>
    <x v="1"/>
    <n v="4"/>
    <n v="149.24"/>
    <n v="0.3"/>
    <n v="20.89"/>
    <n v="3.18"/>
    <n v="441.94"/>
    <x v="0"/>
    <x v="0"/>
    <s v="Phoenix"/>
    <s v="AZ"/>
    <s v="Australia"/>
  </r>
  <r>
    <x v="767"/>
    <x v="615"/>
    <s v="CUST009099"/>
    <s v="Simran Verma"/>
    <s v="4K Monitor"/>
    <x v="1"/>
    <x v="0"/>
    <n v="1"/>
    <n v="477.44"/>
    <n v="0"/>
    <n v="0"/>
    <n v="14.59"/>
    <n v="492.03"/>
    <x v="3"/>
    <x v="3"/>
    <s v="San Antonio"/>
    <s v="TX"/>
    <s v="India"/>
  </r>
  <r>
    <x v="768"/>
    <x v="616"/>
    <s v="CUST035974"/>
    <s v="Neha Joshi"/>
    <s v="Running Shoes"/>
    <x v="2"/>
    <x v="9"/>
    <n v="4"/>
    <n v="239.64"/>
    <n v="0.05"/>
    <n v="109.28"/>
    <n v="5.29"/>
    <n v="1025.2"/>
    <x v="3"/>
    <x v="0"/>
    <s v="Dallas"/>
    <s v="TX"/>
    <s v="United States"/>
  </r>
  <r>
    <x v="769"/>
    <x v="617"/>
    <s v="CUST042892"/>
    <s v="Priya Gupta"/>
    <s v="Backpack"/>
    <x v="2"/>
    <x v="3"/>
    <n v="1"/>
    <n v="462.85"/>
    <n v="0"/>
    <n v="55.54"/>
    <n v="12.33"/>
    <n v="530.72"/>
    <x v="0"/>
    <x v="2"/>
    <s v="Chicago"/>
    <s v="IL"/>
    <s v="United States"/>
  </r>
  <r>
    <x v="770"/>
    <x v="618"/>
    <s v="CUST002002"/>
    <s v="Ritika Sharma"/>
    <s v="Gaming Mouse"/>
    <x v="3"/>
    <x v="0"/>
    <n v="3"/>
    <n v="431.18"/>
    <n v="0.05"/>
    <n v="98.31"/>
    <n v="9.2200000000000006"/>
    <n v="1336.39"/>
    <x v="4"/>
    <x v="0"/>
    <s v="Fort Worth"/>
    <s v="TX"/>
    <s v="United States"/>
  </r>
  <r>
    <x v="771"/>
    <x v="619"/>
    <s v="CUST034073"/>
    <s v="Vikas Reddy"/>
    <s v="Action Camera"/>
    <x v="5"/>
    <x v="2"/>
    <n v="3"/>
    <n v="442.03"/>
    <n v="0.2"/>
    <n v="53.04"/>
    <n v="2.11"/>
    <n v="1116.02"/>
    <x v="3"/>
    <x v="0"/>
    <s v="Dallas"/>
    <s v="TX"/>
    <s v="United Kingdom"/>
  </r>
  <r>
    <x v="772"/>
    <x v="542"/>
    <s v="CUST038114"/>
    <s v="Aditya Gupta"/>
    <s v="Desk Organizer"/>
    <x v="1"/>
    <x v="9"/>
    <n v="2"/>
    <n v="427.05"/>
    <n v="0"/>
    <n v="102.49"/>
    <n v="9.06"/>
    <n v="965.65"/>
    <x v="0"/>
    <x v="0"/>
    <s v="Chicago"/>
    <s v="IL"/>
    <s v="United States"/>
  </r>
  <r>
    <x v="773"/>
    <x v="620"/>
    <s v="CUST008122"/>
    <s v="Simran Joshi"/>
    <s v="Board Game"/>
    <x v="0"/>
    <x v="7"/>
    <n v="4"/>
    <n v="22.31"/>
    <n v="0"/>
    <n v="7.14"/>
    <n v="11.55"/>
    <n v="107.93"/>
    <x v="2"/>
    <x v="0"/>
    <s v="San Antonio"/>
    <s v="TX"/>
    <s v="United States"/>
  </r>
  <r>
    <x v="774"/>
    <x v="621"/>
    <s v="CUST002640"/>
    <s v="Vivaan Sharma"/>
    <s v="Children's Book"/>
    <x v="4"/>
    <x v="0"/>
    <n v="1"/>
    <n v="532.46"/>
    <n v="0.15"/>
    <n v="36.21"/>
    <n v="2.8"/>
    <n v="491.6"/>
    <x v="4"/>
    <x v="4"/>
    <s v="Chicago"/>
    <s v="IL"/>
    <s v="India"/>
  </r>
  <r>
    <x v="775"/>
    <x v="622"/>
    <s v="CUST011556"/>
    <s v="Vikas Gupta"/>
    <s v="Action Camera"/>
    <x v="0"/>
    <x v="4"/>
    <n v="3"/>
    <n v="205.45"/>
    <n v="0"/>
    <n v="110.94"/>
    <n v="2.67"/>
    <n v="729.96"/>
    <x v="1"/>
    <x v="3"/>
    <s v="Chicago"/>
    <s v="IL"/>
    <s v="India"/>
  </r>
  <r>
    <x v="776"/>
    <x v="623"/>
    <s v="CUST003093"/>
    <s v="Aditya Verma"/>
    <s v="Laptop Sleeve"/>
    <x v="2"/>
    <x v="7"/>
    <n v="1"/>
    <n v="438.95"/>
    <n v="0.1"/>
    <n v="31.6"/>
    <n v="1.46"/>
    <n v="428.12"/>
    <x v="4"/>
    <x v="0"/>
    <s v="Dallas"/>
    <s v="TX"/>
    <s v="United States"/>
  </r>
  <r>
    <x v="777"/>
    <x v="535"/>
    <s v="CUST021844"/>
    <s v="Kabir Kapoor"/>
    <s v="4K Monitor"/>
    <x v="1"/>
    <x v="2"/>
    <n v="3"/>
    <n v="232.27"/>
    <n v="0.1"/>
    <n v="31.36"/>
    <n v="6.69"/>
    <n v="665.18"/>
    <x v="1"/>
    <x v="0"/>
    <s v="Los Angeles"/>
    <s v="CA"/>
    <s v="India"/>
  </r>
  <r>
    <x v="778"/>
    <x v="624"/>
    <s v="CUST034364"/>
    <s v="Aman Mehta"/>
    <s v="Laptop Sleeve"/>
    <x v="0"/>
    <x v="8"/>
    <n v="1"/>
    <n v="353.27"/>
    <n v="0.05"/>
    <n v="16.78"/>
    <n v="4.5"/>
    <n v="356.89"/>
    <x v="3"/>
    <x v="0"/>
    <s v="Houston"/>
    <s v="TX"/>
    <s v="India"/>
  </r>
  <r>
    <x v="779"/>
    <x v="404"/>
    <s v="CUST037738"/>
    <s v="Simran Kapoor"/>
    <s v="Electric Kettle"/>
    <x v="4"/>
    <x v="4"/>
    <n v="4"/>
    <n v="334.8"/>
    <n v="0"/>
    <n v="241.06"/>
    <n v="6.64"/>
    <n v="1586.9"/>
    <x v="5"/>
    <x v="0"/>
    <s v="Charlotte"/>
    <s v="NC"/>
    <s v="United States"/>
  </r>
  <r>
    <x v="780"/>
    <x v="625"/>
    <s v="CUST008946"/>
    <s v="Sahil Sharma"/>
    <s v="Novel Bestseller"/>
    <x v="2"/>
    <x v="2"/>
    <n v="1"/>
    <n v="570.99"/>
    <n v="0.15"/>
    <n v="58.24"/>
    <n v="0.54"/>
    <n v="544.12"/>
    <x v="3"/>
    <x v="0"/>
    <s v="Jacksonville"/>
    <s v="FL"/>
    <s v="United States"/>
  </r>
  <r>
    <x v="781"/>
    <x v="167"/>
    <s v="CUST041406"/>
    <s v="Simran Kapoor"/>
    <s v="4K Monitor"/>
    <x v="2"/>
    <x v="7"/>
    <n v="3"/>
    <n v="527.74"/>
    <n v="0"/>
    <n v="189.99"/>
    <n v="7.05"/>
    <n v="1780.26"/>
    <x v="3"/>
    <x v="0"/>
    <s v="Charlotte"/>
    <s v="NC"/>
    <s v="United States"/>
  </r>
  <r>
    <x v="782"/>
    <x v="471"/>
    <s v="CUST047483"/>
    <s v="Rohit Patel"/>
    <s v="Router"/>
    <x v="5"/>
    <x v="2"/>
    <n v="1"/>
    <n v="532.6"/>
    <n v="0.05"/>
    <n v="60.72"/>
    <n v="10.38"/>
    <n v="577.07000000000005"/>
    <x v="0"/>
    <x v="0"/>
    <s v="San Antonio"/>
    <s v="TX"/>
    <s v="United States"/>
  </r>
  <r>
    <x v="783"/>
    <x v="626"/>
    <s v="CUST037259"/>
    <s v="Kabir Joshi"/>
    <s v="Smart Light Bulb"/>
    <x v="4"/>
    <x v="0"/>
    <n v="3"/>
    <n v="596.12"/>
    <n v="0"/>
    <n v="143.07"/>
    <n v="12.15"/>
    <n v="1943.58"/>
    <x v="3"/>
    <x v="0"/>
    <s v="Austin"/>
    <s v="TX"/>
    <s v="Canada"/>
  </r>
  <r>
    <x v="784"/>
    <x v="627"/>
    <s v="CUST036430"/>
    <s v="Aman Singh"/>
    <s v="Laptop Sleeve"/>
    <x v="0"/>
    <x v="9"/>
    <n v="2"/>
    <n v="352.31"/>
    <n v="0.05"/>
    <n v="53.55"/>
    <n v="4.53"/>
    <n v="727.47"/>
    <x v="5"/>
    <x v="1"/>
    <s v="Philadelphia"/>
    <s v="PA"/>
    <s v="United States"/>
  </r>
  <r>
    <x v="785"/>
    <x v="628"/>
    <s v="CUST038244"/>
    <s v="Vivaan Joshi"/>
    <s v="Desk Plant"/>
    <x v="3"/>
    <x v="2"/>
    <n v="5"/>
    <n v="407.02"/>
    <n v="0.25"/>
    <n v="76.319999999999993"/>
    <n v="12.99"/>
    <n v="1615.63"/>
    <x v="3"/>
    <x v="1"/>
    <s v="San Diego"/>
    <s v="CA"/>
    <s v="India"/>
  </r>
  <r>
    <x v="786"/>
    <x v="629"/>
    <s v="CUST000643"/>
    <s v="Vihaan Patel"/>
    <s v="Winter Jacket"/>
    <x v="0"/>
    <x v="2"/>
    <n v="5"/>
    <n v="436.19"/>
    <n v="0"/>
    <n v="174.48"/>
    <n v="6.81"/>
    <n v="2362.2399999999998"/>
    <x v="3"/>
    <x v="2"/>
    <s v="Jacksonville"/>
    <s v="FL"/>
    <s v="India"/>
  </r>
  <r>
    <x v="787"/>
    <x v="322"/>
    <s v="CUST027065"/>
    <s v="Aditya Reddy"/>
    <s v="Instant Pot"/>
    <x v="1"/>
    <x v="0"/>
    <n v="4"/>
    <n v="243.36"/>
    <n v="0"/>
    <n v="48.67"/>
    <n v="9.56"/>
    <n v="1031.67"/>
    <x v="0"/>
    <x v="1"/>
    <s v="Indianapolis"/>
    <s v="IN"/>
    <s v="United States"/>
  </r>
  <r>
    <x v="788"/>
    <x v="630"/>
    <s v="CUST020694"/>
    <s v="Mohit Sharma"/>
    <s v="Router"/>
    <x v="3"/>
    <x v="6"/>
    <n v="3"/>
    <n v="175.51"/>
    <n v="0.1"/>
    <n v="23.69"/>
    <n v="12.69"/>
    <n v="510.26"/>
    <x v="0"/>
    <x v="0"/>
    <s v="New York"/>
    <s v="NY"/>
    <s v="United States"/>
  </r>
  <r>
    <x v="789"/>
    <x v="631"/>
    <s v="CUST020608"/>
    <s v="Sneha Joshi"/>
    <s v="External HDD 2TB"/>
    <x v="5"/>
    <x v="4"/>
    <n v="4"/>
    <n v="475.21"/>
    <n v="0.15"/>
    <n v="290.83"/>
    <n v="1.88"/>
    <n v="1908.42"/>
    <x v="0"/>
    <x v="4"/>
    <s v="San Diego"/>
    <s v="CA"/>
    <s v="India"/>
  </r>
  <r>
    <x v="790"/>
    <x v="632"/>
    <s v="CUST018027"/>
    <s v="Simran Reddy"/>
    <s v="LED Desk Lamp"/>
    <x v="3"/>
    <x v="1"/>
    <n v="4"/>
    <n v="279.89999999999998"/>
    <n v="0"/>
    <n v="55.98"/>
    <n v="14.23"/>
    <n v="1189.81"/>
    <x v="0"/>
    <x v="0"/>
    <s v="Jacksonville"/>
    <s v="FL"/>
    <s v="United States"/>
  </r>
  <r>
    <x v="791"/>
    <x v="353"/>
    <s v="CUST013765"/>
    <s v="Aman Kapoor"/>
    <s v="Fitness Band"/>
    <x v="5"/>
    <x v="9"/>
    <n v="1"/>
    <n v="8.06"/>
    <n v="0"/>
    <n v="0"/>
    <n v="2.93"/>
    <n v="10.99"/>
    <x v="2"/>
    <x v="0"/>
    <s v="Los Angeles"/>
    <s v="CA"/>
    <s v="United States"/>
  </r>
  <r>
    <x v="792"/>
    <x v="437"/>
    <s v="CUST045762"/>
    <s v="Mohit Patel"/>
    <s v="4K Monitor"/>
    <x v="0"/>
    <x v="3"/>
    <n v="5"/>
    <n v="206.18"/>
    <n v="0.05"/>
    <n v="48.97"/>
    <n v="1.93"/>
    <n v="1030.26"/>
    <x v="0"/>
    <x v="0"/>
    <s v="Austin"/>
    <s v="TX"/>
    <s v="United States"/>
  </r>
  <r>
    <x v="793"/>
    <x v="633"/>
    <s v="CUST011582"/>
    <s v="Vikas Gupta"/>
    <s v="Yoga Mat"/>
    <x v="3"/>
    <x v="2"/>
    <n v="4"/>
    <n v="141.19"/>
    <n v="0.1"/>
    <n v="0"/>
    <n v="4.51"/>
    <n v="512.79"/>
    <x v="0"/>
    <x v="0"/>
    <s v="Dallas"/>
    <s v="TX"/>
    <s v="India"/>
  </r>
  <r>
    <x v="794"/>
    <x v="634"/>
    <s v="CUST043065"/>
    <s v="Sunita Mehta"/>
    <s v="External HDD 2TB"/>
    <x v="5"/>
    <x v="6"/>
    <n v="3"/>
    <n v="402.32"/>
    <n v="0"/>
    <n v="144.84"/>
    <n v="12.57"/>
    <n v="1364.37"/>
    <x v="1"/>
    <x v="0"/>
    <s v="Chicago"/>
    <s v="IL"/>
    <s v="United States"/>
  </r>
  <r>
    <x v="795"/>
    <x v="41"/>
    <s v="CUST037250"/>
    <s v="Anjali Kapoor"/>
    <s v="Smartphone Case"/>
    <x v="1"/>
    <x v="2"/>
    <n v="3"/>
    <n v="474.11"/>
    <n v="0.15"/>
    <n v="145.08000000000001"/>
    <n v="5.2"/>
    <n v="1359.26"/>
    <x v="0"/>
    <x v="0"/>
    <s v="Los Angeles"/>
    <s v="CA"/>
    <s v="United States"/>
  </r>
  <r>
    <x v="796"/>
    <x v="635"/>
    <s v="CUST020325"/>
    <s v="Vivaan Patel"/>
    <s v="Wireless Charger"/>
    <x v="1"/>
    <x v="4"/>
    <n v="2"/>
    <n v="283.06"/>
    <n v="0.05"/>
    <n v="0"/>
    <n v="11.74"/>
    <n v="549.54999999999995"/>
    <x v="3"/>
    <x v="0"/>
    <s v="Philadelphia"/>
    <s v="PA"/>
    <s v="India"/>
  </r>
  <r>
    <x v="797"/>
    <x v="113"/>
    <s v="CUST005907"/>
    <s v="Aditya Patel"/>
    <s v="Microphone"/>
    <x v="0"/>
    <x v="9"/>
    <n v="5"/>
    <n v="351.35"/>
    <n v="0"/>
    <n v="210.81"/>
    <n v="14.46"/>
    <n v="1982.02"/>
    <x v="3"/>
    <x v="3"/>
    <s v="Chicago"/>
    <s v="IL"/>
    <s v="India"/>
  </r>
  <r>
    <x v="798"/>
    <x v="636"/>
    <s v="CUST013629"/>
    <s v="Vihaan Reddy"/>
    <s v="Noise Cancelling Headphones"/>
    <x v="0"/>
    <x v="0"/>
    <n v="4"/>
    <n v="8.8000000000000007"/>
    <n v="0.05"/>
    <n v="4.01"/>
    <n v="0.72"/>
    <n v="38.17"/>
    <x v="3"/>
    <x v="0"/>
    <s v="Houston"/>
    <s v="TX"/>
    <s v="United States"/>
  </r>
  <r>
    <x v="799"/>
    <x v="637"/>
    <s v="CUST002565"/>
    <s v="Sunita Gupta"/>
    <s v="Kids Toy Car"/>
    <x v="3"/>
    <x v="0"/>
    <n v="2"/>
    <n v="292.85000000000002"/>
    <n v="0"/>
    <n v="0"/>
    <n v="12.33"/>
    <n v="598.03"/>
    <x v="5"/>
    <x v="0"/>
    <s v="San Diego"/>
    <s v="CA"/>
    <s v="United States"/>
  </r>
  <r>
    <x v="800"/>
    <x v="638"/>
    <s v="CUST048794"/>
    <s v="Pooja Kapoor"/>
    <s v="Graphic Tablet"/>
    <x v="4"/>
    <x v="7"/>
    <n v="3"/>
    <n v="206.81"/>
    <n v="0"/>
    <n v="74.45"/>
    <n v="12.81"/>
    <n v="707.69"/>
    <x v="4"/>
    <x v="2"/>
    <s v="Dallas"/>
    <s v="TX"/>
    <s v="India"/>
  </r>
  <r>
    <x v="801"/>
    <x v="102"/>
    <s v="CUST003091"/>
    <s v="Arjun Patel"/>
    <s v="Winter Jacket"/>
    <x v="0"/>
    <x v="1"/>
    <n v="5"/>
    <n v="549.20000000000005"/>
    <n v="0.05"/>
    <n v="130.44"/>
    <n v="5.0599999999999996"/>
    <n v="2744.2"/>
    <x v="0"/>
    <x v="0"/>
    <s v="Houston"/>
    <s v="TX"/>
    <s v="United States"/>
  </r>
  <r>
    <x v="802"/>
    <x v="295"/>
    <s v="CUST009247"/>
    <s v="Aditya Kapoor"/>
    <s v="Microphone"/>
    <x v="0"/>
    <x v="5"/>
    <n v="3"/>
    <n v="590.82000000000005"/>
    <n v="0.2"/>
    <n v="0"/>
    <n v="6.52"/>
    <n v="1424.49"/>
    <x v="0"/>
    <x v="0"/>
    <s v="Austin"/>
    <s v="TX"/>
    <s v="United States"/>
  </r>
  <r>
    <x v="803"/>
    <x v="462"/>
    <s v="CUST028627"/>
    <s v="Arjun Patel"/>
    <s v="Dress Shirt"/>
    <x v="1"/>
    <x v="1"/>
    <n v="4"/>
    <n v="37.83"/>
    <n v="0.05"/>
    <n v="17.25"/>
    <n v="9.7899999999999991"/>
    <n v="170.79"/>
    <x v="3"/>
    <x v="0"/>
    <s v="Denver"/>
    <s v="CO"/>
    <s v="India"/>
  </r>
  <r>
    <x v="804"/>
    <x v="585"/>
    <s v="CUST001515"/>
    <s v="Priya Mehta"/>
    <s v="Water Bottle"/>
    <x v="2"/>
    <x v="0"/>
    <n v="1"/>
    <n v="205.86"/>
    <n v="0"/>
    <n v="10.29"/>
    <n v="5.89"/>
    <n v="222.04"/>
    <x v="3"/>
    <x v="0"/>
    <s v="Austin"/>
    <s v="TX"/>
    <s v="United States"/>
  </r>
  <r>
    <x v="805"/>
    <x v="639"/>
    <s v="CUST045996"/>
    <s v="Arjun Kapoor"/>
    <s v="Graphic Tablet"/>
    <x v="1"/>
    <x v="8"/>
    <n v="5"/>
    <n v="127.24"/>
    <n v="0.15"/>
    <n v="27.04"/>
    <n v="4.6100000000000003"/>
    <n v="572.41999999999996"/>
    <x v="3"/>
    <x v="0"/>
    <s v="Seattle"/>
    <s v="WA"/>
    <s v="India"/>
  </r>
  <r>
    <x v="806"/>
    <x v="640"/>
    <s v="CUST048787"/>
    <s v="Aditya Gupta"/>
    <s v="Memory Card 128GB"/>
    <x v="1"/>
    <x v="1"/>
    <n v="2"/>
    <n v="229.66"/>
    <n v="0.05"/>
    <n v="21.82"/>
    <n v="3.55"/>
    <n v="461.72"/>
    <x v="3"/>
    <x v="0"/>
    <s v="Seattle"/>
    <s v="WA"/>
    <s v="India"/>
  </r>
  <r>
    <x v="807"/>
    <x v="60"/>
    <s v="CUST007018"/>
    <s v="Sahil Mehta"/>
    <s v="Backpack"/>
    <x v="5"/>
    <x v="6"/>
    <n v="2"/>
    <n v="469.24"/>
    <n v="0"/>
    <n v="75.08"/>
    <n v="5.79"/>
    <n v="1019.35"/>
    <x v="0"/>
    <x v="0"/>
    <s v="Columbus"/>
    <s v="OH"/>
    <s v="United States"/>
  </r>
  <r>
    <x v="808"/>
    <x v="641"/>
    <s v="CUST018257"/>
    <s v="Anjali Singh"/>
    <s v="Action Camera"/>
    <x v="0"/>
    <x v="1"/>
    <n v="1"/>
    <n v="233.08"/>
    <n v="0.1"/>
    <n v="10.49"/>
    <n v="1.88"/>
    <n v="222.14"/>
    <x v="3"/>
    <x v="0"/>
    <s v="Washington"/>
    <s v="DC"/>
    <s v="United Kingdom"/>
  </r>
  <r>
    <x v="809"/>
    <x v="642"/>
    <s v="CUST041379"/>
    <s v="Aman Verma"/>
    <s v="Drone Mini"/>
    <x v="1"/>
    <x v="0"/>
    <n v="2"/>
    <n v="586.12"/>
    <n v="0"/>
    <n v="93.78"/>
    <n v="2.0299999999999998"/>
    <n v="1268.05"/>
    <x v="3"/>
    <x v="3"/>
    <s v="Phoenix"/>
    <s v="AZ"/>
    <s v="India"/>
  </r>
  <r>
    <x v="810"/>
    <x v="643"/>
    <s v="CUST016218"/>
    <s v="Karan Reddy"/>
    <s v="Projector Mini"/>
    <x v="3"/>
    <x v="4"/>
    <n v="1"/>
    <n v="452.39"/>
    <n v="0.1"/>
    <n v="20.36"/>
    <n v="11.15"/>
    <n v="438.66"/>
    <x v="3"/>
    <x v="3"/>
    <s v="Columbus"/>
    <s v="OH"/>
    <s v="United Kingdom"/>
  </r>
  <r>
    <x v="811"/>
    <x v="644"/>
    <s v="CUST038261"/>
    <s v="Vikas Sharma"/>
    <s v="Wireless Earbuds"/>
    <x v="4"/>
    <x v="7"/>
    <n v="5"/>
    <n v="109.2"/>
    <n v="0.05"/>
    <n v="25.94"/>
    <n v="4.12"/>
    <n v="548.76"/>
    <x v="5"/>
    <x v="0"/>
    <s v="Los Angeles"/>
    <s v="CA"/>
    <s v="United States"/>
  </r>
  <r>
    <x v="812"/>
    <x v="645"/>
    <s v="CUST019069"/>
    <s v="Vikas Gupta"/>
    <s v="Projector Mini"/>
    <x v="3"/>
    <x v="7"/>
    <n v="4"/>
    <n v="589.91999999999996"/>
    <n v="0"/>
    <n v="117.98"/>
    <n v="8.2200000000000006"/>
    <n v="2485.88"/>
    <x v="2"/>
    <x v="0"/>
    <s v="Phoenix"/>
    <s v="AZ"/>
    <s v="United States"/>
  </r>
  <r>
    <x v="813"/>
    <x v="646"/>
    <s v="CUST015688"/>
    <s v="Mohit Kumar"/>
    <s v="Desk Plant"/>
    <x v="2"/>
    <x v="6"/>
    <n v="4"/>
    <n v="49.32"/>
    <n v="0.25"/>
    <n v="11.84"/>
    <n v="7.92"/>
    <n v="167.72"/>
    <x v="0"/>
    <x v="0"/>
    <s v="Philadelphia"/>
    <s v="PA"/>
    <s v="India"/>
  </r>
  <r>
    <x v="814"/>
    <x v="647"/>
    <s v="CUST007016"/>
    <s v="Anjali Joshi"/>
    <s v="USB-C Charger"/>
    <x v="0"/>
    <x v="6"/>
    <n v="5"/>
    <n v="490.83"/>
    <n v="0.05"/>
    <n v="186.52"/>
    <n v="3.81"/>
    <n v="2521.77"/>
    <x v="0"/>
    <x v="0"/>
    <s v="San Jose"/>
    <s v="CA"/>
    <s v="United States"/>
  </r>
  <r>
    <x v="815"/>
    <x v="648"/>
    <s v="CUST047641"/>
    <s v="Rohit Kumar"/>
    <s v="Kids Toy Car"/>
    <x v="5"/>
    <x v="4"/>
    <n v="2"/>
    <n v="48.23"/>
    <n v="0"/>
    <n v="11.58"/>
    <n v="14.55"/>
    <n v="122.59"/>
    <x v="3"/>
    <x v="3"/>
    <s v="Austin"/>
    <s v="TX"/>
    <s v="Australia"/>
  </r>
  <r>
    <x v="816"/>
    <x v="544"/>
    <s v="CUST015085"/>
    <s v="Arjun Singh"/>
    <s v="Phone Tripod"/>
    <x v="2"/>
    <x v="7"/>
    <n v="1"/>
    <n v="72.12"/>
    <n v="0.1"/>
    <n v="5.19"/>
    <n v="14.92"/>
    <n v="85.02"/>
    <x v="2"/>
    <x v="0"/>
    <s v="San Jose"/>
    <s v="CA"/>
    <s v="United States"/>
  </r>
  <r>
    <x v="817"/>
    <x v="371"/>
    <s v="CUST038541"/>
    <s v="Aditya Gupta"/>
    <s v="Kids Toy Car"/>
    <x v="1"/>
    <x v="4"/>
    <n v="5"/>
    <n v="46.05"/>
    <n v="0"/>
    <n v="11.51"/>
    <n v="8.26"/>
    <n v="250.02"/>
    <x v="1"/>
    <x v="4"/>
    <s v="New York"/>
    <s v="NY"/>
    <s v="United States"/>
  </r>
  <r>
    <x v="818"/>
    <x v="253"/>
    <s v="CUST001322"/>
    <s v="Vihaan Reddy"/>
    <s v="Water Bottle"/>
    <x v="2"/>
    <x v="1"/>
    <n v="5"/>
    <n v="439.44"/>
    <n v="0.2"/>
    <n v="0"/>
    <n v="5.0199999999999996"/>
    <n v="1762.78"/>
    <x v="3"/>
    <x v="3"/>
    <s v="Phoenix"/>
    <s v="AZ"/>
    <s v="India"/>
  </r>
  <r>
    <x v="819"/>
    <x v="464"/>
    <s v="CUST019599"/>
    <s v="Sahil Reddy"/>
    <s v="Dress Shirt"/>
    <x v="1"/>
    <x v="4"/>
    <n v="4"/>
    <n v="439.45"/>
    <n v="0"/>
    <n v="87.89"/>
    <n v="6.63"/>
    <n v="1852.32"/>
    <x v="1"/>
    <x v="0"/>
    <s v="Fort Worth"/>
    <s v="TX"/>
    <s v="United States"/>
  </r>
  <r>
    <x v="820"/>
    <x v="649"/>
    <s v="CUST011799"/>
    <s v="Vivaan Patel"/>
    <s v="Smartphone Case"/>
    <x v="2"/>
    <x v="3"/>
    <n v="5"/>
    <n v="531.95000000000005"/>
    <n v="0.05"/>
    <n v="202.14"/>
    <n v="6.92"/>
    <n v="2735.82"/>
    <x v="3"/>
    <x v="0"/>
    <s v="Washington"/>
    <s v="DC"/>
    <s v="United States"/>
  </r>
  <r>
    <x v="821"/>
    <x v="650"/>
    <s v="CUST048924"/>
    <s v="Kabir Singh"/>
    <s v="Router"/>
    <x v="0"/>
    <x v="1"/>
    <n v="3"/>
    <n v="321.68"/>
    <n v="0.1"/>
    <n v="69.48"/>
    <n v="5.88"/>
    <n v="943.9"/>
    <x v="0"/>
    <x v="2"/>
    <s v="Austin"/>
    <s v="TX"/>
    <s v="United States"/>
  </r>
  <r>
    <x v="822"/>
    <x v="99"/>
    <s v="CUST024845"/>
    <s v="Kabir Mehta"/>
    <s v="Webcam Full HD"/>
    <x v="4"/>
    <x v="3"/>
    <n v="5"/>
    <n v="243.23"/>
    <n v="0"/>
    <n v="145.94"/>
    <n v="14.05"/>
    <n v="1376.14"/>
    <x v="0"/>
    <x v="0"/>
    <s v="San Jose"/>
    <s v="CA"/>
    <s v="United States"/>
  </r>
  <r>
    <x v="823"/>
    <x v="651"/>
    <s v="CUST038060"/>
    <s v="Arjun Singh"/>
    <s v="Water Bottle"/>
    <x v="2"/>
    <x v="3"/>
    <n v="1"/>
    <n v="120.8"/>
    <n v="0"/>
    <n v="6.04"/>
    <n v="12.05"/>
    <n v="138.88999999999999"/>
    <x v="0"/>
    <x v="0"/>
    <s v="San Antonio"/>
    <s v="TX"/>
    <s v="United States"/>
  </r>
  <r>
    <x v="824"/>
    <x v="652"/>
    <s v="CUST009678"/>
    <s v="Mohit Kapoor"/>
    <s v="Laptop Sleeve"/>
    <x v="5"/>
    <x v="4"/>
    <n v="5"/>
    <n v="15.79"/>
    <n v="0"/>
    <n v="6.32"/>
    <n v="7.15"/>
    <n v="92.42"/>
    <x v="0"/>
    <x v="0"/>
    <s v="San Antonio"/>
    <s v="TX"/>
    <s v="United States"/>
  </r>
  <r>
    <x v="825"/>
    <x v="653"/>
    <s v="CUST023476"/>
    <s v="Mohit Joshi"/>
    <s v="T-Shirt"/>
    <x v="0"/>
    <x v="0"/>
    <n v="1"/>
    <n v="387.08"/>
    <n v="0"/>
    <n v="19.350000000000001"/>
    <n v="11.94"/>
    <n v="418.37"/>
    <x v="3"/>
    <x v="0"/>
    <s v="Dallas"/>
    <s v="TX"/>
    <s v="United States"/>
  </r>
  <r>
    <x v="826"/>
    <x v="654"/>
    <s v="CUST037155"/>
    <s v="Vivaan Mehta"/>
    <s v="Laptop Sleeve"/>
    <x v="2"/>
    <x v="1"/>
    <n v="4"/>
    <n v="367.4"/>
    <n v="0"/>
    <n v="0"/>
    <n v="2.4"/>
    <n v="1472"/>
    <x v="0"/>
    <x v="0"/>
    <s v="Philadelphia"/>
    <s v="PA"/>
    <s v="United States"/>
  </r>
  <r>
    <x v="827"/>
    <x v="655"/>
    <s v="CUST037099"/>
    <s v="Vikas Kumar"/>
    <s v="Microphone"/>
    <x v="0"/>
    <x v="9"/>
    <n v="3"/>
    <n v="14.42"/>
    <n v="0.15"/>
    <n v="2.94"/>
    <n v="5.73"/>
    <n v="45.44"/>
    <x v="0"/>
    <x v="3"/>
    <s v="San Antonio"/>
    <s v="TX"/>
    <s v="United States"/>
  </r>
  <r>
    <x v="828"/>
    <x v="656"/>
    <s v="CUST013731"/>
    <s v="Simran Kapoor"/>
    <s v="Graphic Tablet"/>
    <x v="4"/>
    <x v="0"/>
    <n v="3"/>
    <n v="253.09"/>
    <n v="0"/>
    <n v="60.74"/>
    <n v="14.39"/>
    <n v="834.4"/>
    <x v="5"/>
    <x v="0"/>
    <s v="San Diego"/>
    <s v="CA"/>
    <s v="United States"/>
  </r>
  <r>
    <x v="829"/>
    <x v="47"/>
    <s v="CUST045362"/>
    <s v="Priya Joshi"/>
    <s v="Board Game"/>
    <x v="5"/>
    <x v="8"/>
    <n v="4"/>
    <n v="405.52"/>
    <n v="0"/>
    <n v="129.77000000000001"/>
    <n v="11.13"/>
    <n v="1762.98"/>
    <x v="2"/>
    <x v="0"/>
    <s v="Columbus"/>
    <s v="OH"/>
    <s v="United States"/>
  </r>
  <r>
    <x v="830"/>
    <x v="657"/>
    <s v="CUST030184"/>
    <s v="Sneha Reddy"/>
    <s v="Running Shoes"/>
    <x v="4"/>
    <x v="1"/>
    <n v="2"/>
    <n v="148.81"/>
    <n v="0"/>
    <n v="0"/>
    <n v="9.1"/>
    <n v="306.72000000000003"/>
    <x v="0"/>
    <x v="0"/>
    <s v="Indianapolis"/>
    <s v="IN"/>
    <s v="United States"/>
  </r>
  <r>
    <x v="831"/>
    <x v="658"/>
    <s v="CUST004183"/>
    <s v="Sneha Gupta"/>
    <s v="Microphone"/>
    <x v="4"/>
    <x v="4"/>
    <n v="1"/>
    <n v="97.25"/>
    <n v="0.2"/>
    <n v="6.22"/>
    <n v="10.68"/>
    <n v="94.7"/>
    <x v="3"/>
    <x v="0"/>
    <s v="Washington"/>
    <s v="DC"/>
    <s v="United States"/>
  </r>
  <r>
    <x v="832"/>
    <x v="659"/>
    <s v="CUST027432"/>
    <s v="Neha Kumar"/>
    <s v="Cookware Set"/>
    <x v="4"/>
    <x v="4"/>
    <n v="3"/>
    <n v="396"/>
    <n v="0.25"/>
    <n v="71.28"/>
    <n v="10.07"/>
    <n v="972.35"/>
    <x v="2"/>
    <x v="1"/>
    <s v="Houston"/>
    <s v="TX"/>
    <s v="United States"/>
  </r>
  <r>
    <x v="833"/>
    <x v="574"/>
    <s v="CUST038221"/>
    <s v="Vikas Kapoor"/>
    <s v="Gaming Mouse"/>
    <x v="5"/>
    <x v="0"/>
    <n v="1"/>
    <n v="515.89"/>
    <n v="0.1"/>
    <n v="55.72"/>
    <n v="5.7"/>
    <n v="525.72"/>
    <x v="1"/>
    <x v="3"/>
    <s v="San Diego"/>
    <s v="CA"/>
    <s v="Canada"/>
  </r>
  <r>
    <x v="834"/>
    <x v="660"/>
    <s v="CUST033478"/>
    <s v="Simran Joshi"/>
    <s v="Water Bottle"/>
    <x v="1"/>
    <x v="4"/>
    <n v="1"/>
    <n v="290.81"/>
    <n v="0.1"/>
    <n v="20.94"/>
    <n v="9.52"/>
    <n v="292.19"/>
    <x v="3"/>
    <x v="4"/>
    <s v="San Diego"/>
    <s v="CA"/>
    <s v="United States"/>
  </r>
  <r>
    <x v="835"/>
    <x v="661"/>
    <s v="CUST017117"/>
    <s v="Priya Mehta"/>
    <s v="External HDD 2TB"/>
    <x v="2"/>
    <x v="4"/>
    <n v="4"/>
    <n v="431.13"/>
    <n v="0.25"/>
    <n v="64.67"/>
    <n v="13"/>
    <n v="1371.06"/>
    <x v="1"/>
    <x v="0"/>
    <s v="San Diego"/>
    <s v="CA"/>
    <s v="United States"/>
  </r>
  <r>
    <x v="836"/>
    <x v="289"/>
    <s v="CUST029994"/>
    <s v="Aman Reddy"/>
    <s v="Graphic Tablet"/>
    <x v="5"/>
    <x v="5"/>
    <n v="1"/>
    <n v="504.76"/>
    <n v="0.2"/>
    <n v="32.299999999999997"/>
    <n v="3.51"/>
    <n v="439.62"/>
    <x v="0"/>
    <x v="0"/>
    <s v="Columbus"/>
    <s v="OH"/>
    <s v="United States"/>
  </r>
  <r>
    <x v="837"/>
    <x v="662"/>
    <s v="CUST044175"/>
    <s v="Karan Singh"/>
    <s v="Microphone"/>
    <x v="5"/>
    <x v="9"/>
    <n v="3"/>
    <n v="447.99"/>
    <n v="0"/>
    <n v="161.28"/>
    <n v="5.32"/>
    <n v="1510.57"/>
    <x v="2"/>
    <x v="0"/>
    <s v="Dallas"/>
    <s v="TX"/>
    <s v="Canada"/>
  </r>
  <r>
    <x v="838"/>
    <x v="663"/>
    <s v="CUST048188"/>
    <s v="Rohit Kapoor"/>
    <s v="Wireless Charger"/>
    <x v="5"/>
    <x v="6"/>
    <n v="5"/>
    <n v="562.46"/>
    <n v="0"/>
    <n v="224.98"/>
    <n v="9.83"/>
    <n v="3047.11"/>
    <x v="3"/>
    <x v="0"/>
    <s v="Phoenix"/>
    <s v="AZ"/>
    <s v="United States"/>
  </r>
  <r>
    <x v="839"/>
    <x v="664"/>
    <s v="CUST018209"/>
    <s v="Arjun Gupta"/>
    <s v="Drone Mini"/>
    <x v="3"/>
    <x v="1"/>
    <n v="1"/>
    <n v="30.62"/>
    <n v="0"/>
    <n v="3.67"/>
    <n v="3.08"/>
    <n v="37.369999999999997"/>
    <x v="3"/>
    <x v="0"/>
    <s v="San Jose"/>
    <s v="CA"/>
    <s v="India"/>
  </r>
  <r>
    <x v="840"/>
    <x v="665"/>
    <s v="CUST042920"/>
    <s v="Vivaan Joshi"/>
    <s v="Memory Card 128GB"/>
    <x v="0"/>
    <x v="5"/>
    <n v="3"/>
    <n v="570.24"/>
    <n v="0"/>
    <n v="85.54"/>
    <n v="4.0599999999999996"/>
    <n v="1800.32"/>
    <x v="5"/>
    <x v="0"/>
    <s v="San Diego"/>
    <s v="CA"/>
    <s v="Canada"/>
  </r>
  <r>
    <x v="841"/>
    <x v="93"/>
    <s v="CUST004513"/>
    <s v="Vikas Reddy"/>
    <s v="Board Game"/>
    <x v="0"/>
    <x v="4"/>
    <n v="1"/>
    <n v="553.07000000000005"/>
    <n v="0.1"/>
    <n v="89.6"/>
    <n v="3.26"/>
    <n v="590.62"/>
    <x v="2"/>
    <x v="4"/>
    <s v="Dallas"/>
    <s v="TX"/>
    <s v="United States"/>
  </r>
  <r>
    <x v="842"/>
    <x v="415"/>
    <s v="CUST044185"/>
    <s v="Vihaan Reddy"/>
    <s v="Vacuum Cleaner"/>
    <x v="5"/>
    <x v="1"/>
    <n v="3"/>
    <n v="571.48"/>
    <n v="0"/>
    <n v="205.73"/>
    <n v="0.15"/>
    <n v="1920.32"/>
    <x v="3"/>
    <x v="0"/>
    <s v="New York"/>
    <s v="NY"/>
    <s v="United States"/>
  </r>
  <r>
    <x v="843"/>
    <x v="666"/>
    <s v="CUST013566"/>
    <s v="Vihaan Gupta"/>
    <s v="Water Bottle"/>
    <x v="3"/>
    <x v="8"/>
    <n v="3"/>
    <n v="525.75"/>
    <n v="0.25"/>
    <n v="59.15"/>
    <n v="9.24"/>
    <n v="1251.33"/>
    <x v="1"/>
    <x v="1"/>
    <s v="Chicago"/>
    <s v="IL"/>
    <s v="India"/>
  </r>
  <r>
    <x v="844"/>
    <x v="647"/>
    <s v="CUST031643"/>
    <s v="Aditya Singh"/>
    <s v="Microphone"/>
    <x v="2"/>
    <x v="6"/>
    <n v="2"/>
    <n v="287.27999999999997"/>
    <n v="0"/>
    <n v="28.73"/>
    <n v="7.87"/>
    <n v="611.16"/>
    <x v="4"/>
    <x v="0"/>
    <s v="San Francisco"/>
    <s v="CA"/>
    <s v="United States"/>
  </r>
  <r>
    <x v="845"/>
    <x v="667"/>
    <s v="CUST046008"/>
    <s v="Pooja Joshi"/>
    <s v="Smartwatch"/>
    <x v="1"/>
    <x v="7"/>
    <n v="1"/>
    <n v="84.78"/>
    <n v="0.2"/>
    <n v="3.39"/>
    <n v="8.4499999999999993"/>
    <n v="79.66"/>
    <x v="4"/>
    <x v="0"/>
    <s v="Washington"/>
    <s v="DC"/>
    <s v="India"/>
  </r>
  <r>
    <x v="846"/>
    <x v="668"/>
    <s v="CUST022267"/>
    <s v="Aman Singh"/>
    <s v="Gaming Mouse"/>
    <x v="0"/>
    <x v="3"/>
    <n v="5"/>
    <n v="550.62"/>
    <n v="0.1"/>
    <n v="198.22"/>
    <n v="4.7300000000000004"/>
    <n v="2680.74"/>
    <x v="3"/>
    <x v="0"/>
    <s v="Washington"/>
    <s v="DC"/>
    <s v="Canada"/>
  </r>
  <r>
    <x v="847"/>
    <x v="669"/>
    <s v="CUST026992"/>
    <s v="Karan Verma"/>
    <s v="Drone Mini"/>
    <x v="3"/>
    <x v="0"/>
    <n v="4"/>
    <n v="218.74"/>
    <n v="0"/>
    <n v="70"/>
    <n v="13.33"/>
    <n v="958.29"/>
    <x v="0"/>
    <x v="0"/>
    <s v="San Jose"/>
    <s v="CA"/>
    <s v="United States"/>
  </r>
  <r>
    <x v="848"/>
    <x v="670"/>
    <s v="CUST003097"/>
    <s v="Sneha Joshi"/>
    <s v="Smart Light Bulb"/>
    <x v="4"/>
    <x v="9"/>
    <n v="1"/>
    <n v="585.61"/>
    <n v="0.05"/>
    <n v="27.82"/>
    <n v="11.33"/>
    <n v="595.48"/>
    <x v="4"/>
    <x v="0"/>
    <s v="Charlotte"/>
    <s v="NC"/>
    <s v="United States"/>
  </r>
  <r>
    <x v="849"/>
    <x v="671"/>
    <s v="CUST030853"/>
    <s v="Vikas Sharma"/>
    <s v="Air Fryer"/>
    <x v="0"/>
    <x v="2"/>
    <n v="5"/>
    <n v="171.41"/>
    <n v="0"/>
    <n v="154.27000000000001"/>
    <n v="0.28000000000000003"/>
    <n v="1011.6"/>
    <x v="2"/>
    <x v="0"/>
    <s v="Fort Worth"/>
    <s v="TX"/>
    <s v="United States"/>
  </r>
  <r>
    <x v="850"/>
    <x v="261"/>
    <s v="CUST019699"/>
    <s v="Karan Sharma"/>
    <s v="Vacuum Cleaner"/>
    <x v="1"/>
    <x v="4"/>
    <n v="4"/>
    <n v="280.11"/>
    <n v="0.15"/>
    <n v="171.43"/>
    <n v="14.38"/>
    <n v="1138.18"/>
    <x v="3"/>
    <x v="0"/>
    <s v="San Jose"/>
    <s v="CA"/>
    <s v="United States"/>
  </r>
  <r>
    <x v="851"/>
    <x v="114"/>
    <s v="CUST030782"/>
    <s v="Sunita Reddy"/>
    <s v="Wireless Earbuds"/>
    <x v="4"/>
    <x v="8"/>
    <n v="3"/>
    <n v="385.36"/>
    <n v="0.05"/>
    <n v="54.91"/>
    <n v="13.97"/>
    <n v="1167.1600000000001"/>
    <x v="1"/>
    <x v="0"/>
    <s v="Seattle"/>
    <s v="WA"/>
    <s v="United States"/>
  </r>
  <r>
    <x v="852"/>
    <x v="672"/>
    <s v="CUST046696"/>
    <s v="Vikas Kumar"/>
    <s v="Vacuum Cleaner"/>
    <x v="3"/>
    <x v="2"/>
    <n v="5"/>
    <n v="192.27"/>
    <n v="0"/>
    <n v="48.07"/>
    <n v="11.36"/>
    <n v="1020.78"/>
    <x v="2"/>
    <x v="3"/>
    <s v="Philadelphia"/>
    <s v="PA"/>
    <s v="United Kingdom"/>
  </r>
  <r>
    <x v="853"/>
    <x v="673"/>
    <s v="CUST008644"/>
    <s v="Sunita Verma"/>
    <s v="Microphone"/>
    <x v="1"/>
    <x v="2"/>
    <n v="2"/>
    <n v="549.01"/>
    <n v="0"/>
    <n v="87.84"/>
    <n v="14.88"/>
    <n v="1200.74"/>
    <x v="1"/>
    <x v="0"/>
    <s v="San Diego"/>
    <s v="CA"/>
    <s v="United States"/>
  </r>
  <r>
    <x v="854"/>
    <x v="324"/>
    <s v="CUST017486"/>
    <s v="Vikas Kumar"/>
    <s v="Wireless Earbuds"/>
    <x v="0"/>
    <x v="0"/>
    <n v="2"/>
    <n v="6.49"/>
    <n v="0.2"/>
    <n v="0.52"/>
    <n v="0.38"/>
    <n v="11.28"/>
    <x v="0"/>
    <x v="3"/>
    <s v="Houston"/>
    <s v="TX"/>
    <s v="United States"/>
  </r>
  <r>
    <x v="855"/>
    <x v="313"/>
    <s v="CUST034921"/>
    <s v="Aarav Patel"/>
    <s v="Webcam Full HD"/>
    <x v="3"/>
    <x v="9"/>
    <n v="3"/>
    <n v="394.94"/>
    <n v="0"/>
    <n v="94.79"/>
    <n v="7.86"/>
    <n v="1287.47"/>
    <x v="3"/>
    <x v="0"/>
    <s v="Washington"/>
    <s v="DC"/>
    <s v="United States"/>
  </r>
  <r>
    <x v="856"/>
    <x v="674"/>
    <s v="CUST010916"/>
    <s v="Vihaan Patel"/>
    <s v="Dress Shirt"/>
    <x v="1"/>
    <x v="2"/>
    <n v="4"/>
    <n v="189.64"/>
    <n v="0.15"/>
    <n v="77.37"/>
    <n v="14.82"/>
    <n v="736.97"/>
    <x v="0"/>
    <x v="0"/>
    <s v="San Jose"/>
    <s v="CA"/>
    <s v="United States"/>
  </r>
  <r>
    <x v="857"/>
    <x v="675"/>
    <s v="CUST048508"/>
    <s v="Arjun Singh"/>
    <s v="Mechanical Keyboard"/>
    <x v="2"/>
    <x v="8"/>
    <n v="4"/>
    <n v="99.03"/>
    <n v="0.05"/>
    <n v="45.16"/>
    <n v="8.5299999999999994"/>
    <n v="430"/>
    <x v="1"/>
    <x v="3"/>
    <s v="San Jose"/>
    <s v="CA"/>
    <s v="United States"/>
  </r>
  <r>
    <x v="858"/>
    <x v="676"/>
    <s v="CUST028514"/>
    <s v="Vivaan Gupta"/>
    <s v="Smart Light Bulb"/>
    <x v="5"/>
    <x v="0"/>
    <n v="2"/>
    <n v="531.69000000000005"/>
    <n v="0"/>
    <n v="85.07"/>
    <n v="10.11"/>
    <n v="1158.56"/>
    <x v="5"/>
    <x v="0"/>
    <s v="Los Angeles"/>
    <s v="CA"/>
    <s v="India"/>
  </r>
  <r>
    <x v="859"/>
    <x v="451"/>
    <s v="CUST018826"/>
    <s v="Neha Singh"/>
    <s v="Router"/>
    <x v="4"/>
    <x v="2"/>
    <n v="2"/>
    <n v="444.34"/>
    <n v="0"/>
    <n v="44.43"/>
    <n v="4.2300000000000004"/>
    <n v="937.34"/>
    <x v="3"/>
    <x v="0"/>
    <s v="Los Angeles"/>
    <s v="CA"/>
    <s v="United States"/>
  </r>
  <r>
    <x v="860"/>
    <x v="231"/>
    <s v="CUST017523"/>
    <s v="Neha Joshi"/>
    <s v="Action Camera"/>
    <x v="1"/>
    <x v="5"/>
    <n v="1"/>
    <n v="257.01"/>
    <n v="0.05"/>
    <n v="12.21"/>
    <n v="14.41"/>
    <n v="270.77999999999997"/>
    <x v="1"/>
    <x v="3"/>
    <s v="San Antonio"/>
    <s v="TX"/>
    <s v="Canada"/>
  </r>
  <r>
    <x v="861"/>
    <x v="677"/>
    <s v="CUST047849"/>
    <s v="Kabir Sharma"/>
    <s v="Novel Bestseller"/>
    <x v="2"/>
    <x v="1"/>
    <n v="3"/>
    <n v="561.66999999999996"/>
    <n v="0.15"/>
    <n v="114.58"/>
    <n v="11.15"/>
    <n v="1557.99"/>
    <x v="3"/>
    <x v="3"/>
    <s v="Dallas"/>
    <s v="TX"/>
    <s v="United Kingdom"/>
  </r>
  <r>
    <x v="862"/>
    <x v="678"/>
    <s v="CUST008790"/>
    <s v="Aditya Sharma"/>
    <s v="Projector Mini"/>
    <x v="1"/>
    <x v="8"/>
    <n v="5"/>
    <n v="162.68"/>
    <n v="0"/>
    <n v="97.61"/>
    <n v="4.18"/>
    <n v="915.19"/>
    <x v="2"/>
    <x v="2"/>
    <s v="San Francisco"/>
    <s v="CA"/>
    <s v="United States"/>
  </r>
  <r>
    <x v="863"/>
    <x v="423"/>
    <s v="CUST013852"/>
    <s v="Pooja Kumar"/>
    <s v="Power Bank 20000mAh"/>
    <x v="3"/>
    <x v="4"/>
    <n v="1"/>
    <n v="185.55"/>
    <n v="0"/>
    <n v="9.2799999999999994"/>
    <n v="14.74"/>
    <n v="209.57"/>
    <x v="0"/>
    <x v="0"/>
    <s v="Austin"/>
    <s v="TX"/>
    <s v="United Kingdom"/>
  </r>
  <r>
    <x v="864"/>
    <x v="295"/>
    <s v="CUST036912"/>
    <s v="Arjun Reddy"/>
    <s v="Children's Book"/>
    <x v="5"/>
    <x v="4"/>
    <n v="1"/>
    <n v="196.13"/>
    <n v="0"/>
    <n v="15.69"/>
    <n v="10.44"/>
    <n v="222.26"/>
    <x v="0"/>
    <x v="0"/>
    <s v="San Antonio"/>
    <s v="TX"/>
    <s v="India"/>
  </r>
  <r>
    <x v="865"/>
    <x v="679"/>
    <s v="CUST028860"/>
    <s v="Kabir Reddy"/>
    <s v="LED Desk Lamp"/>
    <x v="4"/>
    <x v="1"/>
    <n v="1"/>
    <n v="259.39"/>
    <n v="0"/>
    <n v="20.75"/>
    <n v="7.95"/>
    <n v="288.08999999999997"/>
    <x v="0"/>
    <x v="0"/>
    <s v="San Jose"/>
    <s v="CA"/>
    <s v="United States"/>
  </r>
  <r>
    <x v="866"/>
    <x v="15"/>
    <s v="CUST015345"/>
    <s v="Karan Verma"/>
    <s v="Water Bottle"/>
    <x v="1"/>
    <x v="4"/>
    <n v="4"/>
    <n v="235.56"/>
    <n v="0.05"/>
    <n v="71.61"/>
    <n v="0.81"/>
    <n v="967.55"/>
    <x v="0"/>
    <x v="0"/>
    <s v="San Antonio"/>
    <s v="TX"/>
    <s v="United Kingdom"/>
  </r>
  <r>
    <x v="867"/>
    <x v="248"/>
    <s v="CUST038463"/>
    <s v="Priya Kumar"/>
    <s v="Puzzle 1000pc"/>
    <x v="5"/>
    <x v="0"/>
    <n v="4"/>
    <n v="40.69"/>
    <n v="0.05"/>
    <n v="12.37"/>
    <n v="12.4"/>
    <n v="179.39"/>
    <x v="5"/>
    <x v="0"/>
    <s v="Seattle"/>
    <s v="WA"/>
    <s v="Australia"/>
  </r>
  <r>
    <x v="868"/>
    <x v="218"/>
    <s v="CUST027699"/>
    <s v="Priya Verma"/>
    <s v="Smartwatch"/>
    <x v="3"/>
    <x v="0"/>
    <n v="4"/>
    <n v="265"/>
    <n v="0"/>
    <n v="190.8"/>
    <n v="2.56"/>
    <n v="1253.3599999999999"/>
    <x v="3"/>
    <x v="0"/>
    <s v="San Jose"/>
    <s v="CA"/>
    <s v="United States"/>
  </r>
  <r>
    <x v="869"/>
    <x v="455"/>
    <s v="CUST035042"/>
    <s v="Vivaan Kumar"/>
    <s v="Kids Toy Car"/>
    <x v="2"/>
    <x v="8"/>
    <n v="4"/>
    <n v="200.64"/>
    <n v="0.1"/>
    <n v="57.78"/>
    <n v="6.73"/>
    <n v="786.81"/>
    <x v="3"/>
    <x v="3"/>
    <s v="Fort Worth"/>
    <s v="TX"/>
    <s v="United States"/>
  </r>
  <r>
    <x v="870"/>
    <x v="422"/>
    <s v="CUST011632"/>
    <s v="Karan Kapoor"/>
    <s v="Cookware Set"/>
    <x v="4"/>
    <x v="9"/>
    <n v="5"/>
    <n v="525.72"/>
    <n v="0.05"/>
    <n v="199.77"/>
    <n v="7.45"/>
    <n v="2704.39"/>
    <x v="5"/>
    <x v="3"/>
    <s v="Seattle"/>
    <s v="WA"/>
    <s v="United States"/>
  </r>
  <r>
    <x v="871"/>
    <x v="680"/>
    <s v="CUST025500"/>
    <s v="Simran Verma"/>
    <s v="Office Chair"/>
    <x v="5"/>
    <x v="2"/>
    <n v="4"/>
    <n v="557.83000000000004"/>
    <n v="0"/>
    <n v="267.76"/>
    <n v="7.45"/>
    <n v="2506.5300000000002"/>
    <x v="3"/>
    <x v="0"/>
    <s v="Philadelphia"/>
    <s v="PA"/>
    <s v="United States"/>
  </r>
  <r>
    <x v="872"/>
    <x v="681"/>
    <s v="CUST030454"/>
    <s v="Vihaan Joshi"/>
    <s v="Phone Tripod"/>
    <x v="3"/>
    <x v="9"/>
    <n v="5"/>
    <n v="508.94"/>
    <n v="0"/>
    <n v="203.58"/>
    <n v="12.96"/>
    <n v="2761.24"/>
    <x v="3"/>
    <x v="0"/>
    <s v="Columbus"/>
    <s v="OH"/>
    <s v="United States"/>
  </r>
  <r>
    <x v="873"/>
    <x v="682"/>
    <s v="CUST042190"/>
    <s v="Kabir Reddy"/>
    <s v="Webcam Full HD"/>
    <x v="2"/>
    <x v="3"/>
    <n v="3"/>
    <n v="53.46"/>
    <n v="0.05"/>
    <n v="18.28"/>
    <n v="2.29"/>
    <n v="172.93"/>
    <x v="5"/>
    <x v="0"/>
    <s v="Jacksonville"/>
    <s v="FL"/>
    <s v="United States"/>
  </r>
  <r>
    <x v="874"/>
    <x v="683"/>
    <s v="CUST004724"/>
    <s v="Aarav Reddy"/>
    <s v="Desk Organizer"/>
    <x v="2"/>
    <x v="3"/>
    <n v="1"/>
    <n v="520.46"/>
    <n v="0.15"/>
    <n v="79.63"/>
    <n v="8.2100000000000009"/>
    <n v="530.23"/>
    <x v="1"/>
    <x v="3"/>
    <s v="Chicago"/>
    <s v="IL"/>
    <s v="United States"/>
  </r>
  <r>
    <x v="875"/>
    <x v="684"/>
    <s v="CUST011009"/>
    <s v="Ritika Kumar"/>
    <s v="Drone Mini"/>
    <x v="0"/>
    <x v="2"/>
    <n v="2"/>
    <n v="271.04000000000002"/>
    <n v="0.2"/>
    <n v="21.68"/>
    <n v="7.82"/>
    <n v="463.16"/>
    <x v="1"/>
    <x v="0"/>
    <s v="Washington"/>
    <s v="DC"/>
    <s v="United States"/>
  </r>
  <r>
    <x v="876"/>
    <x v="685"/>
    <s v="CUST011263"/>
    <s v="Arjun Gupta"/>
    <s v="LED Desk Lamp"/>
    <x v="2"/>
    <x v="1"/>
    <n v="1"/>
    <n v="410.89"/>
    <n v="0.05"/>
    <n v="19.52"/>
    <n v="4.71"/>
    <n v="414.58"/>
    <x v="0"/>
    <x v="2"/>
    <s v="Chicago"/>
    <s v="IL"/>
    <s v="United States"/>
  </r>
  <r>
    <x v="877"/>
    <x v="686"/>
    <s v="CUST025577"/>
    <s v="Karan Sharma"/>
    <s v="Phone Tripod"/>
    <x v="2"/>
    <x v="9"/>
    <n v="5"/>
    <n v="297.01"/>
    <n v="0.15"/>
    <n v="151.47999999999999"/>
    <n v="7.01"/>
    <n v="1420.78"/>
    <x v="3"/>
    <x v="0"/>
    <s v="Denver"/>
    <s v="CO"/>
    <s v="United States"/>
  </r>
  <r>
    <x v="878"/>
    <x v="421"/>
    <s v="CUST007567"/>
    <s v="Kabir Patel"/>
    <s v="Children's Book"/>
    <x v="5"/>
    <x v="1"/>
    <n v="4"/>
    <n v="261.41000000000003"/>
    <n v="0.1"/>
    <n v="47.05"/>
    <n v="14.63"/>
    <n v="1002.76"/>
    <x v="1"/>
    <x v="0"/>
    <s v="New York"/>
    <s v="NY"/>
    <s v="India"/>
  </r>
  <r>
    <x v="879"/>
    <x v="687"/>
    <s v="CUST009433"/>
    <s v="Sneha Kapoor"/>
    <s v="Wireless Charger"/>
    <x v="5"/>
    <x v="5"/>
    <n v="5"/>
    <n v="510.26"/>
    <n v="0.05"/>
    <n v="121.19"/>
    <n v="1.85"/>
    <n v="2546.7800000000002"/>
    <x v="0"/>
    <x v="3"/>
    <s v="Jacksonville"/>
    <s v="FL"/>
    <s v="Australia"/>
  </r>
  <r>
    <x v="880"/>
    <x v="688"/>
    <s v="CUST015403"/>
    <s v="Karan Singh"/>
    <s v="Smartwatch"/>
    <x v="4"/>
    <x v="1"/>
    <n v="2"/>
    <n v="110.53"/>
    <n v="0.15"/>
    <n v="9.4"/>
    <n v="6.03"/>
    <n v="203.33"/>
    <x v="0"/>
    <x v="0"/>
    <s v="Denver"/>
    <s v="CO"/>
    <s v="India"/>
  </r>
  <r>
    <x v="881"/>
    <x v="689"/>
    <s v="CUST008648"/>
    <s v="Aditya Reddy"/>
    <s v="Winter Jacket"/>
    <x v="2"/>
    <x v="8"/>
    <n v="1"/>
    <n v="46.84"/>
    <n v="0"/>
    <n v="2.34"/>
    <n v="5.78"/>
    <n v="54.96"/>
    <x v="4"/>
    <x v="0"/>
    <s v="Charlotte"/>
    <s v="NC"/>
    <s v="United States"/>
  </r>
  <r>
    <x v="882"/>
    <x v="690"/>
    <s v="CUST028263"/>
    <s v="Vikas Verma"/>
    <s v="Wireless Charger"/>
    <x v="1"/>
    <x v="4"/>
    <n v="1"/>
    <n v="509"/>
    <n v="0.05"/>
    <n v="38.68"/>
    <n v="14.37"/>
    <n v="536.6"/>
    <x v="3"/>
    <x v="0"/>
    <s v="Houston"/>
    <s v="TX"/>
    <s v="United States"/>
  </r>
  <r>
    <x v="883"/>
    <x v="691"/>
    <s v="CUST015229"/>
    <s v="Aman Reddy"/>
    <s v="Water Bottle"/>
    <x v="4"/>
    <x v="3"/>
    <n v="3"/>
    <n v="552.08000000000004"/>
    <n v="0"/>
    <n v="132.5"/>
    <n v="12.79"/>
    <n v="1801.53"/>
    <x v="3"/>
    <x v="0"/>
    <s v="Denver"/>
    <s v="CO"/>
    <s v="United States"/>
  </r>
  <r>
    <x v="884"/>
    <x v="207"/>
    <s v="CUST048422"/>
    <s v="Aman Reddy"/>
    <s v="Vacuum Cleaner"/>
    <x v="0"/>
    <x v="8"/>
    <n v="5"/>
    <n v="444.17"/>
    <n v="0.2"/>
    <n v="88.83"/>
    <n v="13.51"/>
    <n v="1879.02"/>
    <x v="0"/>
    <x v="0"/>
    <s v="Columbus"/>
    <s v="OH"/>
    <s v="United Kingdom"/>
  </r>
  <r>
    <x v="885"/>
    <x v="562"/>
    <s v="CUST020479"/>
    <s v="Sahil Sharma"/>
    <s v="Office Chair"/>
    <x v="1"/>
    <x v="2"/>
    <n v="3"/>
    <n v="38.89"/>
    <n v="0.05"/>
    <n v="5.54"/>
    <n v="7.19"/>
    <n v="123.57"/>
    <x v="0"/>
    <x v="0"/>
    <s v="San Diego"/>
    <s v="CA"/>
    <s v="United States"/>
  </r>
  <r>
    <x v="886"/>
    <x v="546"/>
    <s v="CUST034535"/>
    <s v="Sunita Joshi"/>
    <s v="Running Shoes"/>
    <x v="0"/>
    <x v="9"/>
    <n v="4"/>
    <n v="195.49"/>
    <n v="0"/>
    <n v="93.84"/>
    <n v="14.89"/>
    <n v="890.69"/>
    <x v="1"/>
    <x v="0"/>
    <s v="Philadelphia"/>
    <s v="PA"/>
    <s v="United States"/>
  </r>
  <r>
    <x v="887"/>
    <x v="631"/>
    <s v="CUST026099"/>
    <s v="Vivaan Mehta"/>
    <s v="Power Bank 20000mAh"/>
    <x v="0"/>
    <x v="4"/>
    <n v="3"/>
    <n v="209.44"/>
    <n v="0.25"/>
    <n v="0"/>
    <n v="1.46"/>
    <n v="472.7"/>
    <x v="4"/>
    <x v="0"/>
    <s v="Seattle"/>
    <s v="WA"/>
    <s v="United States"/>
  </r>
  <r>
    <x v="888"/>
    <x v="692"/>
    <s v="CUST010478"/>
    <s v="Vikas Gupta"/>
    <s v="LED Desk Lamp"/>
    <x v="4"/>
    <x v="1"/>
    <n v="1"/>
    <n v="62.61"/>
    <n v="0.1"/>
    <n v="2.82"/>
    <n v="14.04"/>
    <n v="73.209999999999994"/>
    <x v="1"/>
    <x v="0"/>
    <s v="Austin"/>
    <s v="TX"/>
    <s v="United States"/>
  </r>
  <r>
    <x v="889"/>
    <x v="693"/>
    <s v="CUST008107"/>
    <s v="Aarav Patel"/>
    <s v="Desk Organizer"/>
    <x v="1"/>
    <x v="8"/>
    <n v="1"/>
    <n v="50.94"/>
    <n v="0.1"/>
    <n v="5.5"/>
    <n v="14.97"/>
    <n v="66.319999999999993"/>
    <x v="4"/>
    <x v="0"/>
    <s v="Denver"/>
    <s v="CO"/>
    <s v="India"/>
  </r>
  <r>
    <x v="890"/>
    <x v="694"/>
    <s v="CUST042291"/>
    <s v="Aditya Patel"/>
    <s v="Fitness Band"/>
    <x v="4"/>
    <x v="2"/>
    <n v="1"/>
    <n v="123.14"/>
    <n v="0.05"/>
    <n v="5.85"/>
    <n v="9.1999999999999993"/>
    <n v="132.03"/>
    <x v="4"/>
    <x v="2"/>
    <s v="Dallas"/>
    <s v="TX"/>
    <s v="India"/>
  </r>
  <r>
    <x v="891"/>
    <x v="695"/>
    <s v="CUST035578"/>
    <s v="Sneha Verma"/>
    <s v="Dress Shirt"/>
    <x v="2"/>
    <x v="8"/>
    <n v="4"/>
    <n v="542.23"/>
    <n v="0.05"/>
    <n v="164.84"/>
    <n v="5.4"/>
    <n v="2230.71"/>
    <x v="1"/>
    <x v="2"/>
    <s v="New York"/>
    <s v="NY"/>
    <s v="United States"/>
  </r>
  <r>
    <x v="892"/>
    <x v="696"/>
    <s v="CUST013902"/>
    <s v="Ritika Patel"/>
    <s v="Puzzle 1000pc"/>
    <x v="2"/>
    <x v="1"/>
    <n v="5"/>
    <n v="543.41999999999996"/>
    <n v="0"/>
    <n v="135.85"/>
    <n v="6.09"/>
    <n v="2859.04"/>
    <x v="1"/>
    <x v="0"/>
    <s v="Fort Worth"/>
    <s v="TX"/>
    <s v="United States"/>
  </r>
  <r>
    <x v="893"/>
    <x v="697"/>
    <s v="CUST032339"/>
    <s v="Arjun Sharma"/>
    <s v="Water Bottle"/>
    <x v="5"/>
    <x v="3"/>
    <n v="1"/>
    <n v="499.56"/>
    <n v="0.25"/>
    <n v="29.97"/>
    <n v="6.6"/>
    <n v="411.24"/>
    <x v="3"/>
    <x v="1"/>
    <s v="Chicago"/>
    <s v="IL"/>
    <s v="United States"/>
  </r>
  <r>
    <x v="894"/>
    <x v="140"/>
    <s v="CUST047258"/>
    <s v="Vikas Reddy"/>
    <s v="Microphone"/>
    <x v="1"/>
    <x v="6"/>
    <n v="2"/>
    <n v="204.68"/>
    <n v="0.05"/>
    <n v="0"/>
    <n v="12.45"/>
    <n v="401.34"/>
    <x v="3"/>
    <x v="0"/>
    <s v="Charlotte"/>
    <s v="NC"/>
    <s v="United Kingdom"/>
  </r>
  <r>
    <x v="895"/>
    <x v="698"/>
    <s v="CUST027366"/>
    <s v="Anjali Singh"/>
    <s v="Running Shoes"/>
    <x v="1"/>
    <x v="4"/>
    <n v="5"/>
    <n v="9.4"/>
    <n v="0"/>
    <n v="3.76"/>
    <n v="4.74"/>
    <n v="55.5"/>
    <x v="3"/>
    <x v="0"/>
    <s v="Charlotte"/>
    <s v="NC"/>
    <s v="India"/>
  </r>
  <r>
    <x v="896"/>
    <x v="699"/>
    <s v="CUST025697"/>
    <s v="Simran Joshi"/>
    <s v="External HDD 2TB"/>
    <x v="1"/>
    <x v="9"/>
    <n v="3"/>
    <n v="72.78"/>
    <n v="0"/>
    <n v="17.47"/>
    <n v="9.7200000000000006"/>
    <n v="245.53"/>
    <x v="3"/>
    <x v="0"/>
    <s v="Houston"/>
    <s v="TX"/>
    <s v="United States"/>
  </r>
  <r>
    <x v="897"/>
    <x v="700"/>
    <s v="CUST031918"/>
    <s v="Mohit Singh"/>
    <s v="External HDD 2TB"/>
    <x v="0"/>
    <x v="5"/>
    <n v="5"/>
    <n v="214.19"/>
    <n v="0.25"/>
    <n v="40.159999999999997"/>
    <n v="12.06"/>
    <n v="855.43"/>
    <x v="0"/>
    <x v="3"/>
    <s v="Washington"/>
    <s v="DC"/>
    <s v="United States"/>
  </r>
  <r>
    <x v="898"/>
    <x v="701"/>
    <s v="CUST041612"/>
    <s v="Aditya Joshi"/>
    <s v="Bluetooth Speaker"/>
    <x v="2"/>
    <x v="6"/>
    <n v="4"/>
    <n v="433.87"/>
    <n v="0.2"/>
    <n v="69.42"/>
    <n v="11.28"/>
    <n v="1469.08"/>
    <x v="3"/>
    <x v="0"/>
    <s v="San Jose"/>
    <s v="CA"/>
    <s v="United States"/>
  </r>
  <r>
    <x v="899"/>
    <x v="702"/>
    <s v="CUST037981"/>
    <s v="Vivaan Gupta"/>
    <s v="Smartphone Case"/>
    <x v="0"/>
    <x v="6"/>
    <n v="4"/>
    <n v="375.83"/>
    <n v="0"/>
    <n v="120.27"/>
    <n v="12.07"/>
    <n v="1635.66"/>
    <x v="0"/>
    <x v="0"/>
    <s v="San Antonio"/>
    <s v="TX"/>
    <s v="United States"/>
  </r>
  <r>
    <x v="900"/>
    <x v="275"/>
    <s v="CUST021132"/>
    <s v="Rohit Sharma"/>
    <s v="Action Camera"/>
    <x v="2"/>
    <x v="1"/>
    <n v="5"/>
    <n v="355.75"/>
    <n v="0.15"/>
    <n v="120.96"/>
    <n v="6.78"/>
    <n v="1639.68"/>
    <x v="0"/>
    <x v="3"/>
    <s v="New York"/>
    <s v="NY"/>
    <s v="United States"/>
  </r>
  <r>
    <x v="901"/>
    <x v="289"/>
    <s v="CUST042013"/>
    <s v="Rohit Sharma"/>
    <s v="Router"/>
    <x v="4"/>
    <x v="7"/>
    <n v="3"/>
    <n v="243.82"/>
    <n v="0.1"/>
    <n v="79"/>
    <n v="13.53"/>
    <n v="750.84"/>
    <x v="3"/>
    <x v="0"/>
    <s v="Denver"/>
    <s v="CO"/>
    <s v="United States"/>
  </r>
  <r>
    <x v="902"/>
    <x v="703"/>
    <s v="CUST009065"/>
    <s v="Anjali Gupta"/>
    <s v="Laptop Sleeve"/>
    <x v="3"/>
    <x v="9"/>
    <n v="1"/>
    <n v="9.73"/>
    <n v="0.05"/>
    <n v="0.46"/>
    <n v="5.93"/>
    <n v="15.63"/>
    <x v="4"/>
    <x v="0"/>
    <s v="Phoenix"/>
    <s v="AZ"/>
    <s v="United States"/>
  </r>
  <r>
    <x v="903"/>
    <x v="704"/>
    <s v="CUST025661"/>
    <s v="Aman Mehta"/>
    <s v="Webcam Full HD"/>
    <x v="4"/>
    <x v="8"/>
    <n v="1"/>
    <n v="456.37"/>
    <n v="0"/>
    <n v="36.51"/>
    <n v="14.33"/>
    <n v="507.21"/>
    <x v="3"/>
    <x v="0"/>
    <s v="Fort Worth"/>
    <s v="TX"/>
    <s v="India"/>
  </r>
  <r>
    <x v="904"/>
    <x v="696"/>
    <s v="CUST010281"/>
    <s v="Sahil Joshi"/>
    <s v="LED Desk Lamp"/>
    <x v="4"/>
    <x v="0"/>
    <n v="3"/>
    <n v="306.08"/>
    <n v="0.1"/>
    <n v="66.11"/>
    <n v="8.1999999999999993"/>
    <n v="900.73"/>
    <x v="0"/>
    <x v="0"/>
    <s v="Houston"/>
    <s v="TX"/>
    <s v="United Kingdom"/>
  </r>
  <r>
    <x v="905"/>
    <x v="272"/>
    <s v="CUST028142"/>
    <s v="Pooja Sharma"/>
    <s v="4K Monitor"/>
    <x v="4"/>
    <x v="8"/>
    <n v="3"/>
    <n v="346.32"/>
    <n v="0"/>
    <n v="83.12"/>
    <n v="13.1"/>
    <n v="1135.18"/>
    <x v="1"/>
    <x v="0"/>
    <s v="Columbus"/>
    <s v="OH"/>
    <s v="India"/>
  </r>
  <r>
    <x v="906"/>
    <x v="705"/>
    <s v="CUST023188"/>
    <s v="Rohit Gupta"/>
    <s v="T-Shirt"/>
    <x v="0"/>
    <x v="3"/>
    <n v="1"/>
    <n v="379.17"/>
    <n v="0.15"/>
    <n v="16.11"/>
    <n v="13.58"/>
    <n v="351.98"/>
    <x v="1"/>
    <x v="0"/>
    <s v="Phoenix"/>
    <s v="AZ"/>
    <s v="United States"/>
  </r>
  <r>
    <x v="907"/>
    <x v="706"/>
    <s v="CUST005934"/>
    <s v="Vikas Sharma"/>
    <s v="Water Bottle"/>
    <x v="2"/>
    <x v="0"/>
    <n v="5"/>
    <n v="77.22"/>
    <n v="0"/>
    <n v="0"/>
    <n v="4.9400000000000004"/>
    <n v="391.04"/>
    <x v="5"/>
    <x v="0"/>
    <s v="Philadelphia"/>
    <s v="PA"/>
    <s v="India"/>
  </r>
  <r>
    <x v="908"/>
    <x v="707"/>
    <s v="CUST035575"/>
    <s v="Anjali Gupta"/>
    <s v="Webcam Full HD"/>
    <x v="5"/>
    <x v="7"/>
    <n v="3"/>
    <n v="591.16999999999996"/>
    <n v="0"/>
    <n v="212.82"/>
    <n v="9.48"/>
    <n v="1995.81"/>
    <x v="3"/>
    <x v="3"/>
    <s v="Fort Worth"/>
    <s v="TX"/>
    <s v="United States"/>
  </r>
  <r>
    <x v="909"/>
    <x v="156"/>
    <s v="CUST042654"/>
    <s v="Vihaan Patel"/>
    <s v="Smart Light Bulb"/>
    <x v="2"/>
    <x v="5"/>
    <n v="4"/>
    <n v="44.82"/>
    <n v="0"/>
    <n v="14.34"/>
    <n v="6.59"/>
    <n v="200.21"/>
    <x v="0"/>
    <x v="0"/>
    <s v="San Diego"/>
    <s v="CA"/>
    <s v="Canada"/>
  </r>
  <r>
    <x v="910"/>
    <x v="542"/>
    <s v="CUST028637"/>
    <s v="Karan Mehta"/>
    <s v="Memory Card 128GB"/>
    <x v="3"/>
    <x v="2"/>
    <n v="4"/>
    <n v="547.36"/>
    <n v="0.05"/>
    <n v="166.4"/>
    <n v="9.69"/>
    <n v="2256.06"/>
    <x v="4"/>
    <x v="3"/>
    <s v="Seattle"/>
    <s v="WA"/>
    <s v="Australia"/>
  </r>
  <r>
    <x v="911"/>
    <x v="708"/>
    <s v="CUST026919"/>
    <s v="Simran Mehta"/>
    <s v="Wireless Charger"/>
    <x v="2"/>
    <x v="7"/>
    <n v="4"/>
    <n v="329.98"/>
    <n v="0"/>
    <n v="158.38999999999999"/>
    <n v="11.62"/>
    <n v="1489.93"/>
    <x v="1"/>
    <x v="3"/>
    <s v="Columbus"/>
    <s v="OH"/>
    <s v="United States"/>
  </r>
  <r>
    <x v="912"/>
    <x v="709"/>
    <s v="CUST012271"/>
    <s v="Anjali Singh"/>
    <s v="Wireless Earbuds"/>
    <x v="0"/>
    <x v="5"/>
    <n v="1"/>
    <n v="540.33000000000004"/>
    <n v="0"/>
    <n v="43.23"/>
    <n v="3.41"/>
    <n v="586.97"/>
    <x v="0"/>
    <x v="0"/>
    <s v="San Jose"/>
    <s v="CA"/>
    <s v="United Kingdom"/>
  </r>
  <r>
    <x v="913"/>
    <x v="710"/>
    <s v="CUST032502"/>
    <s v="Neha Joshi"/>
    <s v="Graphic Tablet"/>
    <x v="1"/>
    <x v="5"/>
    <n v="5"/>
    <n v="540.42999999999995"/>
    <n v="0"/>
    <n v="324.26"/>
    <n v="12.47"/>
    <n v="3038.88"/>
    <x v="3"/>
    <x v="0"/>
    <s v="Fort Worth"/>
    <s v="TX"/>
    <s v="United States"/>
  </r>
  <r>
    <x v="914"/>
    <x v="711"/>
    <s v="CUST013608"/>
    <s v="Vikas Reddy"/>
    <s v="Noise Cancelling Headphones"/>
    <x v="5"/>
    <x v="0"/>
    <n v="3"/>
    <n v="528.51"/>
    <n v="0.1"/>
    <n v="114.16"/>
    <n v="6.75"/>
    <n v="1547.89"/>
    <x v="2"/>
    <x v="0"/>
    <s v="San Jose"/>
    <s v="CA"/>
    <s v="United States"/>
  </r>
  <r>
    <x v="915"/>
    <x v="712"/>
    <s v="CUST005299"/>
    <s v="Pooja Verma"/>
    <s v="Mechanical Keyboard"/>
    <x v="4"/>
    <x v="4"/>
    <n v="1"/>
    <n v="154.47"/>
    <n v="0.05"/>
    <n v="11.74"/>
    <n v="3.54"/>
    <n v="162.03"/>
    <x v="3"/>
    <x v="2"/>
    <s v="San Jose"/>
    <s v="CA"/>
    <s v="United States"/>
  </r>
  <r>
    <x v="916"/>
    <x v="713"/>
    <s v="CUST026882"/>
    <s v="Karan Verma"/>
    <s v="Memory Card 128GB"/>
    <x v="2"/>
    <x v="0"/>
    <n v="1"/>
    <n v="536.38"/>
    <n v="0.1"/>
    <n v="86.89"/>
    <n v="9.49"/>
    <n v="579.12"/>
    <x v="3"/>
    <x v="0"/>
    <s v="Columbus"/>
    <s v="OH"/>
    <s v="United States"/>
  </r>
  <r>
    <x v="917"/>
    <x v="714"/>
    <s v="CUST027354"/>
    <s v="Karan Kapoor"/>
    <s v="Smart Light Bulb"/>
    <x v="1"/>
    <x v="0"/>
    <n v="1"/>
    <n v="576.5"/>
    <n v="0.1"/>
    <n v="62.26"/>
    <n v="10.88"/>
    <n v="591.99"/>
    <x v="4"/>
    <x v="3"/>
    <s v="New York"/>
    <s v="NY"/>
    <s v="Canada"/>
  </r>
  <r>
    <x v="918"/>
    <x v="661"/>
    <s v="CUST003379"/>
    <s v="Mohit Reddy"/>
    <s v="Instant Pot"/>
    <x v="0"/>
    <x v="5"/>
    <n v="5"/>
    <n v="82.39"/>
    <n v="0"/>
    <n v="20.6"/>
    <n v="12.4"/>
    <n v="444.95"/>
    <x v="1"/>
    <x v="0"/>
    <s v="Houston"/>
    <s v="TX"/>
    <s v="India"/>
  </r>
  <r>
    <x v="919"/>
    <x v="358"/>
    <s v="CUST031864"/>
    <s v="Priya Patel"/>
    <s v="Gaming Mouse"/>
    <x v="5"/>
    <x v="4"/>
    <n v="1"/>
    <n v="73.239999999999995"/>
    <n v="0.05"/>
    <n v="5.57"/>
    <n v="3.42"/>
    <n v="78.569999999999993"/>
    <x v="4"/>
    <x v="0"/>
    <s v="Seattle"/>
    <s v="WA"/>
    <s v="United Kingdom"/>
  </r>
  <r>
    <x v="920"/>
    <x v="715"/>
    <s v="CUST025864"/>
    <s v="Vihaan Verma"/>
    <s v="Webcam Full HD"/>
    <x v="5"/>
    <x v="8"/>
    <n v="4"/>
    <n v="103.58"/>
    <n v="0.1"/>
    <n v="18.64"/>
    <n v="8.36"/>
    <n v="399.89"/>
    <x v="4"/>
    <x v="0"/>
    <s v="Houston"/>
    <s v="TX"/>
    <s v="United States"/>
  </r>
  <r>
    <x v="921"/>
    <x v="716"/>
    <s v="CUST043295"/>
    <s v="Anjali Gupta"/>
    <s v="Yoga Mat"/>
    <x v="4"/>
    <x v="6"/>
    <n v="4"/>
    <n v="296.88"/>
    <n v="0.1"/>
    <n v="53.44"/>
    <n v="1.53"/>
    <n v="1123.74"/>
    <x v="1"/>
    <x v="0"/>
    <s v="Columbus"/>
    <s v="OH"/>
    <s v="Canada"/>
  </r>
  <r>
    <x v="922"/>
    <x v="448"/>
    <s v="CUST026151"/>
    <s v="Priya Joshi"/>
    <s v="Action Camera"/>
    <x v="5"/>
    <x v="2"/>
    <n v="3"/>
    <n v="32.54"/>
    <n v="0.1"/>
    <n v="0"/>
    <n v="12.4"/>
    <n v="100.26"/>
    <x v="4"/>
    <x v="0"/>
    <s v="Columbus"/>
    <s v="OH"/>
    <s v="United States"/>
  </r>
  <r>
    <x v="923"/>
    <x v="162"/>
    <s v="CUST042172"/>
    <s v="Kabir Mehta"/>
    <s v="4K Monitor"/>
    <x v="0"/>
    <x v="7"/>
    <n v="3"/>
    <n v="398.07"/>
    <n v="0.25"/>
    <n v="44.78"/>
    <n v="5.64"/>
    <n v="946.08"/>
    <x v="3"/>
    <x v="0"/>
    <s v="Denver"/>
    <s v="CO"/>
    <s v="United States"/>
  </r>
  <r>
    <x v="924"/>
    <x v="717"/>
    <s v="CUST043250"/>
    <s v="Mohit Joshi"/>
    <s v="Winter Jacket"/>
    <x v="1"/>
    <x v="0"/>
    <n v="5"/>
    <n v="372.64"/>
    <n v="0.3"/>
    <n v="104.34"/>
    <n v="6.33"/>
    <n v="1414.91"/>
    <x v="3"/>
    <x v="0"/>
    <s v="Austin"/>
    <s v="TX"/>
    <s v="United States"/>
  </r>
  <r>
    <x v="925"/>
    <x v="518"/>
    <s v="CUST034387"/>
    <s v="Vikas Joshi"/>
    <s v="Bluetooth Speaker"/>
    <x v="3"/>
    <x v="7"/>
    <n v="3"/>
    <n v="593.29"/>
    <n v="0.1"/>
    <n v="128.15"/>
    <n v="14.55"/>
    <n v="1744.58"/>
    <x v="3"/>
    <x v="0"/>
    <s v="Denver"/>
    <s v="CO"/>
    <s v="United States"/>
  </r>
  <r>
    <x v="926"/>
    <x v="718"/>
    <s v="CUST008848"/>
    <s v="Vivaan Patel"/>
    <s v="Fitness Band"/>
    <x v="1"/>
    <x v="7"/>
    <n v="2"/>
    <n v="586.9"/>
    <n v="0"/>
    <n v="58.69"/>
    <n v="2.33"/>
    <n v="1234.82"/>
    <x v="5"/>
    <x v="0"/>
    <s v="San Antonio"/>
    <s v="TX"/>
    <s v="United States"/>
  </r>
  <r>
    <x v="927"/>
    <x v="719"/>
    <s v="CUST043287"/>
    <s v="Kabir Mehta"/>
    <s v="Board Game"/>
    <x v="0"/>
    <x v="2"/>
    <n v="1"/>
    <n v="474.1"/>
    <n v="0.2"/>
    <n v="18.96"/>
    <n v="12.15"/>
    <n v="410.39"/>
    <x v="3"/>
    <x v="0"/>
    <s v="Los Angeles"/>
    <s v="CA"/>
    <s v="United States"/>
  </r>
  <r>
    <x v="928"/>
    <x v="720"/>
    <s v="CUST033163"/>
    <s v="Pooja Sharma"/>
    <s v="Webcam Full HD"/>
    <x v="0"/>
    <x v="3"/>
    <n v="4"/>
    <n v="95.55"/>
    <n v="0.1"/>
    <n v="17.2"/>
    <n v="5.86"/>
    <n v="367.04"/>
    <x v="3"/>
    <x v="0"/>
    <s v="Charlotte"/>
    <s v="NC"/>
    <s v="India"/>
  </r>
  <r>
    <x v="929"/>
    <x v="721"/>
    <s v="CUST033240"/>
    <s v="Aditya Mehta"/>
    <s v="Memory Card 128GB"/>
    <x v="4"/>
    <x v="1"/>
    <n v="2"/>
    <n v="236.84"/>
    <n v="0.25"/>
    <n v="28.42"/>
    <n v="9.26"/>
    <n v="392.94"/>
    <x v="0"/>
    <x v="2"/>
    <s v="Chicago"/>
    <s v="IL"/>
    <s v="United States"/>
  </r>
  <r>
    <x v="930"/>
    <x v="722"/>
    <s v="CUST030073"/>
    <s v="Vikas Reddy"/>
    <s v="Office Chair"/>
    <x v="5"/>
    <x v="1"/>
    <n v="5"/>
    <n v="549.70000000000005"/>
    <n v="0.05"/>
    <n v="130.55000000000001"/>
    <n v="4.1900000000000004"/>
    <n v="2745.82"/>
    <x v="1"/>
    <x v="0"/>
    <s v="Denver"/>
    <s v="CO"/>
    <s v="United States"/>
  </r>
  <r>
    <x v="931"/>
    <x v="723"/>
    <s v="CUST009910"/>
    <s v="Mohit Sharma"/>
    <s v="Children's Book"/>
    <x v="4"/>
    <x v="6"/>
    <n v="5"/>
    <n v="62.9"/>
    <n v="0.1"/>
    <n v="33.97"/>
    <n v="7.71"/>
    <n v="324.73"/>
    <x v="3"/>
    <x v="0"/>
    <s v="Indianapolis"/>
    <s v="IN"/>
    <s v="United States"/>
  </r>
  <r>
    <x v="932"/>
    <x v="583"/>
    <s v="CUST046026"/>
    <s v="Arjun Kapoor"/>
    <s v="Drone Mini"/>
    <x v="0"/>
    <x v="9"/>
    <n v="1"/>
    <n v="325.77"/>
    <n v="0.15"/>
    <n v="33.229999999999997"/>
    <n v="6.01"/>
    <n v="316.14"/>
    <x v="3"/>
    <x v="0"/>
    <s v="San Jose"/>
    <s v="CA"/>
    <s v="India"/>
  </r>
  <r>
    <x v="933"/>
    <x v="292"/>
    <s v="CUST013637"/>
    <s v="Simran Sharma"/>
    <s v="Projector Mini"/>
    <x v="0"/>
    <x v="7"/>
    <n v="3"/>
    <n v="433.01"/>
    <n v="0.15"/>
    <n v="55.21"/>
    <n v="3.77"/>
    <n v="1163.1600000000001"/>
    <x v="1"/>
    <x v="0"/>
    <s v="San Francisco"/>
    <s v="CA"/>
    <s v="United States"/>
  </r>
  <r>
    <x v="934"/>
    <x v="724"/>
    <s v="CUST004153"/>
    <s v="Arjun Verma"/>
    <s v="Mechanical Keyboard"/>
    <x v="5"/>
    <x v="4"/>
    <n v="2"/>
    <n v="85.61"/>
    <n v="0"/>
    <n v="20.55"/>
    <n v="13.9"/>
    <n v="205.67"/>
    <x v="1"/>
    <x v="0"/>
    <s v="Chicago"/>
    <s v="IL"/>
    <s v="United Kingdom"/>
  </r>
  <r>
    <x v="935"/>
    <x v="725"/>
    <s v="CUST031898"/>
    <s v="Sneha Patel"/>
    <s v="Cookware Set"/>
    <x v="5"/>
    <x v="8"/>
    <n v="3"/>
    <n v="472.98"/>
    <n v="0.1"/>
    <n v="63.85"/>
    <n v="10.51"/>
    <n v="1351.41"/>
    <x v="3"/>
    <x v="0"/>
    <s v="San Jose"/>
    <s v="CA"/>
    <s v="United States"/>
  </r>
  <r>
    <x v="936"/>
    <x v="726"/>
    <s v="CUST015964"/>
    <s v="Vikas Mehta"/>
    <s v="Smartphone Case"/>
    <x v="5"/>
    <x v="4"/>
    <n v="2"/>
    <n v="211.1"/>
    <n v="0.05"/>
    <n v="20.05"/>
    <n v="2.83"/>
    <n v="423.97"/>
    <x v="3"/>
    <x v="0"/>
    <s v="Chicago"/>
    <s v="IL"/>
    <s v="United States"/>
  </r>
  <r>
    <x v="937"/>
    <x v="727"/>
    <s v="CUST025040"/>
    <s v="Ritika Sharma"/>
    <s v="Noise Cancelling Headphones"/>
    <x v="2"/>
    <x v="6"/>
    <n v="1"/>
    <n v="218.69"/>
    <n v="0.25"/>
    <n v="13.12"/>
    <n v="4.75"/>
    <n v="181.89"/>
    <x v="3"/>
    <x v="3"/>
    <s v="San Antonio"/>
    <s v="TX"/>
    <s v="United States"/>
  </r>
  <r>
    <x v="938"/>
    <x v="728"/>
    <s v="CUST016986"/>
    <s v="Kabir Singh"/>
    <s v="External HDD 2TB"/>
    <x v="1"/>
    <x v="5"/>
    <n v="5"/>
    <n v="526.08000000000004"/>
    <n v="0.15"/>
    <n v="0"/>
    <n v="8.1199999999999992"/>
    <n v="2243.96"/>
    <x v="3"/>
    <x v="3"/>
    <s v="Denver"/>
    <s v="CO"/>
    <s v="United States"/>
  </r>
  <r>
    <x v="939"/>
    <x v="167"/>
    <s v="CUST037380"/>
    <s v="Simran Patel"/>
    <s v="Phone Tripod"/>
    <x v="2"/>
    <x v="5"/>
    <n v="5"/>
    <n v="162.19999999999999"/>
    <n v="0.05"/>
    <n v="0"/>
    <n v="13.53"/>
    <n v="783.98"/>
    <x v="5"/>
    <x v="0"/>
    <s v="Phoenix"/>
    <s v="AZ"/>
    <s v="India"/>
  </r>
  <r>
    <x v="940"/>
    <x v="729"/>
    <s v="CUST035549"/>
    <s v="Vikas Joshi"/>
    <s v="HDMI Cable 2m"/>
    <x v="3"/>
    <x v="1"/>
    <n v="1"/>
    <n v="160.53"/>
    <n v="0"/>
    <n v="12.84"/>
    <n v="14.07"/>
    <n v="187.44"/>
    <x v="5"/>
    <x v="3"/>
    <s v="Denver"/>
    <s v="CO"/>
    <s v="United Kingdom"/>
  </r>
  <r>
    <x v="941"/>
    <x v="173"/>
    <s v="CUST023184"/>
    <s v="Aditya Kapoor"/>
    <s v="Yoga Mat"/>
    <x v="0"/>
    <x v="1"/>
    <n v="5"/>
    <n v="434.27"/>
    <n v="0.2"/>
    <n v="0"/>
    <n v="9.69"/>
    <n v="1746.77"/>
    <x v="0"/>
    <x v="0"/>
    <s v="Phoenix"/>
    <s v="AZ"/>
    <s v="United Kingdom"/>
  </r>
  <r>
    <x v="942"/>
    <x v="268"/>
    <s v="CUST049174"/>
    <s v="Arjun Reddy"/>
    <s v="Desk Organizer"/>
    <x v="0"/>
    <x v="1"/>
    <n v="5"/>
    <n v="70.27"/>
    <n v="0.1"/>
    <n v="15.81"/>
    <n v="6.23"/>
    <n v="338.26"/>
    <x v="3"/>
    <x v="0"/>
    <s v="Washington"/>
    <s v="DC"/>
    <s v="United States"/>
  </r>
  <r>
    <x v="943"/>
    <x v="730"/>
    <s v="CUST029376"/>
    <s v="Vikas Mehta"/>
    <s v="Kids Toy Car"/>
    <x v="4"/>
    <x v="8"/>
    <n v="4"/>
    <n v="493.36"/>
    <n v="0.15"/>
    <n v="83.87"/>
    <n v="9.56"/>
    <n v="1770.85"/>
    <x v="5"/>
    <x v="0"/>
    <s v="San Francisco"/>
    <s v="CA"/>
    <s v="United States"/>
  </r>
  <r>
    <x v="944"/>
    <x v="312"/>
    <s v="CUST029579"/>
    <s v="Anjali Gupta"/>
    <s v="Noise Cancelling Headphones"/>
    <x v="5"/>
    <x v="0"/>
    <n v="3"/>
    <n v="321.52"/>
    <n v="0"/>
    <n v="115.75"/>
    <n v="8.6300000000000008"/>
    <n v="1088.94"/>
    <x v="5"/>
    <x v="0"/>
    <s v="Fort Worth"/>
    <s v="TX"/>
    <s v="United States"/>
  </r>
  <r>
    <x v="945"/>
    <x v="41"/>
    <s v="CUST018858"/>
    <s v="Sneha Verma"/>
    <s v="Novel Bestseller"/>
    <x v="4"/>
    <x v="9"/>
    <n v="1"/>
    <n v="233.92"/>
    <n v="0"/>
    <n v="28.07"/>
    <n v="6.1"/>
    <n v="268.08999999999997"/>
    <x v="1"/>
    <x v="0"/>
    <s v="Houston"/>
    <s v="TX"/>
    <s v="Australia"/>
  </r>
  <r>
    <x v="946"/>
    <x v="251"/>
    <s v="CUST007407"/>
    <s v="Aarav Singh"/>
    <s v="LED Desk Lamp"/>
    <x v="1"/>
    <x v="8"/>
    <n v="3"/>
    <n v="452.94"/>
    <n v="0.05"/>
    <n v="64.540000000000006"/>
    <n v="5.36"/>
    <n v="1360.78"/>
    <x v="3"/>
    <x v="0"/>
    <s v="Houston"/>
    <s v="TX"/>
    <s v="United States"/>
  </r>
  <r>
    <x v="947"/>
    <x v="731"/>
    <s v="CUST030037"/>
    <s v="Neha Reddy"/>
    <s v="Office Chair"/>
    <x v="0"/>
    <x v="7"/>
    <n v="5"/>
    <n v="104.94"/>
    <n v="0"/>
    <n v="26.24"/>
    <n v="7.71"/>
    <n v="558.65"/>
    <x v="0"/>
    <x v="1"/>
    <s v="Washington"/>
    <s v="DC"/>
    <s v="India"/>
  </r>
  <r>
    <x v="948"/>
    <x v="453"/>
    <s v="CUST040999"/>
    <s v="Sunita Reddy"/>
    <s v="Office Chair"/>
    <x v="0"/>
    <x v="0"/>
    <n v="3"/>
    <n v="469.04"/>
    <n v="0.1"/>
    <n v="63.32"/>
    <n v="7.86"/>
    <n v="1337.59"/>
    <x v="0"/>
    <x v="0"/>
    <s v="Indianapolis"/>
    <s v="IN"/>
    <s v="United States"/>
  </r>
  <r>
    <x v="949"/>
    <x v="375"/>
    <s v="CUST020213"/>
    <s v="Vihaan Gupta"/>
    <s v="Projector Mini"/>
    <x v="0"/>
    <x v="2"/>
    <n v="1"/>
    <n v="499.05"/>
    <n v="0.3"/>
    <n v="62.88"/>
    <n v="6.73"/>
    <n v="418.94"/>
    <x v="0"/>
    <x v="0"/>
    <s v="Denver"/>
    <s v="CO"/>
    <s v="United States"/>
  </r>
  <r>
    <x v="950"/>
    <x v="650"/>
    <s v="CUST045999"/>
    <s v="Pooja Joshi"/>
    <s v="External HDD 2TB"/>
    <x v="1"/>
    <x v="4"/>
    <n v="3"/>
    <n v="388.75"/>
    <n v="0"/>
    <n v="139.94999999999999"/>
    <n v="4.57"/>
    <n v="1310.77"/>
    <x v="4"/>
    <x v="0"/>
    <s v="Washington"/>
    <s v="DC"/>
    <s v="United States"/>
  </r>
  <r>
    <x v="951"/>
    <x v="712"/>
    <s v="CUST024214"/>
    <s v="Rohit Kapoor"/>
    <s v="External HDD 2TB"/>
    <x v="4"/>
    <x v="7"/>
    <n v="1"/>
    <n v="297.12"/>
    <n v="0"/>
    <n v="14.86"/>
    <n v="6.85"/>
    <n v="318.83"/>
    <x v="1"/>
    <x v="2"/>
    <s v="Charlotte"/>
    <s v="NC"/>
    <s v="United States"/>
  </r>
  <r>
    <x v="952"/>
    <x v="732"/>
    <s v="CUST008222"/>
    <s v="Priya Joshi"/>
    <s v="Memory Card 128GB"/>
    <x v="5"/>
    <x v="0"/>
    <n v="1"/>
    <n v="237.09"/>
    <n v="0"/>
    <n v="28.45"/>
    <n v="10.17"/>
    <n v="275.70999999999998"/>
    <x v="0"/>
    <x v="0"/>
    <s v="New York"/>
    <s v="NY"/>
    <s v="United States"/>
  </r>
  <r>
    <x v="953"/>
    <x v="733"/>
    <s v="CUST023966"/>
    <s v="Rohit Verma"/>
    <s v="Webcam Full HD"/>
    <x v="2"/>
    <x v="1"/>
    <n v="4"/>
    <n v="234.69"/>
    <n v="0"/>
    <n v="46.94"/>
    <n v="4.8"/>
    <n v="990.5"/>
    <x v="4"/>
    <x v="3"/>
    <s v="San Antonio"/>
    <s v="TX"/>
    <s v="Australia"/>
  </r>
  <r>
    <x v="954"/>
    <x v="734"/>
    <s v="CUST002209"/>
    <s v="Arjun Verma"/>
    <s v="Novel Bestseller"/>
    <x v="3"/>
    <x v="6"/>
    <n v="4"/>
    <n v="288.5"/>
    <n v="0.1"/>
    <n v="124.63"/>
    <n v="9.8699999999999992"/>
    <n v="1173.0999999999999"/>
    <x v="2"/>
    <x v="2"/>
    <s v="San Diego"/>
    <s v="CA"/>
    <s v="United States"/>
  </r>
  <r>
    <x v="955"/>
    <x v="735"/>
    <s v="CUST033384"/>
    <s v="Simran Singh"/>
    <s v="Gaming Mouse"/>
    <x v="4"/>
    <x v="9"/>
    <n v="3"/>
    <n v="205.31"/>
    <n v="0"/>
    <n v="73.91"/>
    <n v="11.44"/>
    <n v="701.28"/>
    <x v="3"/>
    <x v="0"/>
    <s v="San Antonio"/>
    <s v="TX"/>
    <s v="United States"/>
  </r>
  <r>
    <x v="956"/>
    <x v="491"/>
    <s v="CUST038558"/>
    <s v="Simran Verma"/>
    <s v="Smart Light Bulb"/>
    <x v="0"/>
    <x v="8"/>
    <n v="3"/>
    <n v="151.82"/>
    <n v="0.15"/>
    <n v="0"/>
    <n v="5.61"/>
    <n v="392.75"/>
    <x v="3"/>
    <x v="0"/>
    <s v="New York"/>
    <s v="NY"/>
    <s v="United States"/>
  </r>
  <r>
    <x v="957"/>
    <x v="600"/>
    <s v="CUST026933"/>
    <s v="Anjali Patel"/>
    <s v="Wireless Earbuds"/>
    <x v="4"/>
    <x v="7"/>
    <n v="2"/>
    <n v="306.14999999999998"/>
    <n v="0.05"/>
    <n v="46.53"/>
    <n v="13.86"/>
    <n v="642.07000000000005"/>
    <x v="0"/>
    <x v="0"/>
    <s v="Chicago"/>
    <s v="IL"/>
    <s v="United States"/>
  </r>
  <r>
    <x v="958"/>
    <x v="736"/>
    <s v="CUST022426"/>
    <s v="Aditya Reddy"/>
    <s v="Backpack"/>
    <x v="0"/>
    <x v="7"/>
    <n v="4"/>
    <n v="31.14"/>
    <n v="0"/>
    <n v="0"/>
    <n v="10.01"/>
    <n v="134.57"/>
    <x v="3"/>
    <x v="4"/>
    <s v="San Francisco"/>
    <s v="CA"/>
    <s v="United States"/>
  </r>
  <r>
    <x v="959"/>
    <x v="642"/>
    <s v="CUST002182"/>
    <s v="Sahil Gupta"/>
    <s v="Laptop Sleeve"/>
    <x v="2"/>
    <x v="5"/>
    <n v="4"/>
    <n v="147.12"/>
    <n v="0.2"/>
    <n v="23.54"/>
    <n v="3.99"/>
    <n v="498.31"/>
    <x v="5"/>
    <x v="0"/>
    <s v="New York"/>
    <s v="NY"/>
    <s v="United States"/>
  </r>
  <r>
    <x v="960"/>
    <x v="737"/>
    <s v="CUST020408"/>
    <s v="Priya Singh"/>
    <s v="Action Camera"/>
    <x v="5"/>
    <x v="5"/>
    <n v="3"/>
    <n v="416.67"/>
    <n v="0.1"/>
    <n v="56.25"/>
    <n v="11.92"/>
    <n v="1193.18"/>
    <x v="4"/>
    <x v="3"/>
    <s v="Seattle"/>
    <s v="WA"/>
    <s v="United States"/>
  </r>
  <r>
    <x v="961"/>
    <x v="738"/>
    <s v="CUST012324"/>
    <s v="Mohit Patel"/>
    <s v="Dress Shirt"/>
    <x v="1"/>
    <x v="3"/>
    <n v="4"/>
    <n v="371.94"/>
    <n v="0"/>
    <n v="74.39"/>
    <n v="5.94"/>
    <n v="1568.09"/>
    <x v="1"/>
    <x v="0"/>
    <s v="Indianapolis"/>
    <s v="IN"/>
    <s v="United States"/>
  </r>
  <r>
    <x v="962"/>
    <x v="702"/>
    <s v="CUST045887"/>
    <s v="Aman Kumar"/>
    <s v="Mechanical Keyboard"/>
    <x v="5"/>
    <x v="3"/>
    <n v="1"/>
    <n v="453.85"/>
    <n v="0.2"/>
    <n v="43.57"/>
    <n v="2"/>
    <n v="408.65"/>
    <x v="5"/>
    <x v="3"/>
    <s v="San Antonio"/>
    <s v="TX"/>
    <s v="United States"/>
  </r>
  <r>
    <x v="963"/>
    <x v="739"/>
    <s v="CUST040761"/>
    <s v="Vihaan Kumar"/>
    <s v="Desk Plant"/>
    <x v="4"/>
    <x v="0"/>
    <n v="4"/>
    <n v="530.36"/>
    <n v="0.2"/>
    <n v="84.86"/>
    <n v="10.1"/>
    <n v="1792.11"/>
    <x v="0"/>
    <x v="0"/>
    <s v="Columbus"/>
    <s v="OH"/>
    <s v="United States"/>
  </r>
  <r>
    <x v="964"/>
    <x v="740"/>
    <s v="CUST032848"/>
    <s v="Arjun Kumar"/>
    <s v="Drone Mini"/>
    <x v="3"/>
    <x v="9"/>
    <n v="4"/>
    <n v="299.77"/>
    <n v="0.15"/>
    <n v="50.96"/>
    <n v="13.65"/>
    <n v="1083.83"/>
    <x v="3"/>
    <x v="0"/>
    <s v="Charlotte"/>
    <s v="NC"/>
    <s v="United States"/>
  </r>
  <r>
    <x v="965"/>
    <x v="564"/>
    <s v="CUST029456"/>
    <s v="Neha Sharma"/>
    <s v="Smartwatch"/>
    <x v="3"/>
    <x v="3"/>
    <n v="1"/>
    <n v="273.77999999999997"/>
    <n v="0.05"/>
    <n v="20.81"/>
    <n v="11.19"/>
    <n v="292.08999999999997"/>
    <x v="1"/>
    <x v="3"/>
    <s v="San Antonio"/>
    <s v="TX"/>
    <s v="United States"/>
  </r>
  <r>
    <x v="966"/>
    <x v="741"/>
    <s v="CUST044968"/>
    <s v="Vikas Reddy"/>
    <s v="External HDD 2TB"/>
    <x v="3"/>
    <x v="6"/>
    <n v="1"/>
    <n v="516.11"/>
    <n v="0"/>
    <n v="25.81"/>
    <n v="5.39"/>
    <n v="547.30999999999995"/>
    <x v="1"/>
    <x v="0"/>
    <s v="Indianapolis"/>
    <s v="IN"/>
    <s v="United States"/>
  </r>
  <r>
    <x v="967"/>
    <x v="429"/>
    <s v="CUST029109"/>
    <s v="Ritika Patel"/>
    <s v="Yoga Mat"/>
    <x v="0"/>
    <x v="9"/>
    <n v="4"/>
    <n v="278"/>
    <n v="0.2"/>
    <n v="71.17"/>
    <n v="13.7"/>
    <n v="974.47"/>
    <x v="4"/>
    <x v="3"/>
    <s v="Los Angeles"/>
    <s v="CA"/>
    <s v="United States"/>
  </r>
  <r>
    <x v="968"/>
    <x v="415"/>
    <s v="CUST039899"/>
    <s v="Simran Reddy"/>
    <s v="Power Bank 20000mAh"/>
    <x v="5"/>
    <x v="7"/>
    <n v="2"/>
    <n v="466.37"/>
    <n v="0.1"/>
    <n v="67.16"/>
    <n v="6.31"/>
    <n v="912.94"/>
    <x v="1"/>
    <x v="0"/>
    <s v="Indianapolis"/>
    <s v="IN"/>
    <s v="United States"/>
  </r>
  <r>
    <x v="969"/>
    <x v="742"/>
    <s v="CUST021624"/>
    <s v="Arjun Kapoor"/>
    <s v="Vacuum Cleaner"/>
    <x v="0"/>
    <x v="9"/>
    <n v="3"/>
    <n v="198.44"/>
    <n v="0"/>
    <n v="47.63"/>
    <n v="10.1"/>
    <n v="653.04999999999995"/>
    <x v="3"/>
    <x v="0"/>
    <s v="Los Angeles"/>
    <s v="CA"/>
    <s v="United Kingdom"/>
  </r>
  <r>
    <x v="970"/>
    <x v="88"/>
    <s v="CUST045461"/>
    <s v="Aditya Verma"/>
    <s v="Webcam Full HD"/>
    <x v="4"/>
    <x v="9"/>
    <n v="1"/>
    <n v="566.76"/>
    <n v="0"/>
    <n v="68.010000000000005"/>
    <n v="12.09"/>
    <n v="646.86"/>
    <x v="3"/>
    <x v="3"/>
    <s v="Fort Worth"/>
    <s v="TX"/>
    <s v="United States"/>
  </r>
  <r>
    <x v="971"/>
    <x v="743"/>
    <s v="CUST012521"/>
    <s v="Priya Mehta"/>
    <s v="Router"/>
    <x v="5"/>
    <x v="5"/>
    <n v="4"/>
    <n v="578.16999999999996"/>
    <n v="0"/>
    <n v="115.63"/>
    <n v="0.88"/>
    <n v="2429.19"/>
    <x v="3"/>
    <x v="0"/>
    <s v="San Jose"/>
    <s v="CA"/>
    <s v="India"/>
  </r>
  <r>
    <x v="972"/>
    <x v="744"/>
    <s v="CUST000447"/>
    <s v="Neha Reddy"/>
    <s v="USB-C Charger"/>
    <x v="1"/>
    <x v="7"/>
    <n v="5"/>
    <n v="440.1"/>
    <n v="0.25"/>
    <n v="198.04"/>
    <n v="0.63"/>
    <n v="1849.04"/>
    <x v="1"/>
    <x v="0"/>
    <s v="Phoenix"/>
    <s v="AZ"/>
    <s v="United Kingdom"/>
  </r>
  <r>
    <x v="973"/>
    <x v="303"/>
    <s v="CUST031147"/>
    <s v="Karan Mehta"/>
    <s v="Running Shoes"/>
    <x v="5"/>
    <x v="3"/>
    <n v="2"/>
    <n v="464.64"/>
    <n v="0.05"/>
    <n v="0"/>
    <n v="4.32"/>
    <n v="887.14"/>
    <x v="5"/>
    <x v="3"/>
    <s v="Philadelphia"/>
    <s v="PA"/>
    <s v="United States"/>
  </r>
  <r>
    <x v="974"/>
    <x v="479"/>
    <s v="CUST013256"/>
    <s v="Ritika Verma"/>
    <s v="Microphone"/>
    <x v="4"/>
    <x v="8"/>
    <n v="3"/>
    <n v="232.1"/>
    <n v="0.2"/>
    <n v="27.85"/>
    <n v="7.52"/>
    <n v="592.41"/>
    <x v="4"/>
    <x v="0"/>
    <s v="San Jose"/>
    <s v="CA"/>
    <s v="United States"/>
  </r>
  <r>
    <x v="975"/>
    <x v="427"/>
    <s v="CUST025628"/>
    <s v="Arjun Patel"/>
    <s v="Novel Bestseller"/>
    <x v="3"/>
    <x v="3"/>
    <n v="2"/>
    <n v="309.22000000000003"/>
    <n v="0"/>
    <n v="30.92"/>
    <n v="1.17"/>
    <n v="650.53"/>
    <x v="4"/>
    <x v="0"/>
    <s v="Chicago"/>
    <s v="IL"/>
    <s v="United States"/>
  </r>
  <r>
    <x v="976"/>
    <x v="745"/>
    <s v="CUST038189"/>
    <s v="Aditya Joshi"/>
    <s v="Wireless Charger"/>
    <x v="5"/>
    <x v="7"/>
    <n v="1"/>
    <n v="452.51"/>
    <n v="0.2"/>
    <n v="28.96"/>
    <n v="13.73"/>
    <n v="404.7"/>
    <x v="0"/>
    <x v="3"/>
    <s v="Fort Worth"/>
    <s v="TX"/>
    <s v="Australia"/>
  </r>
  <r>
    <x v="977"/>
    <x v="207"/>
    <s v="CUST009786"/>
    <s v="Simran Reddy"/>
    <s v="Vacuum Cleaner"/>
    <x v="1"/>
    <x v="6"/>
    <n v="1"/>
    <n v="332.74"/>
    <n v="0"/>
    <n v="39.93"/>
    <n v="7.2"/>
    <n v="379.87"/>
    <x v="0"/>
    <x v="4"/>
    <s v="Jacksonville"/>
    <s v="FL"/>
    <s v="United States"/>
  </r>
  <r>
    <x v="978"/>
    <x v="746"/>
    <s v="CUST033747"/>
    <s v="Vikas Singh"/>
    <s v="Water Bottle"/>
    <x v="5"/>
    <x v="7"/>
    <n v="3"/>
    <n v="449.66"/>
    <n v="0"/>
    <n v="107.92"/>
    <n v="0.12"/>
    <n v="1457.02"/>
    <x v="3"/>
    <x v="0"/>
    <s v="San Diego"/>
    <s v="CA"/>
    <s v="United States"/>
  </r>
  <r>
    <x v="979"/>
    <x v="5"/>
    <s v="CUST032797"/>
    <s v="Sahil Kapoor"/>
    <s v="Fitness Band"/>
    <x v="3"/>
    <x v="3"/>
    <n v="4"/>
    <n v="402.24"/>
    <n v="0"/>
    <n v="128.72"/>
    <n v="1.27"/>
    <n v="1738.95"/>
    <x v="3"/>
    <x v="0"/>
    <s v="Columbus"/>
    <s v="OH"/>
    <s v="United States"/>
  </r>
  <r>
    <x v="980"/>
    <x v="747"/>
    <s v="CUST018809"/>
    <s v="Mohit Singh"/>
    <s v="Kids Toy Car"/>
    <x v="5"/>
    <x v="0"/>
    <n v="1"/>
    <n v="210.25"/>
    <n v="0"/>
    <n v="10.51"/>
    <n v="1.21"/>
    <n v="221.97"/>
    <x v="5"/>
    <x v="0"/>
    <s v="San Diego"/>
    <s v="CA"/>
    <s v="United Kingdom"/>
  </r>
  <r>
    <x v="981"/>
    <x v="488"/>
    <s v="CUST018358"/>
    <s v="Karan Reddy"/>
    <s v="T-Shirt"/>
    <x v="1"/>
    <x v="7"/>
    <n v="5"/>
    <n v="176.23"/>
    <n v="0"/>
    <n v="105.74"/>
    <n v="9.8800000000000008"/>
    <n v="996.77"/>
    <x v="1"/>
    <x v="3"/>
    <s v="Seattle"/>
    <s v="WA"/>
    <s v="Canada"/>
  </r>
  <r>
    <x v="982"/>
    <x v="748"/>
    <s v="CUST027961"/>
    <s v="Vivaan Verma"/>
    <s v="Running Shoes"/>
    <x v="4"/>
    <x v="7"/>
    <n v="5"/>
    <n v="504.78"/>
    <n v="0"/>
    <n v="201.91"/>
    <n v="3.27"/>
    <n v="2729.08"/>
    <x v="5"/>
    <x v="0"/>
    <s v="Houston"/>
    <s v="TX"/>
    <s v="United States"/>
  </r>
  <r>
    <x v="983"/>
    <x v="749"/>
    <s v="CUST016417"/>
    <s v="Aman Singh"/>
    <s v="T-Shirt"/>
    <x v="4"/>
    <x v="4"/>
    <n v="4"/>
    <n v="214.2"/>
    <n v="0"/>
    <n v="102.82"/>
    <n v="9.9600000000000009"/>
    <n v="969.58"/>
    <x v="4"/>
    <x v="0"/>
    <s v="Dallas"/>
    <s v="TX"/>
    <s v="India"/>
  </r>
  <r>
    <x v="984"/>
    <x v="354"/>
    <s v="CUST005056"/>
    <s v="Priya Singh"/>
    <s v="Portable SSD 1TB"/>
    <x v="1"/>
    <x v="4"/>
    <n v="5"/>
    <n v="574.23"/>
    <n v="0"/>
    <n v="229.69"/>
    <n v="8.39"/>
    <n v="3109.23"/>
    <x v="3"/>
    <x v="0"/>
    <s v="Washington"/>
    <s v="DC"/>
    <s v="United States"/>
  </r>
  <r>
    <x v="985"/>
    <x v="750"/>
    <s v="CUST035716"/>
    <s v="Mohit Patel"/>
    <s v="Gaming Mouse"/>
    <x v="1"/>
    <x v="7"/>
    <n v="5"/>
    <n v="94.26"/>
    <n v="0.05"/>
    <n v="0"/>
    <n v="11.49"/>
    <n v="459.22"/>
    <x v="3"/>
    <x v="3"/>
    <s v="Columbus"/>
    <s v="OH"/>
    <s v="United States"/>
  </r>
  <r>
    <x v="986"/>
    <x v="733"/>
    <s v="CUST040437"/>
    <s v="Sneha Patel"/>
    <s v="Mechanical Keyboard"/>
    <x v="1"/>
    <x v="9"/>
    <n v="2"/>
    <n v="518.37"/>
    <n v="0"/>
    <n v="124.41"/>
    <n v="4.05"/>
    <n v="1165.2"/>
    <x v="1"/>
    <x v="0"/>
    <s v="Indianapolis"/>
    <s v="IN"/>
    <s v="United States"/>
  </r>
  <r>
    <x v="987"/>
    <x v="751"/>
    <s v="CUST009488"/>
    <s v="Aman Gupta"/>
    <s v="Air Fryer"/>
    <x v="5"/>
    <x v="2"/>
    <n v="2"/>
    <n v="427.16"/>
    <n v="0"/>
    <n v="102.52"/>
    <n v="4.1500000000000004"/>
    <n v="960.99"/>
    <x v="5"/>
    <x v="0"/>
    <s v="Fort Worth"/>
    <s v="TX"/>
    <s v="Australia"/>
  </r>
  <r>
    <x v="988"/>
    <x v="752"/>
    <s v="CUST018933"/>
    <s v="Aditya Gupta"/>
    <s v="Smartwatch"/>
    <x v="5"/>
    <x v="9"/>
    <n v="5"/>
    <n v="498.31"/>
    <n v="0"/>
    <n v="199.32"/>
    <n v="12.95"/>
    <n v="2703.82"/>
    <x v="4"/>
    <x v="0"/>
    <s v="Dallas"/>
    <s v="TX"/>
    <s v="United States"/>
  </r>
  <r>
    <x v="989"/>
    <x v="440"/>
    <s v="CUST041859"/>
    <s v="Rohit Reddy"/>
    <s v="Wireless Charger"/>
    <x v="2"/>
    <x v="5"/>
    <n v="5"/>
    <n v="525.02"/>
    <n v="0.15"/>
    <n v="178.51"/>
    <n v="4.3899999999999997"/>
    <n v="2414.2399999999998"/>
    <x v="1"/>
    <x v="0"/>
    <s v="San Diego"/>
    <s v="CA"/>
    <s v="Australia"/>
  </r>
  <r>
    <x v="990"/>
    <x v="753"/>
    <s v="CUST004799"/>
    <s v="Pooja Singh"/>
    <s v="Running Shoes"/>
    <x v="0"/>
    <x v="8"/>
    <n v="5"/>
    <n v="240.73"/>
    <n v="0.15"/>
    <n v="81.849999999999994"/>
    <n v="6.73"/>
    <n v="1111.68"/>
    <x v="1"/>
    <x v="0"/>
    <s v="San Francisco"/>
    <s v="CA"/>
    <s v="United States"/>
  </r>
  <r>
    <x v="991"/>
    <x v="754"/>
    <s v="CUST018326"/>
    <s v="Priya Kapoor"/>
    <s v="Cookware Set"/>
    <x v="1"/>
    <x v="9"/>
    <n v="5"/>
    <n v="219.88"/>
    <n v="0.05"/>
    <n v="52.22"/>
    <n v="14.84"/>
    <n v="1111.49"/>
    <x v="3"/>
    <x v="0"/>
    <s v="San Diego"/>
    <s v="CA"/>
    <s v="United States"/>
  </r>
  <r>
    <x v="992"/>
    <x v="755"/>
    <s v="CUST011346"/>
    <s v="Sahil Verma"/>
    <s v="External HDD 2TB"/>
    <x v="5"/>
    <x v="6"/>
    <n v="1"/>
    <n v="202.33"/>
    <n v="0"/>
    <n v="10.119999999999999"/>
    <n v="9.1"/>
    <n v="221.55"/>
    <x v="0"/>
    <x v="0"/>
    <s v="San Diego"/>
    <s v="CA"/>
    <s v="India"/>
  </r>
  <r>
    <x v="993"/>
    <x v="182"/>
    <s v="CUST043616"/>
    <s v="Aman Singh"/>
    <s v="Smartwatch"/>
    <x v="1"/>
    <x v="7"/>
    <n v="4"/>
    <n v="327.29000000000002"/>
    <n v="0.1"/>
    <n v="0"/>
    <n v="1.04"/>
    <n v="1179.28"/>
    <x v="3"/>
    <x v="0"/>
    <s v="Charlotte"/>
    <s v="NC"/>
    <s v="United States"/>
  </r>
  <r>
    <x v="994"/>
    <x v="756"/>
    <s v="CUST003218"/>
    <s v="Ritika Kapoor"/>
    <s v="Webcam Full HD"/>
    <x v="5"/>
    <x v="6"/>
    <n v="1"/>
    <n v="28.68"/>
    <n v="0"/>
    <n v="2.29"/>
    <n v="4.46"/>
    <n v="35.43"/>
    <x v="1"/>
    <x v="0"/>
    <s v="Phoenix"/>
    <s v="AZ"/>
    <s v="United States"/>
  </r>
  <r>
    <x v="995"/>
    <x v="264"/>
    <s v="CUST023097"/>
    <s v="Arjun Singh"/>
    <s v="Projector Mini"/>
    <x v="2"/>
    <x v="2"/>
    <n v="3"/>
    <n v="205.85"/>
    <n v="0.05"/>
    <n v="46.93"/>
    <n v="4.1100000000000003"/>
    <n v="637.71"/>
    <x v="3"/>
    <x v="0"/>
    <s v="Denver"/>
    <s v="CO"/>
    <s v="United States"/>
  </r>
  <r>
    <x v="996"/>
    <x v="301"/>
    <s v="CUST029402"/>
    <s v="Kabir Kapoor"/>
    <s v="USB-C Charger"/>
    <x v="1"/>
    <x v="2"/>
    <n v="3"/>
    <n v="354.79"/>
    <n v="0"/>
    <n v="127.72"/>
    <n v="6.11"/>
    <n v="1198.2"/>
    <x v="3"/>
    <x v="0"/>
    <s v="Denver"/>
    <s v="CO"/>
    <s v="United States"/>
  </r>
  <r>
    <x v="997"/>
    <x v="164"/>
    <s v="CUST044953"/>
    <s v="Anjali Kapoor"/>
    <s v="Office Chair"/>
    <x v="2"/>
    <x v="2"/>
    <n v="4"/>
    <n v="468.74"/>
    <n v="0.05"/>
    <n v="320.62"/>
    <n v="1.2"/>
    <n v="2103.0300000000002"/>
    <x v="5"/>
    <x v="0"/>
    <s v="Austin"/>
    <s v="TX"/>
    <s v="United States"/>
  </r>
  <r>
    <x v="998"/>
    <x v="757"/>
    <s v="CUST039196"/>
    <s v="Vivaan Sharma"/>
    <s v="Instant Pot"/>
    <x v="1"/>
    <x v="3"/>
    <n v="4"/>
    <n v="44.82"/>
    <n v="0.05"/>
    <n v="13.63"/>
    <n v="0.53"/>
    <n v="184.48"/>
    <x v="4"/>
    <x v="4"/>
    <s v="Seattle"/>
    <s v="WA"/>
    <s v="United States"/>
  </r>
  <r>
    <x v="999"/>
    <x v="758"/>
    <s v="CUST049148"/>
    <s v="Aditya Sharma"/>
    <s v="Desk Organizer"/>
    <x v="5"/>
    <x v="0"/>
    <n v="5"/>
    <n v="137.56"/>
    <n v="0"/>
    <n v="34.39"/>
    <n v="9.0399999999999991"/>
    <n v="731.23"/>
    <x v="5"/>
    <x v="4"/>
    <s v="Denver"/>
    <s v="CO"/>
    <s v="United States"/>
  </r>
  <r>
    <x v="1000"/>
    <x v="759"/>
    <m/>
    <m/>
    <m/>
    <x v="6"/>
    <x v="10"/>
    <m/>
    <m/>
    <m/>
    <m/>
    <m/>
    <m/>
    <x v="6"/>
    <x v="5"/>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2E71B4-FEAD-444D-91D3-AAF3A21EA0F4}"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10" firstHeaderRow="1" firstDataRow="1" firstDataCol="1"/>
  <pivotFields count="21">
    <pivotField showAll="0"/>
    <pivotField numFmtId="14" showAll="0">
      <items count="760">
        <item x="741"/>
        <item x="245"/>
        <item x="445"/>
        <item x="311"/>
        <item x="714"/>
        <item x="539"/>
        <item x="65"/>
        <item x="120"/>
        <item x="369"/>
        <item x="388"/>
        <item x="416"/>
        <item x="58"/>
        <item x="34"/>
        <item x="510"/>
        <item x="356"/>
        <item x="628"/>
        <item x="745"/>
        <item x="78"/>
        <item x="414"/>
        <item x="572"/>
        <item x="351"/>
        <item x="644"/>
        <item x="140"/>
        <item x="451"/>
        <item x="429"/>
        <item x="317"/>
        <item x="665"/>
        <item x="580"/>
        <item x="726"/>
        <item x="121"/>
        <item x="586"/>
        <item x="669"/>
        <item x="738"/>
        <item x="14"/>
        <item x="546"/>
        <item x="641"/>
        <item x="72"/>
        <item x="497"/>
        <item x="746"/>
        <item x="181"/>
        <item x="153"/>
        <item x="323"/>
        <item x="730"/>
        <item x="604"/>
        <item x="244"/>
        <item x="551"/>
        <item x="467"/>
        <item x="750"/>
        <item x="460"/>
        <item x="9"/>
        <item x="263"/>
        <item x="387"/>
        <item x="19"/>
        <item x="664"/>
        <item x="142"/>
        <item x="273"/>
        <item x="721"/>
        <item x="285"/>
        <item x="435"/>
        <item x="294"/>
        <item x="316"/>
        <item x="327"/>
        <item x="488"/>
        <item x="400"/>
        <item x="372"/>
        <item x="526"/>
        <item x="336"/>
        <item x="94"/>
        <item x="60"/>
        <item x="624"/>
        <item x="647"/>
        <item x="583"/>
        <item x="378"/>
        <item x="277"/>
        <item x="115"/>
        <item x="47"/>
        <item x="382"/>
        <item x="566"/>
        <item x="269"/>
        <item x="143"/>
        <item x="95"/>
        <item x="261"/>
        <item x="79"/>
        <item x="169"/>
        <item x="314"/>
        <item x="113"/>
        <item x="502"/>
        <item x="247"/>
        <item x="722"/>
        <item x="357"/>
        <item x="352"/>
        <item x="138"/>
        <item x="611"/>
        <item x="753"/>
        <item x="66"/>
        <item x="405"/>
        <item x="258"/>
        <item x="748"/>
        <item x="35"/>
        <item x="306"/>
        <item x="711"/>
        <item x="524"/>
        <item x="298"/>
        <item x="443"/>
        <item x="587"/>
        <item x="752"/>
        <item x="456"/>
        <item x="97"/>
        <item x="30"/>
        <item x="577"/>
        <item x="266"/>
        <item x="360"/>
        <item x="537"/>
        <item x="134"/>
        <item x="265"/>
        <item x="105"/>
        <item x="377"/>
        <item x="438"/>
        <item x="436"/>
        <item x="64"/>
        <item x="224"/>
        <item x="417"/>
        <item x="12"/>
        <item x="522"/>
        <item x="109"/>
        <item x="630"/>
        <item x="505"/>
        <item x="23"/>
        <item x="300"/>
        <item x="656"/>
        <item x="509"/>
        <item x="686"/>
        <item x="457"/>
        <item x="689"/>
        <item x="719"/>
        <item x="135"/>
        <item x="116"/>
        <item x="251"/>
        <item x="27"/>
        <item x="655"/>
        <item x="62"/>
        <item x="754"/>
        <item x="708"/>
        <item x="131"/>
        <item x="168"/>
        <item x="584"/>
        <item x="538"/>
        <item x="165"/>
        <item x="419"/>
        <item x="264"/>
        <item x="91"/>
        <item x="284"/>
        <item x="315"/>
        <item x="731"/>
        <item x="149"/>
        <item x="411"/>
        <item x="558"/>
        <item x="550"/>
        <item x="133"/>
        <item x="504"/>
        <item x="354"/>
        <item x="235"/>
        <item x="442"/>
        <item x="585"/>
        <item x="744"/>
        <item x="713"/>
        <item x="308"/>
        <item x="588"/>
        <item x="99"/>
        <item x="564"/>
        <item x="32"/>
        <item x="704"/>
        <item x="279"/>
        <item x="10"/>
        <item x="346"/>
        <item x="422"/>
        <item x="293"/>
        <item x="503"/>
        <item x="39"/>
        <item x="650"/>
        <item x="373"/>
        <item x="183"/>
        <item x="479"/>
        <item x="288"/>
        <item x="401"/>
        <item x="618"/>
        <item x="117"/>
        <item x="376"/>
        <item x="543"/>
        <item x="633"/>
        <item x="700"/>
        <item x="148"/>
        <item x="657"/>
        <item x="76"/>
        <item x="326"/>
        <item x="41"/>
        <item x="418"/>
        <item x="472"/>
        <item x="520"/>
        <item x="375"/>
        <item x="122"/>
        <item x="512"/>
        <item x="190"/>
        <item x="409"/>
        <item x="695"/>
        <item x="188"/>
        <item x="366"/>
        <item x="290"/>
        <item x="198"/>
        <item x="477"/>
        <item x="50"/>
        <item x="179"/>
        <item x="69"/>
        <item x="86"/>
        <item x="603"/>
        <item x="391"/>
        <item x="432"/>
        <item x="196"/>
        <item x="485"/>
        <item x="320"/>
        <item x="614"/>
        <item x="130"/>
        <item x="581"/>
        <item x="63"/>
        <item x="547"/>
        <item x="379"/>
        <item x="274"/>
        <item x="159"/>
        <item x="552"/>
        <item x="301"/>
        <item x="394"/>
        <item x="215"/>
        <item x="214"/>
        <item x="471"/>
        <item x="458"/>
        <item x="344"/>
        <item x="291"/>
        <item x="246"/>
        <item x="160"/>
        <item x="200"/>
        <item x="57"/>
        <item x="125"/>
        <item x="223"/>
        <item x="648"/>
        <item x="420"/>
        <item x="455"/>
        <item x="459"/>
        <item x="612"/>
        <item x="364"/>
        <item x="282"/>
        <item x="571"/>
        <item x="227"/>
        <item x="688"/>
        <item x="666"/>
        <item x="749"/>
        <item x="562"/>
        <item x="736"/>
        <item x="197"/>
        <item x="154"/>
        <item x="415"/>
        <item x="392"/>
        <item x="49"/>
        <item x="345"/>
        <item x="729"/>
        <item x="529"/>
        <item x="531"/>
        <item x="492"/>
        <item x="692"/>
        <item x="243"/>
        <item x="44"/>
        <item x="90"/>
        <item x="483"/>
        <item x="712"/>
        <item x="220"/>
        <item x="642"/>
        <item x="742"/>
        <item x="589"/>
        <item x="107"/>
        <item x="155"/>
        <item x="428"/>
        <item x="560"/>
        <item x="92"/>
        <item x="696"/>
        <item x="610"/>
        <item x="590"/>
        <item x="68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167"/>
        <item x="201"/>
        <item x="358"/>
        <item x="338"/>
        <item x="474"/>
        <item x="152"/>
        <item x="26"/>
        <item x="667"/>
        <item x="98"/>
        <item x="331"/>
        <item x="453"/>
        <item x="661"/>
        <item x="553"/>
        <item x="728"/>
        <item x="412"/>
        <item x="651"/>
        <item x="461"/>
        <item x="53"/>
        <item x="426"/>
        <item x="259"/>
        <item x="439"/>
        <item x="59"/>
        <item x="545"/>
        <item x="593"/>
        <item x="528"/>
        <item x="724"/>
        <item x="396"/>
        <item x="249"/>
        <item x="37"/>
        <item x="2"/>
        <item x="176"/>
        <item x="452"/>
        <item x="697"/>
        <item x="166"/>
        <item x="17"/>
        <item x="578"/>
        <item x="639"/>
        <item x="448"/>
        <item x="329"/>
        <item x="110"/>
        <item x="303"/>
        <item x="710"/>
        <item x="267"/>
        <item x="594"/>
        <item x="670"/>
        <item x="597"/>
        <item x="172"/>
        <item x="652"/>
        <item x="525"/>
        <item x="304"/>
        <item x="70"/>
        <item x="413"/>
        <item x="706"/>
        <item x="501"/>
        <item x="619"/>
        <item x="328"/>
        <item x="758"/>
        <item x="565"/>
        <item x="410"/>
        <item x="705"/>
        <item x="384"/>
        <item x="289"/>
        <item x="145"/>
        <item x="662"/>
        <item x="608"/>
        <item x="454"/>
        <item x="625"/>
        <item x="596"/>
        <item x="242"/>
        <item x="617"/>
        <item x="283"/>
        <item x="29"/>
        <item x="334"/>
        <item x="48"/>
        <item x="701"/>
        <item x="361"/>
        <item x="157"/>
        <item x="398"/>
        <item x="685"/>
        <item x="548"/>
        <item x="680"/>
        <item x="421"/>
        <item x="216"/>
        <item x="45"/>
        <item x="570"/>
        <item x="383"/>
        <item x="270"/>
        <item x="755"/>
        <item x="449"/>
        <item x="380"/>
        <item x="96"/>
        <item x="491"/>
        <item x="441"/>
        <item x="444"/>
        <item x="496"/>
        <item x="499"/>
        <item x="199"/>
        <item x="310"/>
        <item x="518"/>
        <item x="103"/>
        <item x="139"/>
        <item x="363"/>
        <item x="180"/>
        <item x="84"/>
        <item x="654"/>
        <item x="83"/>
        <item x="162"/>
        <item x="690"/>
        <item x="615"/>
        <item x="681"/>
        <item x="170"/>
        <item x="521"/>
        <item x="582"/>
        <item x="7"/>
        <item x="348"/>
        <item x="735"/>
        <item x="595"/>
        <item x="141"/>
        <item x="146"/>
        <item x="189"/>
        <item x="309"/>
        <item x="407"/>
        <item x="118"/>
        <item x="606"/>
        <item x="536"/>
        <item x="374"/>
        <item x="495"/>
        <item x="147"/>
        <item x="367"/>
        <item x="111"/>
        <item x="440"/>
        <item x="464"/>
        <item x="40"/>
        <item x="127"/>
        <item x="720"/>
        <item x="494"/>
        <item x="638"/>
        <item x="5"/>
        <item x="616"/>
        <item x="557"/>
        <item x="487"/>
        <item x="740"/>
        <item x="80"/>
        <item x="739"/>
        <item x="194"/>
        <item x="424"/>
        <item x="475"/>
        <item x="312"/>
        <item x="16"/>
        <item x="0"/>
        <item x="403"/>
        <item x="87"/>
        <item x="4"/>
        <item x="325"/>
        <item x="233"/>
        <item x="381"/>
        <item x="663"/>
        <item x="476"/>
        <item x="717"/>
        <item x="318"/>
        <item x="691"/>
        <item x="276"/>
        <item x="434"/>
        <item x="645"/>
        <item x="469"/>
        <item x="124"/>
        <item x="254"/>
        <item x="55"/>
        <item x="637"/>
        <item x="609"/>
        <item x="342"/>
        <item x="128"/>
        <item x="423"/>
        <item x="602"/>
        <item x="702"/>
        <item x="286"/>
        <item x="668"/>
        <item x="601"/>
        <item x="119"/>
        <item x="191"/>
        <item x="31"/>
        <item x="332"/>
        <item x="629"/>
        <item x="535"/>
        <item x="187"/>
        <item x="370"/>
        <item x="622"/>
        <item x="406"/>
        <item x="694"/>
        <item x="514"/>
        <item x="640"/>
        <item x="262"/>
        <item x="607"/>
        <item x="482"/>
        <item x="433"/>
        <item x="658"/>
        <item x="28"/>
        <item x="626"/>
        <item x="343"/>
        <item x="446"/>
        <item x="275"/>
        <item x="500"/>
        <item x="671"/>
        <item x="11"/>
        <item x="727"/>
        <item x="163"/>
        <item x="371"/>
        <item x="515"/>
        <item x="210"/>
        <item x="324"/>
        <item x="672"/>
        <item x="620"/>
        <item x="209"/>
        <item x="231"/>
        <item x="226"/>
        <item x="480"/>
        <item x="723"/>
        <item x="178"/>
        <item x="715"/>
        <item x="193"/>
        <item x="52"/>
        <item x="716"/>
        <item x="102"/>
        <item x="542"/>
        <item x="508"/>
        <item x="385"/>
        <item x="218"/>
        <item x="236"/>
        <item x="3"/>
        <item x="481"/>
        <item x="579"/>
        <item x="61"/>
        <item x="339"/>
        <item x="725"/>
        <item x="213"/>
        <item x="493"/>
        <item x="395"/>
        <item x="507"/>
        <item x="296"/>
        <item x="636"/>
        <item x="541"/>
        <item x="757"/>
        <item x="305"/>
        <item x="677"/>
        <item x="751"/>
        <item x="21"/>
        <item x="33"/>
        <item x="693"/>
        <item x="386"/>
        <item x="519"/>
        <item x="278"/>
        <item x="635"/>
        <item x="682"/>
        <item x="204"/>
        <item x="71"/>
        <item x="437"/>
        <item x="123"/>
        <item x="68"/>
        <item x="207"/>
        <item x="280"/>
        <item x="450"/>
        <item x="425"/>
        <item x="219"/>
        <item x="653"/>
        <item x="353"/>
        <item x="73"/>
        <item x="574"/>
        <item x="15"/>
        <item x="228"/>
        <item x="347"/>
        <item x="559"/>
        <item x="212"/>
        <item x="591"/>
        <item x="211"/>
        <item x="238"/>
        <item x="239"/>
        <item x="82"/>
        <item x="85"/>
        <item x="341"/>
        <item x="404"/>
        <item x="563"/>
        <item x="676"/>
        <item x="252"/>
        <item x="184"/>
        <item x="687"/>
        <item x="660"/>
        <item x="222"/>
        <item x="25"/>
        <item x="295"/>
        <item x="257"/>
        <item x="534"/>
        <item x="321"/>
        <item x="322"/>
        <item x="532"/>
        <item x="75"/>
        <item x="490"/>
        <item x="1"/>
        <item x="734"/>
        <item x="260"/>
        <item x="675"/>
        <item x="743"/>
        <item x="484"/>
        <item x="646"/>
        <item x="74"/>
        <item x="221"/>
        <item x="737"/>
        <item x="13"/>
        <item x="173"/>
        <item x="100"/>
        <item x="598"/>
        <item x="126"/>
        <item x="208"/>
        <item x="466"/>
        <item x="527"/>
        <item x="43"/>
        <item x="89"/>
        <item x="362"/>
        <item x="599"/>
        <item x="56"/>
        <item x="137"/>
        <item x="24"/>
        <item x="556"/>
        <item x="632"/>
        <item x="234"/>
        <item x="129"/>
        <item x="554"/>
        <item x="340"/>
        <item x="54"/>
        <item x="206"/>
        <item x="659"/>
        <item x="237"/>
        <item x="271"/>
        <item x="368"/>
        <item x="679"/>
        <item x="365"/>
        <item x="627"/>
        <item x="621"/>
        <item x="576"/>
        <item x="678"/>
        <item x="643"/>
        <item x="674"/>
        <item x="530"/>
        <item x="156"/>
        <item x="569"/>
        <item x="747"/>
        <item x="171"/>
        <item x="93"/>
        <item x="707"/>
        <item x="38"/>
        <item x="81"/>
        <item x="592"/>
        <item x="600"/>
        <item x="248"/>
        <item x="51"/>
        <item x="302"/>
        <item x="150"/>
        <item x="175"/>
        <item x="533"/>
        <item x="337"/>
        <item x="709"/>
        <item x="478"/>
        <item x="549"/>
        <item x="463"/>
        <item x="540"/>
        <item x="230"/>
        <item x="359"/>
        <item x="268"/>
        <item x="297"/>
        <item x="506"/>
        <item x="240"/>
        <item x="8"/>
        <item x="202"/>
        <item x="241"/>
        <item x="555"/>
        <item x="253"/>
        <item x="399"/>
        <item x="205"/>
        <item x="470"/>
        <item x="732"/>
        <item x="631"/>
        <item x="307"/>
        <item x="623"/>
        <item x="186"/>
        <item x="489"/>
        <item x="634"/>
        <item x="313"/>
        <item x="649"/>
        <item x="20"/>
        <item x="397"/>
        <item x="18"/>
        <item x="430"/>
        <item x="350"/>
        <item x="229"/>
        <item x="319"/>
        <item x="132"/>
        <item x="673"/>
        <item x="225"/>
        <item x="335"/>
        <item x="42"/>
        <item x="255"/>
        <item x="568"/>
        <item x="174"/>
        <item x="232"/>
        <item x="605"/>
        <item x="575"/>
        <item x="431"/>
        <item x="192"/>
        <item x="6"/>
        <item x="104"/>
        <item x="699"/>
        <item x="330"/>
        <item x="256"/>
        <item x="287"/>
        <item x="333"/>
        <item x="703"/>
        <item x="106"/>
        <item x="101"/>
        <item x="151"/>
        <item x="182"/>
        <item x="390"/>
        <item x="250"/>
        <item x="158"/>
        <item x="217"/>
        <item x="108"/>
        <item x="498"/>
        <item x="473"/>
        <item x="513"/>
        <item x="523"/>
        <item x="511"/>
        <item x="299"/>
        <item x="161"/>
        <item x="281"/>
        <item x="88"/>
        <item x="136"/>
        <item x="355"/>
        <item x="292"/>
        <item x="573"/>
        <item x="46"/>
        <item x="462"/>
        <item x="393"/>
        <item x="389"/>
        <item x="195"/>
        <item x="203"/>
        <item x="427"/>
        <item x="718"/>
        <item t="default"/>
      </items>
    </pivotField>
    <pivotField showAll="0"/>
    <pivotField showAll="0"/>
    <pivotField showAll="0"/>
    <pivotField axis="axisRow" showAll="0">
      <items count="7">
        <item x="0"/>
        <item x="2"/>
        <item x="5"/>
        <item x="1"/>
        <item x="4"/>
        <item x="3"/>
        <item t="default"/>
      </items>
    </pivotField>
    <pivotField showAll="0"/>
    <pivotField numFmtId="2" showAll="0"/>
    <pivotField numFmtId="2" showAll="0"/>
    <pivotField showAll="0"/>
    <pivotField numFmtId="2" showAll="0"/>
    <pivotField numFmtId="2" showAll="0"/>
    <pivotField dataField="1" numFmtId="2"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7">
    <i>
      <x/>
    </i>
    <i>
      <x v="1"/>
    </i>
    <i>
      <x v="2"/>
    </i>
    <i>
      <x v="3"/>
    </i>
    <i>
      <x v="4"/>
    </i>
    <i>
      <x v="5"/>
    </i>
    <i t="grand">
      <x/>
    </i>
  </rowItems>
  <colItems count="1">
    <i/>
  </colItems>
  <dataFields count="1">
    <dataField name="Sum of TotalAmount" fld="12" baseField="0" baseItem="0" numFmtId="164"/>
  </dataFields>
  <chartFormats count="2">
    <chartFormat chart="0"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C263EE-43D0-4524-A3F1-62A367FE5C89}"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21">
    <pivotField showAll="0"/>
    <pivotField showAll="0">
      <items count="761">
        <item x="741"/>
        <item x="245"/>
        <item x="445"/>
        <item x="311"/>
        <item x="714"/>
        <item x="539"/>
        <item x="65"/>
        <item x="120"/>
        <item x="369"/>
        <item x="388"/>
        <item x="416"/>
        <item x="58"/>
        <item x="34"/>
        <item x="510"/>
        <item x="356"/>
        <item x="628"/>
        <item x="745"/>
        <item x="78"/>
        <item x="414"/>
        <item x="572"/>
        <item x="351"/>
        <item x="644"/>
        <item x="140"/>
        <item x="451"/>
        <item x="429"/>
        <item x="317"/>
        <item x="665"/>
        <item x="580"/>
        <item x="726"/>
        <item x="121"/>
        <item x="586"/>
        <item x="669"/>
        <item x="738"/>
        <item x="14"/>
        <item x="546"/>
        <item x="641"/>
        <item x="72"/>
        <item x="497"/>
        <item x="746"/>
        <item x="181"/>
        <item x="153"/>
        <item x="323"/>
        <item x="730"/>
        <item x="604"/>
        <item x="244"/>
        <item x="551"/>
        <item x="467"/>
        <item x="750"/>
        <item x="460"/>
        <item x="9"/>
        <item x="263"/>
        <item x="387"/>
        <item x="19"/>
        <item x="664"/>
        <item x="142"/>
        <item x="273"/>
        <item x="721"/>
        <item x="285"/>
        <item x="435"/>
        <item x="294"/>
        <item x="316"/>
        <item x="327"/>
        <item x="488"/>
        <item x="400"/>
        <item x="372"/>
        <item x="526"/>
        <item x="336"/>
        <item x="94"/>
        <item x="60"/>
        <item x="624"/>
        <item x="647"/>
        <item x="583"/>
        <item x="378"/>
        <item x="277"/>
        <item x="115"/>
        <item x="47"/>
        <item x="382"/>
        <item x="566"/>
        <item x="269"/>
        <item x="143"/>
        <item x="95"/>
        <item x="261"/>
        <item x="79"/>
        <item x="169"/>
        <item x="314"/>
        <item x="113"/>
        <item x="502"/>
        <item x="247"/>
        <item x="722"/>
        <item x="357"/>
        <item x="352"/>
        <item x="138"/>
        <item x="611"/>
        <item x="753"/>
        <item x="66"/>
        <item x="405"/>
        <item x="258"/>
        <item x="748"/>
        <item x="35"/>
        <item x="306"/>
        <item x="711"/>
        <item x="524"/>
        <item x="298"/>
        <item x="443"/>
        <item x="587"/>
        <item x="752"/>
        <item x="456"/>
        <item x="97"/>
        <item x="30"/>
        <item x="577"/>
        <item x="266"/>
        <item x="360"/>
        <item x="537"/>
        <item x="134"/>
        <item x="265"/>
        <item x="105"/>
        <item x="377"/>
        <item x="438"/>
        <item x="436"/>
        <item x="64"/>
        <item x="224"/>
        <item x="417"/>
        <item x="12"/>
        <item x="522"/>
        <item x="109"/>
        <item x="630"/>
        <item x="505"/>
        <item x="23"/>
        <item x="300"/>
        <item x="656"/>
        <item x="509"/>
        <item x="686"/>
        <item x="457"/>
        <item x="689"/>
        <item x="719"/>
        <item x="135"/>
        <item x="116"/>
        <item x="251"/>
        <item x="27"/>
        <item x="655"/>
        <item x="62"/>
        <item x="754"/>
        <item x="708"/>
        <item x="131"/>
        <item x="168"/>
        <item x="584"/>
        <item x="538"/>
        <item x="165"/>
        <item x="419"/>
        <item x="264"/>
        <item x="91"/>
        <item x="284"/>
        <item x="315"/>
        <item x="731"/>
        <item x="149"/>
        <item x="411"/>
        <item x="558"/>
        <item x="550"/>
        <item x="133"/>
        <item x="504"/>
        <item x="354"/>
        <item x="235"/>
        <item x="442"/>
        <item x="585"/>
        <item x="744"/>
        <item x="713"/>
        <item x="308"/>
        <item x="588"/>
        <item x="99"/>
        <item x="564"/>
        <item x="32"/>
        <item x="704"/>
        <item x="279"/>
        <item x="10"/>
        <item x="346"/>
        <item x="422"/>
        <item x="293"/>
        <item x="503"/>
        <item x="39"/>
        <item x="650"/>
        <item x="373"/>
        <item x="183"/>
        <item x="479"/>
        <item x="288"/>
        <item x="401"/>
        <item x="618"/>
        <item x="117"/>
        <item x="376"/>
        <item x="543"/>
        <item x="633"/>
        <item x="700"/>
        <item x="148"/>
        <item x="657"/>
        <item x="76"/>
        <item x="326"/>
        <item x="41"/>
        <item x="418"/>
        <item x="472"/>
        <item x="520"/>
        <item x="375"/>
        <item x="122"/>
        <item x="512"/>
        <item x="190"/>
        <item x="409"/>
        <item x="695"/>
        <item x="188"/>
        <item x="366"/>
        <item x="290"/>
        <item x="198"/>
        <item x="477"/>
        <item x="50"/>
        <item x="179"/>
        <item x="69"/>
        <item x="86"/>
        <item x="603"/>
        <item x="391"/>
        <item x="432"/>
        <item x="196"/>
        <item x="485"/>
        <item x="320"/>
        <item x="614"/>
        <item x="130"/>
        <item x="581"/>
        <item x="63"/>
        <item x="547"/>
        <item x="379"/>
        <item x="274"/>
        <item x="159"/>
        <item x="552"/>
        <item x="301"/>
        <item x="394"/>
        <item x="215"/>
        <item x="214"/>
        <item x="471"/>
        <item x="458"/>
        <item x="344"/>
        <item x="291"/>
        <item x="246"/>
        <item x="160"/>
        <item x="200"/>
        <item x="57"/>
        <item x="125"/>
        <item x="223"/>
        <item x="648"/>
        <item x="420"/>
        <item x="455"/>
        <item x="459"/>
        <item x="612"/>
        <item x="364"/>
        <item x="282"/>
        <item x="571"/>
        <item x="227"/>
        <item x="688"/>
        <item x="666"/>
        <item x="749"/>
        <item x="562"/>
        <item x="736"/>
        <item x="197"/>
        <item x="154"/>
        <item x="415"/>
        <item x="392"/>
        <item x="49"/>
        <item x="345"/>
        <item x="729"/>
        <item x="529"/>
        <item x="531"/>
        <item x="492"/>
        <item x="692"/>
        <item x="243"/>
        <item x="44"/>
        <item x="90"/>
        <item x="483"/>
        <item x="712"/>
        <item x="220"/>
        <item x="642"/>
        <item x="742"/>
        <item x="589"/>
        <item x="107"/>
        <item x="155"/>
        <item x="428"/>
        <item x="560"/>
        <item x="92"/>
        <item x="696"/>
        <item x="610"/>
        <item x="590"/>
        <item x="68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167"/>
        <item x="201"/>
        <item x="358"/>
        <item x="338"/>
        <item x="474"/>
        <item x="152"/>
        <item x="26"/>
        <item x="667"/>
        <item x="98"/>
        <item x="331"/>
        <item x="453"/>
        <item x="661"/>
        <item x="553"/>
        <item x="728"/>
        <item x="412"/>
        <item x="651"/>
        <item x="461"/>
        <item x="53"/>
        <item x="426"/>
        <item x="259"/>
        <item x="439"/>
        <item x="59"/>
        <item x="545"/>
        <item x="593"/>
        <item x="528"/>
        <item x="724"/>
        <item x="396"/>
        <item x="249"/>
        <item x="37"/>
        <item x="2"/>
        <item x="176"/>
        <item x="452"/>
        <item x="697"/>
        <item x="166"/>
        <item x="17"/>
        <item x="578"/>
        <item x="639"/>
        <item x="448"/>
        <item x="329"/>
        <item x="110"/>
        <item x="303"/>
        <item x="710"/>
        <item x="267"/>
        <item x="594"/>
        <item x="670"/>
        <item x="597"/>
        <item x="172"/>
        <item x="652"/>
        <item x="525"/>
        <item x="304"/>
        <item x="70"/>
        <item x="413"/>
        <item x="706"/>
        <item x="501"/>
        <item x="619"/>
        <item x="328"/>
        <item x="758"/>
        <item x="565"/>
        <item x="410"/>
        <item x="705"/>
        <item x="384"/>
        <item x="289"/>
        <item x="145"/>
        <item x="662"/>
        <item x="608"/>
        <item x="454"/>
        <item x="625"/>
        <item x="596"/>
        <item x="242"/>
        <item x="617"/>
        <item x="283"/>
        <item x="29"/>
        <item x="334"/>
        <item x="48"/>
        <item x="701"/>
        <item x="361"/>
        <item x="157"/>
        <item x="398"/>
        <item x="685"/>
        <item x="548"/>
        <item x="680"/>
        <item x="421"/>
        <item x="216"/>
        <item x="45"/>
        <item x="570"/>
        <item x="383"/>
        <item x="270"/>
        <item x="755"/>
        <item x="449"/>
        <item x="380"/>
        <item x="96"/>
        <item x="491"/>
        <item x="441"/>
        <item x="444"/>
        <item x="496"/>
        <item x="499"/>
        <item x="199"/>
        <item x="310"/>
        <item x="518"/>
        <item x="103"/>
        <item x="139"/>
        <item x="363"/>
        <item x="180"/>
        <item x="84"/>
        <item x="654"/>
        <item x="83"/>
        <item x="162"/>
        <item x="690"/>
        <item x="615"/>
        <item x="681"/>
        <item x="170"/>
        <item x="521"/>
        <item x="582"/>
        <item x="7"/>
        <item x="348"/>
        <item x="735"/>
        <item x="595"/>
        <item x="141"/>
        <item x="146"/>
        <item x="189"/>
        <item x="309"/>
        <item x="407"/>
        <item x="118"/>
        <item x="606"/>
        <item x="536"/>
        <item x="374"/>
        <item x="495"/>
        <item x="147"/>
        <item x="367"/>
        <item x="111"/>
        <item x="440"/>
        <item x="464"/>
        <item x="40"/>
        <item x="127"/>
        <item x="720"/>
        <item x="494"/>
        <item x="638"/>
        <item x="5"/>
        <item x="616"/>
        <item x="557"/>
        <item x="487"/>
        <item x="740"/>
        <item x="80"/>
        <item x="739"/>
        <item x="194"/>
        <item x="424"/>
        <item x="475"/>
        <item x="312"/>
        <item x="16"/>
        <item x="0"/>
        <item x="403"/>
        <item x="87"/>
        <item x="4"/>
        <item x="325"/>
        <item x="233"/>
        <item x="381"/>
        <item x="663"/>
        <item x="476"/>
        <item x="717"/>
        <item x="318"/>
        <item x="691"/>
        <item x="276"/>
        <item x="434"/>
        <item x="645"/>
        <item x="469"/>
        <item x="124"/>
        <item x="254"/>
        <item x="55"/>
        <item x="637"/>
        <item x="609"/>
        <item x="342"/>
        <item x="128"/>
        <item x="423"/>
        <item x="602"/>
        <item x="702"/>
        <item x="286"/>
        <item x="668"/>
        <item x="601"/>
        <item x="119"/>
        <item x="191"/>
        <item x="31"/>
        <item x="332"/>
        <item x="629"/>
        <item x="535"/>
        <item x="187"/>
        <item x="370"/>
        <item x="622"/>
        <item x="406"/>
        <item x="694"/>
        <item x="514"/>
        <item x="640"/>
        <item x="262"/>
        <item x="607"/>
        <item x="482"/>
        <item x="433"/>
        <item x="658"/>
        <item x="28"/>
        <item x="626"/>
        <item x="343"/>
        <item x="446"/>
        <item x="275"/>
        <item x="500"/>
        <item x="671"/>
        <item x="11"/>
        <item x="727"/>
        <item x="163"/>
        <item x="371"/>
        <item x="515"/>
        <item x="210"/>
        <item x="324"/>
        <item x="672"/>
        <item x="620"/>
        <item x="209"/>
        <item x="231"/>
        <item x="226"/>
        <item x="480"/>
        <item x="723"/>
        <item x="178"/>
        <item x="715"/>
        <item x="193"/>
        <item x="52"/>
        <item x="716"/>
        <item x="102"/>
        <item x="542"/>
        <item x="508"/>
        <item x="385"/>
        <item x="218"/>
        <item x="236"/>
        <item x="3"/>
        <item x="481"/>
        <item x="579"/>
        <item x="61"/>
        <item x="339"/>
        <item x="725"/>
        <item x="213"/>
        <item x="493"/>
        <item x="395"/>
        <item x="507"/>
        <item x="296"/>
        <item x="636"/>
        <item x="541"/>
        <item x="757"/>
        <item x="305"/>
        <item x="677"/>
        <item x="751"/>
        <item x="21"/>
        <item x="33"/>
        <item x="693"/>
        <item x="386"/>
        <item x="519"/>
        <item x="278"/>
        <item x="635"/>
        <item x="682"/>
        <item x="204"/>
        <item x="71"/>
        <item x="437"/>
        <item x="123"/>
        <item x="68"/>
        <item x="207"/>
        <item x="280"/>
        <item x="450"/>
        <item x="425"/>
        <item x="219"/>
        <item x="653"/>
        <item x="353"/>
        <item x="73"/>
        <item x="574"/>
        <item x="15"/>
        <item x="228"/>
        <item x="347"/>
        <item x="559"/>
        <item x="212"/>
        <item x="591"/>
        <item x="211"/>
        <item x="238"/>
        <item x="239"/>
        <item x="82"/>
        <item x="85"/>
        <item x="341"/>
        <item x="404"/>
        <item x="563"/>
        <item x="676"/>
        <item x="252"/>
        <item x="184"/>
        <item x="687"/>
        <item x="660"/>
        <item x="222"/>
        <item x="25"/>
        <item x="295"/>
        <item x="257"/>
        <item x="534"/>
        <item x="321"/>
        <item x="322"/>
        <item x="532"/>
        <item x="75"/>
        <item x="490"/>
        <item x="1"/>
        <item x="734"/>
        <item x="260"/>
        <item x="675"/>
        <item x="743"/>
        <item x="484"/>
        <item x="646"/>
        <item x="74"/>
        <item x="221"/>
        <item x="737"/>
        <item x="13"/>
        <item x="173"/>
        <item x="100"/>
        <item x="598"/>
        <item x="126"/>
        <item x="208"/>
        <item x="466"/>
        <item x="527"/>
        <item x="43"/>
        <item x="89"/>
        <item x="362"/>
        <item x="599"/>
        <item x="56"/>
        <item x="137"/>
        <item x="24"/>
        <item x="556"/>
        <item x="632"/>
        <item x="234"/>
        <item x="129"/>
        <item x="554"/>
        <item x="340"/>
        <item x="54"/>
        <item x="206"/>
        <item x="659"/>
        <item x="237"/>
        <item x="271"/>
        <item x="368"/>
        <item x="679"/>
        <item x="365"/>
        <item x="627"/>
        <item x="621"/>
        <item x="576"/>
        <item x="678"/>
        <item x="643"/>
        <item x="674"/>
        <item x="530"/>
        <item x="156"/>
        <item x="569"/>
        <item x="747"/>
        <item x="171"/>
        <item x="93"/>
        <item x="707"/>
        <item x="38"/>
        <item x="81"/>
        <item x="592"/>
        <item x="600"/>
        <item x="248"/>
        <item x="51"/>
        <item x="302"/>
        <item x="150"/>
        <item x="175"/>
        <item x="533"/>
        <item x="337"/>
        <item x="709"/>
        <item x="478"/>
        <item x="549"/>
        <item x="463"/>
        <item x="540"/>
        <item x="230"/>
        <item x="359"/>
        <item x="268"/>
        <item x="297"/>
        <item x="506"/>
        <item x="240"/>
        <item x="8"/>
        <item x="202"/>
        <item x="241"/>
        <item x="555"/>
        <item x="253"/>
        <item x="399"/>
        <item x="205"/>
        <item x="470"/>
        <item x="732"/>
        <item x="631"/>
        <item x="307"/>
        <item x="623"/>
        <item x="186"/>
        <item x="489"/>
        <item x="634"/>
        <item x="313"/>
        <item x="649"/>
        <item x="20"/>
        <item x="397"/>
        <item x="18"/>
        <item x="430"/>
        <item x="350"/>
        <item x="229"/>
        <item x="319"/>
        <item x="132"/>
        <item x="673"/>
        <item x="225"/>
        <item x="335"/>
        <item x="42"/>
        <item x="255"/>
        <item x="568"/>
        <item x="174"/>
        <item x="232"/>
        <item x="605"/>
        <item x="575"/>
        <item x="431"/>
        <item x="192"/>
        <item x="6"/>
        <item x="104"/>
        <item x="699"/>
        <item x="330"/>
        <item x="256"/>
        <item x="287"/>
        <item x="333"/>
        <item x="703"/>
        <item x="106"/>
        <item x="101"/>
        <item x="151"/>
        <item x="182"/>
        <item x="390"/>
        <item x="250"/>
        <item x="158"/>
        <item x="217"/>
        <item x="108"/>
        <item x="498"/>
        <item x="473"/>
        <item x="513"/>
        <item x="523"/>
        <item x="511"/>
        <item x="299"/>
        <item x="161"/>
        <item x="281"/>
        <item x="88"/>
        <item x="136"/>
        <item x="355"/>
        <item x="292"/>
        <item x="573"/>
        <item x="46"/>
        <item x="462"/>
        <item x="393"/>
        <item x="389"/>
        <item x="195"/>
        <item x="203"/>
        <item x="427"/>
        <item x="718"/>
        <item x="759"/>
        <item t="default"/>
      </items>
    </pivotField>
    <pivotField showAll="0"/>
    <pivotField showAll="0"/>
    <pivotField showAll="0"/>
    <pivotField showAll="0"/>
    <pivotField axis="axisRow" showAll="0">
      <items count="12">
        <item x="5"/>
        <item x="0"/>
        <item x="8"/>
        <item x="7"/>
        <item x="6"/>
        <item x="3"/>
        <item x="9"/>
        <item x="4"/>
        <item x="1"/>
        <item x="2"/>
        <item h="1" x="10"/>
        <item t="default"/>
      </items>
    </pivotField>
    <pivotField showAll="0"/>
    <pivotField showAll="0"/>
    <pivotField showAll="0"/>
    <pivotField showAll="0"/>
    <pivotField showAll="0"/>
    <pivotField dataField="1" showAll="0"/>
    <pivotField showAll="0">
      <items count="8">
        <item x="1"/>
        <item x="2"/>
        <item x="3"/>
        <item x="0"/>
        <item x="5"/>
        <item x="4"/>
        <item h="1" x="6"/>
        <item t="default"/>
      </items>
    </pivotField>
    <pivotField showAll="0">
      <items count="7">
        <item x="1"/>
        <item x="0"/>
        <item x="2"/>
        <item x="4"/>
        <item x="3"/>
        <item h="1"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11">
    <i>
      <x/>
    </i>
    <i>
      <x v="1"/>
    </i>
    <i>
      <x v="2"/>
    </i>
    <i>
      <x v="3"/>
    </i>
    <i>
      <x v="4"/>
    </i>
    <i>
      <x v="5"/>
    </i>
    <i>
      <x v="6"/>
    </i>
    <i>
      <x v="7"/>
    </i>
    <i>
      <x v="8"/>
    </i>
    <i>
      <x v="9"/>
    </i>
    <i t="grand">
      <x/>
    </i>
  </rowItems>
  <colItems count="1">
    <i/>
  </colItems>
  <dataFields count="1">
    <dataField name="Sum of TotalAmount" fld="12"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51914D-179B-40DC-8FDD-7D1E8C7019F2}"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10" firstHeaderRow="1" firstDataRow="1" firstDataCol="1"/>
  <pivotFields count="21">
    <pivotField dataField="1" showAll="0"/>
    <pivotField showAll="0">
      <items count="761">
        <item x="741"/>
        <item x="245"/>
        <item x="445"/>
        <item x="311"/>
        <item x="714"/>
        <item x="539"/>
        <item x="65"/>
        <item x="120"/>
        <item x="369"/>
        <item x="388"/>
        <item x="416"/>
        <item x="58"/>
        <item x="34"/>
        <item x="510"/>
        <item x="356"/>
        <item x="628"/>
        <item x="745"/>
        <item x="78"/>
        <item x="414"/>
        <item x="572"/>
        <item x="351"/>
        <item x="644"/>
        <item x="140"/>
        <item x="451"/>
        <item x="429"/>
        <item x="317"/>
        <item x="665"/>
        <item x="580"/>
        <item x="726"/>
        <item x="121"/>
        <item x="586"/>
        <item x="669"/>
        <item x="738"/>
        <item x="14"/>
        <item x="546"/>
        <item x="641"/>
        <item x="72"/>
        <item x="497"/>
        <item x="746"/>
        <item x="181"/>
        <item x="153"/>
        <item x="323"/>
        <item x="730"/>
        <item x="604"/>
        <item x="244"/>
        <item x="551"/>
        <item x="467"/>
        <item x="750"/>
        <item x="460"/>
        <item x="9"/>
        <item x="263"/>
        <item x="387"/>
        <item x="19"/>
        <item x="664"/>
        <item x="142"/>
        <item x="273"/>
        <item x="721"/>
        <item x="285"/>
        <item x="435"/>
        <item x="294"/>
        <item x="316"/>
        <item x="327"/>
        <item x="488"/>
        <item x="400"/>
        <item x="372"/>
        <item x="526"/>
        <item x="336"/>
        <item x="94"/>
        <item x="60"/>
        <item x="624"/>
        <item x="647"/>
        <item x="583"/>
        <item x="378"/>
        <item x="277"/>
        <item x="115"/>
        <item x="47"/>
        <item x="382"/>
        <item x="566"/>
        <item x="269"/>
        <item x="143"/>
        <item x="95"/>
        <item x="261"/>
        <item x="79"/>
        <item x="169"/>
        <item x="314"/>
        <item x="113"/>
        <item x="502"/>
        <item x="247"/>
        <item x="722"/>
        <item x="357"/>
        <item x="352"/>
        <item x="138"/>
        <item x="611"/>
        <item x="753"/>
        <item x="66"/>
        <item x="405"/>
        <item x="258"/>
        <item x="748"/>
        <item x="35"/>
        <item x="306"/>
        <item x="711"/>
        <item x="524"/>
        <item x="298"/>
        <item x="443"/>
        <item x="587"/>
        <item x="752"/>
        <item x="456"/>
        <item x="97"/>
        <item x="30"/>
        <item x="577"/>
        <item x="266"/>
        <item x="360"/>
        <item x="537"/>
        <item x="134"/>
        <item x="265"/>
        <item x="105"/>
        <item x="377"/>
        <item x="438"/>
        <item x="436"/>
        <item x="64"/>
        <item x="224"/>
        <item x="417"/>
        <item x="12"/>
        <item x="522"/>
        <item x="109"/>
        <item x="630"/>
        <item x="505"/>
        <item x="23"/>
        <item x="300"/>
        <item x="656"/>
        <item x="509"/>
        <item x="686"/>
        <item x="457"/>
        <item x="689"/>
        <item x="719"/>
        <item x="135"/>
        <item x="116"/>
        <item x="251"/>
        <item x="27"/>
        <item x="655"/>
        <item x="62"/>
        <item x="754"/>
        <item x="708"/>
        <item x="131"/>
        <item x="168"/>
        <item x="584"/>
        <item x="538"/>
        <item x="165"/>
        <item x="419"/>
        <item x="264"/>
        <item x="91"/>
        <item x="284"/>
        <item x="315"/>
        <item x="731"/>
        <item x="149"/>
        <item x="411"/>
        <item x="558"/>
        <item x="550"/>
        <item x="133"/>
        <item x="504"/>
        <item x="354"/>
        <item x="235"/>
        <item x="442"/>
        <item x="585"/>
        <item x="744"/>
        <item x="713"/>
        <item x="308"/>
        <item x="588"/>
        <item x="99"/>
        <item x="564"/>
        <item x="32"/>
        <item x="704"/>
        <item x="279"/>
        <item x="10"/>
        <item x="346"/>
        <item x="422"/>
        <item x="293"/>
        <item x="503"/>
        <item x="39"/>
        <item x="650"/>
        <item x="373"/>
        <item x="183"/>
        <item x="479"/>
        <item x="288"/>
        <item x="401"/>
        <item x="618"/>
        <item x="117"/>
        <item x="376"/>
        <item x="543"/>
        <item x="633"/>
        <item x="700"/>
        <item x="148"/>
        <item x="657"/>
        <item x="76"/>
        <item x="326"/>
        <item x="41"/>
        <item x="418"/>
        <item x="472"/>
        <item x="520"/>
        <item x="375"/>
        <item x="122"/>
        <item x="512"/>
        <item x="190"/>
        <item x="409"/>
        <item x="695"/>
        <item x="188"/>
        <item x="366"/>
        <item x="290"/>
        <item x="198"/>
        <item x="477"/>
        <item x="50"/>
        <item x="179"/>
        <item x="69"/>
        <item x="86"/>
        <item x="603"/>
        <item x="391"/>
        <item x="432"/>
        <item x="196"/>
        <item x="485"/>
        <item x="320"/>
        <item x="614"/>
        <item x="130"/>
        <item x="581"/>
        <item x="63"/>
        <item x="547"/>
        <item x="379"/>
        <item x="274"/>
        <item x="159"/>
        <item x="552"/>
        <item x="301"/>
        <item x="394"/>
        <item x="215"/>
        <item x="214"/>
        <item x="471"/>
        <item x="458"/>
        <item x="344"/>
        <item x="291"/>
        <item x="246"/>
        <item x="160"/>
        <item x="200"/>
        <item x="57"/>
        <item x="125"/>
        <item x="223"/>
        <item x="648"/>
        <item x="420"/>
        <item x="455"/>
        <item x="459"/>
        <item x="612"/>
        <item x="364"/>
        <item x="282"/>
        <item x="571"/>
        <item x="227"/>
        <item x="688"/>
        <item x="666"/>
        <item x="749"/>
        <item x="562"/>
        <item x="736"/>
        <item x="197"/>
        <item x="154"/>
        <item x="415"/>
        <item x="392"/>
        <item x="49"/>
        <item x="345"/>
        <item x="729"/>
        <item x="529"/>
        <item x="531"/>
        <item x="492"/>
        <item x="692"/>
        <item x="243"/>
        <item x="44"/>
        <item x="90"/>
        <item x="483"/>
        <item x="712"/>
        <item x="220"/>
        <item x="642"/>
        <item x="742"/>
        <item x="589"/>
        <item x="107"/>
        <item x="155"/>
        <item x="428"/>
        <item x="560"/>
        <item x="92"/>
        <item x="696"/>
        <item x="610"/>
        <item x="590"/>
        <item x="68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167"/>
        <item x="201"/>
        <item x="358"/>
        <item x="338"/>
        <item x="474"/>
        <item x="152"/>
        <item x="26"/>
        <item x="667"/>
        <item x="98"/>
        <item x="331"/>
        <item x="453"/>
        <item x="661"/>
        <item x="553"/>
        <item x="728"/>
        <item x="412"/>
        <item x="651"/>
        <item x="461"/>
        <item x="53"/>
        <item x="426"/>
        <item x="259"/>
        <item x="439"/>
        <item x="59"/>
        <item x="545"/>
        <item x="593"/>
        <item x="528"/>
        <item x="724"/>
        <item x="396"/>
        <item x="249"/>
        <item x="37"/>
        <item x="2"/>
        <item x="176"/>
        <item x="452"/>
        <item x="697"/>
        <item x="166"/>
        <item x="17"/>
        <item x="578"/>
        <item x="639"/>
        <item x="448"/>
        <item x="329"/>
        <item x="110"/>
        <item x="303"/>
        <item x="710"/>
        <item x="267"/>
        <item x="594"/>
        <item x="670"/>
        <item x="597"/>
        <item x="172"/>
        <item x="652"/>
        <item x="525"/>
        <item x="304"/>
        <item x="70"/>
        <item x="413"/>
        <item x="706"/>
        <item x="501"/>
        <item x="619"/>
        <item x="328"/>
        <item x="758"/>
        <item x="565"/>
        <item x="410"/>
        <item x="705"/>
        <item x="384"/>
        <item x="289"/>
        <item x="145"/>
        <item x="662"/>
        <item x="608"/>
        <item x="454"/>
        <item x="625"/>
        <item x="596"/>
        <item x="242"/>
        <item x="617"/>
        <item x="283"/>
        <item x="29"/>
        <item x="334"/>
        <item x="48"/>
        <item x="701"/>
        <item x="361"/>
        <item x="157"/>
        <item x="398"/>
        <item x="685"/>
        <item x="548"/>
        <item x="680"/>
        <item x="421"/>
        <item x="216"/>
        <item x="45"/>
        <item x="570"/>
        <item x="383"/>
        <item x="270"/>
        <item x="755"/>
        <item x="449"/>
        <item x="380"/>
        <item x="96"/>
        <item x="491"/>
        <item x="441"/>
        <item x="444"/>
        <item x="496"/>
        <item x="499"/>
        <item x="199"/>
        <item x="310"/>
        <item x="518"/>
        <item x="103"/>
        <item x="139"/>
        <item x="363"/>
        <item x="180"/>
        <item x="84"/>
        <item x="654"/>
        <item x="83"/>
        <item x="162"/>
        <item x="690"/>
        <item x="615"/>
        <item x="681"/>
        <item x="170"/>
        <item x="521"/>
        <item x="582"/>
        <item x="7"/>
        <item x="348"/>
        <item x="735"/>
        <item x="595"/>
        <item x="141"/>
        <item x="146"/>
        <item x="189"/>
        <item x="309"/>
        <item x="407"/>
        <item x="118"/>
        <item x="606"/>
        <item x="536"/>
        <item x="374"/>
        <item x="495"/>
        <item x="147"/>
        <item x="367"/>
        <item x="111"/>
        <item x="440"/>
        <item x="464"/>
        <item x="40"/>
        <item x="127"/>
        <item x="720"/>
        <item x="494"/>
        <item x="638"/>
        <item x="5"/>
        <item x="616"/>
        <item x="557"/>
        <item x="487"/>
        <item x="740"/>
        <item x="80"/>
        <item x="739"/>
        <item x="194"/>
        <item x="424"/>
        <item x="475"/>
        <item x="312"/>
        <item x="16"/>
        <item x="0"/>
        <item x="403"/>
        <item x="87"/>
        <item x="4"/>
        <item x="325"/>
        <item x="233"/>
        <item x="381"/>
        <item x="663"/>
        <item x="476"/>
        <item x="717"/>
        <item x="318"/>
        <item x="691"/>
        <item x="276"/>
        <item x="434"/>
        <item x="645"/>
        <item x="469"/>
        <item x="124"/>
        <item x="254"/>
        <item x="55"/>
        <item x="637"/>
        <item x="609"/>
        <item x="342"/>
        <item x="128"/>
        <item x="423"/>
        <item x="602"/>
        <item x="702"/>
        <item x="286"/>
        <item x="668"/>
        <item x="601"/>
        <item x="119"/>
        <item x="191"/>
        <item x="31"/>
        <item x="332"/>
        <item x="629"/>
        <item x="535"/>
        <item x="187"/>
        <item x="370"/>
        <item x="622"/>
        <item x="406"/>
        <item x="694"/>
        <item x="514"/>
        <item x="640"/>
        <item x="262"/>
        <item x="607"/>
        <item x="482"/>
        <item x="433"/>
        <item x="658"/>
        <item x="28"/>
        <item x="626"/>
        <item x="343"/>
        <item x="446"/>
        <item x="275"/>
        <item x="500"/>
        <item x="671"/>
        <item x="11"/>
        <item x="727"/>
        <item x="163"/>
        <item x="371"/>
        <item x="515"/>
        <item x="210"/>
        <item x="324"/>
        <item x="672"/>
        <item x="620"/>
        <item x="209"/>
        <item x="231"/>
        <item x="226"/>
        <item x="480"/>
        <item x="723"/>
        <item x="178"/>
        <item x="715"/>
        <item x="193"/>
        <item x="52"/>
        <item x="716"/>
        <item x="102"/>
        <item x="542"/>
        <item x="508"/>
        <item x="385"/>
        <item x="218"/>
        <item x="236"/>
        <item x="3"/>
        <item x="481"/>
        <item x="579"/>
        <item x="61"/>
        <item x="339"/>
        <item x="725"/>
        <item x="213"/>
        <item x="493"/>
        <item x="395"/>
        <item x="507"/>
        <item x="296"/>
        <item x="636"/>
        <item x="541"/>
        <item x="757"/>
        <item x="305"/>
        <item x="677"/>
        <item x="751"/>
        <item x="21"/>
        <item x="33"/>
        <item x="693"/>
        <item x="386"/>
        <item x="519"/>
        <item x="278"/>
        <item x="635"/>
        <item x="682"/>
        <item x="204"/>
        <item x="71"/>
        <item x="437"/>
        <item x="123"/>
        <item x="68"/>
        <item x="207"/>
        <item x="280"/>
        <item x="450"/>
        <item x="425"/>
        <item x="219"/>
        <item x="653"/>
        <item x="353"/>
        <item x="73"/>
        <item x="574"/>
        <item x="15"/>
        <item x="228"/>
        <item x="347"/>
        <item x="559"/>
        <item x="212"/>
        <item x="591"/>
        <item x="211"/>
        <item x="238"/>
        <item x="239"/>
        <item x="82"/>
        <item x="85"/>
        <item x="341"/>
        <item x="404"/>
        <item x="563"/>
        <item x="676"/>
        <item x="252"/>
        <item x="184"/>
        <item x="687"/>
        <item x="660"/>
        <item x="222"/>
        <item x="25"/>
        <item x="295"/>
        <item x="257"/>
        <item x="534"/>
        <item x="321"/>
        <item x="322"/>
        <item x="532"/>
        <item x="75"/>
        <item x="490"/>
        <item x="1"/>
        <item x="734"/>
        <item x="260"/>
        <item x="675"/>
        <item x="743"/>
        <item x="484"/>
        <item x="646"/>
        <item x="74"/>
        <item x="221"/>
        <item x="737"/>
        <item x="13"/>
        <item x="173"/>
        <item x="100"/>
        <item x="598"/>
        <item x="126"/>
        <item x="208"/>
        <item x="466"/>
        <item x="527"/>
        <item x="43"/>
        <item x="89"/>
        <item x="362"/>
        <item x="599"/>
        <item x="56"/>
        <item x="137"/>
        <item x="24"/>
        <item x="556"/>
        <item x="632"/>
        <item x="234"/>
        <item x="129"/>
        <item x="554"/>
        <item x="340"/>
        <item x="54"/>
        <item x="206"/>
        <item x="659"/>
        <item x="237"/>
        <item x="271"/>
        <item x="368"/>
        <item x="679"/>
        <item x="365"/>
        <item x="627"/>
        <item x="621"/>
        <item x="576"/>
        <item x="678"/>
        <item x="643"/>
        <item x="674"/>
        <item x="530"/>
        <item x="156"/>
        <item x="569"/>
        <item x="747"/>
        <item x="171"/>
        <item x="93"/>
        <item x="707"/>
        <item x="38"/>
        <item x="81"/>
        <item x="592"/>
        <item x="600"/>
        <item x="248"/>
        <item x="51"/>
        <item x="302"/>
        <item x="150"/>
        <item x="175"/>
        <item x="533"/>
        <item x="337"/>
        <item x="709"/>
        <item x="478"/>
        <item x="549"/>
        <item x="463"/>
        <item x="540"/>
        <item x="230"/>
        <item x="359"/>
        <item x="268"/>
        <item x="297"/>
        <item x="506"/>
        <item x="240"/>
        <item x="8"/>
        <item x="202"/>
        <item x="241"/>
        <item x="555"/>
        <item x="253"/>
        <item x="399"/>
        <item x="205"/>
        <item x="470"/>
        <item x="732"/>
        <item x="631"/>
        <item x="307"/>
        <item x="623"/>
        <item x="186"/>
        <item x="489"/>
        <item x="634"/>
        <item x="313"/>
        <item x="649"/>
        <item x="20"/>
        <item x="397"/>
        <item x="18"/>
        <item x="430"/>
        <item x="350"/>
        <item x="229"/>
        <item x="319"/>
        <item x="132"/>
        <item x="673"/>
        <item x="225"/>
        <item x="335"/>
        <item x="42"/>
        <item x="255"/>
        <item x="568"/>
        <item x="174"/>
        <item x="232"/>
        <item x="605"/>
        <item x="575"/>
        <item x="431"/>
        <item x="192"/>
        <item x="6"/>
        <item x="104"/>
        <item x="699"/>
        <item x="330"/>
        <item x="256"/>
        <item x="287"/>
        <item x="333"/>
        <item x="703"/>
        <item x="106"/>
        <item x="101"/>
        <item x="151"/>
        <item x="182"/>
        <item x="390"/>
        <item x="250"/>
        <item x="158"/>
        <item x="217"/>
        <item x="108"/>
        <item x="498"/>
        <item x="473"/>
        <item x="513"/>
        <item x="523"/>
        <item x="511"/>
        <item x="299"/>
        <item x="161"/>
        <item x="281"/>
        <item x="88"/>
        <item x="136"/>
        <item x="355"/>
        <item x="292"/>
        <item x="573"/>
        <item x="46"/>
        <item x="462"/>
        <item x="393"/>
        <item x="389"/>
        <item x="195"/>
        <item x="203"/>
        <item x="427"/>
        <item x="718"/>
        <item x="759"/>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8">
        <item x="1"/>
        <item x="2"/>
        <item x="3"/>
        <item x="0"/>
        <item x="5"/>
        <item x="4"/>
        <item h="1" x="6"/>
        <item t="default"/>
      </items>
    </pivotField>
    <pivotField showAll="0">
      <items count="7">
        <item x="1"/>
        <item x="0"/>
        <item x="2"/>
        <item x="4"/>
        <item x="3"/>
        <item h="1"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3"/>
  </rowFields>
  <rowItems count="7">
    <i>
      <x/>
    </i>
    <i>
      <x v="1"/>
    </i>
    <i>
      <x v="2"/>
    </i>
    <i>
      <x v="3"/>
    </i>
    <i>
      <x v="4"/>
    </i>
    <i>
      <x v="5"/>
    </i>
    <i t="grand">
      <x/>
    </i>
  </rowItems>
  <colItems count="1">
    <i/>
  </colItems>
  <dataFields count="1">
    <dataField name="Count of OrderID" fld="0" subtotal="count" baseField="0" baseItem="0"/>
  </dataFields>
  <chartFormats count="2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0" format="4">
      <pivotArea type="data" outline="0" fieldPosition="0">
        <references count="2">
          <reference field="4294967294" count="1" selected="0">
            <x v="0"/>
          </reference>
          <reference field="13" count="1" selected="0">
            <x v="3"/>
          </reference>
        </references>
      </pivotArea>
    </chartFormat>
    <chartFormat chart="0" format="5">
      <pivotArea type="data" outline="0" fieldPosition="0">
        <references count="2">
          <reference field="4294967294" count="1" selected="0">
            <x v="0"/>
          </reference>
          <reference field="13" count="1" selected="0">
            <x v="4"/>
          </reference>
        </references>
      </pivotArea>
    </chartFormat>
    <chartFormat chart="0" format="6">
      <pivotArea type="data" outline="0" fieldPosition="0">
        <references count="2">
          <reference field="4294967294" count="1" selected="0">
            <x v="0"/>
          </reference>
          <reference field="13" count="1" selected="0">
            <x v="5"/>
          </reference>
        </references>
      </pivotArea>
    </chartFormat>
    <chartFormat chart="0" format="7">
      <pivotArea type="data" outline="0" fieldPosition="0">
        <references count="2">
          <reference field="4294967294" count="1" selected="0">
            <x v="0"/>
          </reference>
          <reference field="13" count="1" selected="0">
            <x v="6"/>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3" count="1" selected="0">
            <x v="0"/>
          </reference>
        </references>
      </pivotArea>
    </chartFormat>
    <chartFormat chart="5" format="10">
      <pivotArea type="data" outline="0" fieldPosition="0">
        <references count="2">
          <reference field="4294967294" count="1" selected="0">
            <x v="0"/>
          </reference>
          <reference field="13" count="1" selected="0">
            <x v="1"/>
          </reference>
        </references>
      </pivotArea>
    </chartFormat>
    <chartFormat chart="5" format="11">
      <pivotArea type="data" outline="0" fieldPosition="0">
        <references count="2">
          <reference field="4294967294" count="1" selected="0">
            <x v="0"/>
          </reference>
          <reference field="13" count="1" selected="0">
            <x v="2"/>
          </reference>
        </references>
      </pivotArea>
    </chartFormat>
    <chartFormat chart="5" format="12">
      <pivotArea type="data" outline="0" fieldPosition="0">
        <references count="2">
          <reference field="4294967294" count="1" selected="0">
            <x v="0"/>
          </reference>
          <reference field="13" count="1" selected="0">
            <x v="3"/>
          </reference>
        </references>
      </pivotArea>
    </chartFormat>
    <chartFormat chart="5" format="13">
      <pivotArea type="data" outline="0" fieldPosition="0">
        <references count="2">
          <reference field="4294967294" count="1" selected="0">
            <x v="0"/>
          </reference>
          <reference field="13" count="1" selected="0">
            <x v="4"/>
          </reference>
        </references>
      </pivotArea>
    </chartFormat>
    <chartFormat chart="5" format="14">
      <pivotArea type="data" outline="0" fieldPosition="0">
        <references count="2">
          <reference field="4294967294" count="1" selected="0">
            <x v="0"/>
          </reference>
          <reference field="13" count="1" selected="0">
            <x v="5"/>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13" count="1" selected="0">
            <x v="0"/>
          </reference>
        </references>
      </pivotArea>
    </chartFormat>
    <chartFormat chart="6" format="17">
      <pivotArea type="data" outline="0" fieldPosition="0">
        <references count="2">
          <reference field="4294967294" count="1" selected="0">
            <x v="0"/>
          </reference>
          <reference field="13" count="1" selected="0">
            <x v="1"/>
          </reference>
        </references>
      </pivotArea>
    </chartFormat>
    <chartFormat chart="6" format="18">
      <pivotArea type="data" outline="0" fieldPosition="0">
        <references count="2">
          <reference field="4294967294" count="1" selected="0">
            <x v="0"/>
          </reference>
          <reference field="13" count="1" selected="0">
            <x v="2"/>
          </reference>
        </references>
      </pivotArea>
    </chartFormat>
    <chartFormat chart="6" format="19">
      <pivotArea type="data" outline="0" fieldPosition="0">
        <references count="2">
          <reference field="4294967294" count="1" selected="0">
            <x v="0"/>
          </reference>
          <reference field="13" count="1" selected="0">
            <x v="3"/>
          </reference>
        </references>
      </pivotArea>
    </chartFormat>
    <chartFormat chart="6" format="20">
      <pivotArea type="data" outline="0" fieldPosition="0">
        <references count="2">
          <reference field="4294967294" count="1" selected="0">
            <x v="0"/>
          </reference>
          <reference field="13" count="1" selected="0">
            <x v="4"/>
          </reference>
        </references>
      </pivotArea>
    </chartFormat>
    <chartFormat chart="6" format="21">
      <pivotArea type="data" outline="0" fieldPosition="0">
        <references count="2">
          <reference field="4294967294" count="1" selected="0">
            <x v="0"/>
          </reference>
          <reference field="13" count="1" selected="0">
            <x v="5"/>
          </reference>
        </references>
      </pivotArea>
    </chartFormat>
    <chartFormat chart="26" format="29" series="1">
      <pivotArea type="data" outline="0" fieldPosition="0">
        <references count="1">
          <reference field="4294967294" count="1" selected="0">
            <x v="0"/>
          </reference>
        </references>
      </pivotArea>
    </chartFormat>
    <chartFormat chart="26" format="30">
      <pivotArea type="data" outline="0" fieldPosition="0">
        <references count="2">
          <reference field="4294967294" count="1" selected="0">
            <x v="0"/>
          </reference>
          <reference field="13" count="1" selected="0">
            <x v="0"/>
          </reference>
        </references>
      </pivotArea>
    </chartFormat>
    <chartFormat chart="26" format="31">
      <pivotArea type="data" outline="0" fieldPosition="0">
        <references count="2">
          <reference field="4294967294" count="1" selected="0">
            <x v="0"/>
          </reference>
          <reference field="13" count="1" selected="0">
            <x v="1"/>
          </reference>
        </references>
      </pivotArea>
    </chartFormat>
    <chartFormat chart="26" format="32">
      <pivotArea type="data" outline="0" fieldPosition="0">
        <references count="2">
          <reference field="4294967294" count="1" selected="0">
            <x v="0"/>
          </reference>
          <reference field="13" count="1" selected="0">
            <x v="2"/>
          </reference>
        </references>
      </pivotArea>
    </chartFormat>
    <chartFormat chart="26" format="33">
      <pivotArea type="data" outline="0" fieldPosition="0">
        <references count="2">
          <reference field="4294967294" count="1" selected="0">
            <x v="0"/>
          </reference>
          <reference field="13" count="1" selected="0">
            <x v="3"/>
          </reference>
        </references>
      </pivotArea>
    </chartFormat>
    <chartFormat chart="26" format="34">
      <pivotArea type="data" outline="0" fieldPosition="0">
        <references count="2">
          <reference field="4294967294" count="1" selected="0">
            <x v="0"/>
          </reference>
          <reference field="13" count="1" selected="0">
            <x v="4"/>
          </reference>
        </references>
      </pivotArea>
    </chartFormat>
    <chartFormat chart="26" format="35">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CCDE89-27D8-4F8D-BA76-D9AAD3D423D2}" name="PivotTable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9" firstHeaderRow="1" firstDataRow="1" firstDataCol="1"/>
  <pivotFields count="21">
    <pivotField dataField="1"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t="default"/>
      </items>
    </pivotField>
    <pivotField showAll="0">
      <items count="761">
        <item x="741"/>
        <item x="245"/>
        <item x="445"/>
        <item x="311"/>
        <item x="714"/>
        <item x="539"/>
        <item x="65"/>
        <item x="120"/>
        <item x="369"/>
        <item x="388"/>
        <item x="416"/>
        <item x="58"/>
        <item x="34"/>
        <item x="510"/>
        <item x="356"/>
        <item x="628"/>
        <item x="745"/>
        <item x="78"/>
        <item x="414"/>
        <item x="572"/>
        <item x="351"/>
        <item x="644"/>
        <item x="140"/>
        <item x="451"/>
        <item x="429"/>
        <item x="317"/>
        <item x="665"/>
        <item x="580"/>
        <item x="726"/>
        <item x="121"/>
        <item x="586"/>
        <item x="669"/>
        <item x="738"/>
        <item x="14"/>
        <item x="546"/>
        <item x="641"/>
        <item x="72"/>
        <item x="497"/>
        <item x="746"/>
        <item x="181"/>
        <item x="153"/>
        <item x="323"/>
        <item x="730"/>
        <item x="604"/>
        <item x="244"/>
        <item x="551"/>
        <item x="467"/>
        <item x="750"/>
        <item x="460"/>
        <item x="9"/>
        <item x="263"/>
        <item x="387"/>
        <item x="19"/>
        <item x="664"/>
        <item x="142"/>
        <item x="273"/>
        <item x="721"/>
        <item x="285"/>
        <item x="435"/>
        <item x="294"/>
        <item x="316"/>
        <item x="327"/>
        <item x="488"/>
        <item x="400"/>
        <item x="372"/>
        <item x="526"/>
        <item x="336"/>
        <item x="94"/>
        <item x="60"/>
        <item x="624"/>
        <item x="647"/>
        <item x="583"/>
        <item x="378"/>
        <item x="277"/>
        <item x="115"/>
        <item x="47"/>
        <item x="382"/>
        <item x="566"/>
        <item x="269"/>
        <item x="143"/>
        <item x="95"/>
        <item x="261"/>
        <item x="79"/>
        <item x="169"/>
        <item x="314"/>
        <item x="113"/>
        <item x="502"/>
        <item x="247"/>
        <item x="722"/>
        <item x="357"/>
        <item x="352"/>
        <item x="138"/>
        <item x="611"/>
        <item x="753"/>
        <item x="66"/>
        <item x="405"/>
        <item x="258"/>
        <item x="748"/>
        <item x="35"/>
        <item x="306"/>
        <item x="711"/>
        <item x="524"/>
        <item x="298"/>
        <item x="443"/>
        <item x="587"/>
        <item x="752"/>
        <item x="456"/>
        <item x="97"/>
        <item x="30"/>
        <item x="577"/>
        <item x="266"/>
        <item x="360"/>
        <item x="537"/>
        <item x="134"/>
        <item x="265"/>
        <item x="105"/>
        <item x="377"/>
        <item x="438"/>
        <item x="436"/>
        <item x="64"/>
        <item x="224"/>
        <item x="417"/>
        <item x="12"/>
        <item x="522"/>
        <item x="109"/>
        <item x="630"/>
        <item x="505"/>
        <item x="23"/>
        <item x="300"/>
        <item x="656"/>
        <item x="509"/>
        <item x="686"/>
        <item x="457"/>
        <item x="689"/>
        <item x="719"/>
        <item x="135"/>
        <item x="116"/>
        <item x="251"/>
        <item x="27"/>
        <item x="655"/>
        <item x="62"/>
        <item x="754"/>
        <item x="708"/>
        <item x="131"/>
        <item x="168"/>
        <item x="584"/>
        <item x="538"/>
        <item x="165"/>
        <item x="419"/>
        <item x="264"/>
        <item x="91"/>
        <item x="284"/>
        <item x="315"/>
        <item x="731"/>
        <item x="149"/>
        <item x="411"/>
        <item x="558"/>
        <item x="550"/>
        <item x="133"/>
        <item x="504"/>
        <item x="354"/>
        <item x="235"/>
        <item x="442"/>
        <item x="585"/>
        <item x="744"/>
        <item x="713"/>
        <item x="308"/>
        <item x="588"/>
        <item x="99"/>
        <item x="564"/>
        <item x="32"/>
        <item x="704"/>
        <item x="279"/>
        <item x="10"/>
        <item x="346"/>
        <item x="422"/>
        <item x="293"/>
        <item x="503"/>
        <item x="39"/>
        <item x="650"/>
        <item x="373"/>
        <item x="183"/>
        <item x="479"/>
        <item x="288"/>
        <item x="401"/>
        <item x="618"/>
        <item x="117"/>
        <item x="376"/>
        <item x="543"/>
        <item x="633"/>
        <item x="700"/>
        <item x="148"/>
        <item x="657"/>
        <item x="76"/>
        <item x="326"/>
        <item x="41"/>
        <item x="418"/>
        <item x="472"/>
        <item x="520"/>
        <item x="375"/>
        <item x="122"/>
        <item x="512"/>
        <item x="190"/>
        <item x="409"/>
        <item x="695"/>
        <item x="188"/>
        <item x="366"/>
        <item x="290"/>
        <item x="198"/>
        <item x="477"/>
        <item x="50"/>
        <item x="179"/>
        <item x="69"/>
        <item x="86"/>
        <item x="603"/>
        <item x="391"/>
        <item x="432"/>
        <item x="196"/>
        <item x="485"/>
        <item x="320"/>
        <item x="614"/>
        <item x="130"/>
        <item x="581"/>
        <item x="63"/>
        <item x="547"/>
        <item x="379"/>
        <item x="274"/>
        <item x="159"/>
        <item x="552"/>
        <item x="301"/>
        <item x="394"/>
        <item x="215"/>
        <item x="214"/>
        <item x="471"/>
        <item x="458"/>
        <item x="344"/>
        <item x="291"/>
        <item x="246"/>
        <item x="160"/>
        <item x="200"/>
        <item x="57"/>
        <item x="125"/>
        <item x="223"/>
        <item x="648"/>
        <item x="420"/>
        <item x="455"/>
        <item x="459"/>
        <item x="612"/>
        <item x="364"/>
        <item x="282"/>
        <item x="571"/>
        <item x="227"/>
        <item x="688"/>
        <item x="666"/>
        <item x="749"/>
        <item x="562"/>
        <item x="736"/>
        <item x="197"/>
        <item x="154"/>
        <item x="415"/>
        <item x="392"/>
        <item x="49"/>
        <item x="345"/>
        <item x="729"/>
        <item x="529"/>
        <item x="531"/>
        <item x="492"/>
        <item x="692"/>
        <item x="243"/>
        <item x="44"/>
        <item x="90"/>
        <item x="483"/>
        <item x="712"/>
        <item x="220"/>
        <item x="642"/>
        <item x="742"/>
        <item x="589"/>
        <item x="107"/>
        <item x="155"/>
        <item x="428"/>
        <item x="560"/>
        <item x="92"/>
        <item x="696"/>
        <item x="610"/>
        <item x="590"/>
        <item x="68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167"/>
        <item x="201"/>
        <item x="358"/>
        <item x="338"/>
        <item x="474"/>
        <item x="152"/>
        <item x="26"/>
        <item x="667"/>
        <item x="98"/>
        <item x="331"/>
        <item x="453"/>
        <item x="661"/>
        <item x="553"/>
        <item x="728"/>
        <item x="412"/>
        <item x="651"/>
        <item x="461"/>
        <item x="53"/>
        <item x="426"/>
        <item x="259"/>
        <item x="439"/>
        <item x="59"/>
        <item x="545"/>
        <item x="593"/>
        <item x="528"/>
        <item x="724"/>
        <item x="396"/>
        <item x="249"/>
        <item x="37"/>
        <item x="2"/>
        <item x="176"/>
        <item x="452"/>
        <item x="697"/>
        <item x="166"/>
        <item x="17"/>
        <item x="578"/>
        <item x="639"/>
        <item x="448"/>
        <item x="329"/>
        <item x="110"/>
        <item x="303"/>
        <item x="710"/>
        <item x="267"/>
        <item x="594"/>
        <item x="670"/>
        <item x="597"/>
        <item x="172"/>
        <item x="652"/>
        <item x="525"/>
        <item x="304"/>
        <item x="70"/>
        <item x="413"/>
        <item x="706"/>
        <item x="501"/>
        <item x="619"/>
        <item x="328"/>
        <item x="758"/>
        <item x="565"/>
        <item x="410"/>
        <item x="705"/>
        <item x="384"/>
        <item x="289"/>
        <item x="145"/>
        <item x="662"/>
        <item x="608"/>
        <item x="454"/>
        <item x="625"/>
        <item x="596"/>
        <item x="242"/>
        <item x="617"/>
        <item x="283"/>
        <item x="29"/>
        <item x="334"/>
        <item x="48"/>
        <item x="701"/>
        <item x="361"/>
        <item x="157"/>
        <item x="398"/>
        <item x="685"/>
        <item x="548"/>
        <item x="680"/>
        <item x="421"/>
        <item x="216"/>
        <item x="45"/>
        <item x="570"/>
        <item x="383"/>
        <item x="270"/>
        <item x="755"/>
        <item x="449"/>
        <item x="380"/>
        <item x="96"/>
        <item x="491"/>
        <item x="441"/>
        <item x="444"/>
        <item x="496"/>
        <item x="499"/>
        <item x="199"/>
        <item x="310"/>
        <item x="518"/>
        <item x="103"/>
        <item x="139"/>
        <item x="363"/>
        <item x="180"/>
        <item x="84"/>
        <item x="654"/>
        <item x="83"/>
        <item x="162"/>
        <item x="690"/>
        <item x="615"/>
        <item x="681"/>
        <item x="170"/>
        <item x="521"/>
        <item x="582"/>
        <item x="7"/>
        <item x="348"/>
        <item x="735"/>
        <item x="595"/>
        <item x="141"/>
        <item x="146"/>
        <item x="189"/>
        <item x="309"/>
        <item x="407"/>
        <item x="118"/>
        <item x="606"/>
        <item x="536"/>
        <item x="374"/>
        <item x="495"/>
        <item x="147"/>
        <item x="367"/>
        <item x="111"/>
        <item x="440"/>
        <item x="464"/>
        <item x="40"/>
        <item x="127"/>
        <item x="720"/>
        <item x="494"/>
        <item x="638"/>
        <item x="5"/>
        <item x="616"/>
        <item x="557"/>
        <item x="487"/>
        <item x="740"/>
        <item x="80"/>
        <item x="739"/>
        <item x="194"/>
        <item x="424"/>
        <item x="475"/>
        <item x="312"/>
        <item x="16"/>
        <item x="0"/>
        <item x="403"/>
        <item x="87"/>
        <item x="4"/>
        <item x="325"/>
        <item x="233"/>
        <item x="381"/>
        <item x="663"/>
        <item x="476"/>
        <item x="717"/>
        <item x="318"/>
        <item x="691"/>
        <item x="276"/>
        <item x="434"/>
        <item x="645"/>
        <item x="469"/>
        <item x="124"/>
        <item x="254"/>
        <item x="55"/>
        <item x="637"/>
        <item x="609"/>
        <item x="342"/>
        <item x="128"/>
        <item x="423"/>
        <item x="602"/>
        <item x="702"/>
        <item x="286"/>
        <item x="668"/>
        <item x="601"/>
        <item x="119"/>
        <item x="191"/>
        <item x="31"/>
        <item x="332"/>
        <item x="629"/>
        <item x="535"/>
        <item x="187"/>
        <item x="370"/>
        <item x="622"/>
        <item x="406"/>
        <item x="694"/>
        <item x="514"/>
        <item x="640"/>
        <item x="262"/>
        <item x="607"/>
        <item x="482"/>
        <item x="433"/>
        <item x="658"/>
        <item x="28"/>
        <item x="626"/>
        <item x="343"/>
        <item x="446"/>
        <item x="275"/>
        <item x="500"/>
        <item x="671"/>
        <item x="11"/>
        <item x="727"/>
        <item x="163"/>
        <item x="371"/>
        <item x="515"/>
        <item x="210"/>
        <item x="324"/>
        <item x="672"/>
        <item x="620"/>
        <item x="209"/>
        <item x="231"/>
        <item x="226"/>
        <item x="480"/>
        <item x="723"/>
        <item x="178"/>
        <item x="715"/>
        <item x="193"/>
        <item x="52"/>
        <item x="716"/>
        <item x="102"/>
        <item x="542"/>
        <item x="508"/>
        <item x="385"/>
        <item x="218"/>
        <item x="236"/>
        <item x="3"/>
        <item x="481"/>
        <item x="579"/>
        <item x="61"/>
        <item x="339"/>
        <item x="725"/>
        <item x="213"/>
        <item x="493"/>
        <item x="395"/>
        <item x="507"/>
        <item x="296"/>
        <item x="636"/>
        <item x="541"/>
        <item x="757"/>
        <item x="305"/>
        <item x="677"/>
        <item x="751"/>
        <item x="21"/>
        <item x="33"/>
        <item x="693"/>
        <item x="386"/>
        <item x="519"/>
        <item x="278"/>
        <item x="635"/>
        <item x="682"/>
        <item x="204"/>
        <item x="71"/>
        <item x="437"/>
        <item x="123"/>
        <item x="68"/>
        <item x="207"/>
        <item x="280"/>
        <item x="450"/>
        <item x="425"/>
        <item x="219"/>
        <item x="653"/>
        <item x="353"/>
        <item x="73"/>
        <item x="574"/>
        <item x="15"/>
        <item x="228"/>
        <item x="347"/>
        <item x="559"/>
        <item x="212"/>
        <item x="591"/>
        <item x="211"/>
        <item x="238"/>
        <item x="239"/>
        <item x="82"/>
        <item x="85"/>
        <item x="341"/>
        <item x="404"/>
        <item x="563"/>
        <item x="676"/>
        <item x="252"/>
        <item x="184"/>
        <item x="687"/>
        <item x="660"/>
        <item x="222"/>
        <item x="25"/>
        <item x="295"/>
        <item x="257"/>
        <item x="534"/>
        <item x="321"/>
        <item x="322"/>
        <item x="532"/>
        <item x="75"/>
        <item x="490"/>
        <item x="1"/>
        <item x="734"/>
        <item x="260"/>
        <item x="675"/>
        <item x="743"/>
        <item x="484"/>
        <item x="646"/>
        <item x="74"/>
        <item x="221"/>
        <item x="737"/>
        <item x="13"/>
        <item x="173"/>
        <item x="100"/>
        <item x="598"/>
        <item x="126"/>
        <item x="208"/>
        <item x="466"/>
        <item x="527"/>
        <item x="43"/>
        <item x="89"/>
        <item x="362"/>
        <item x="599"/>
        <item x="56"/>
        <item x="137"/>
        <item x="24"/>
        <item x="556"/>
        <item x="632"/>
        <item x="234"/>
        <item x="129"/>
        <item x="554"/>
        <item x="340"/>
        <item x="54"/>
        <item x="206"/>
        <item x="659"/>
        <item x="237"/>
        <item x="271"/>
        <item x="368"/>
        <item x="679"/>
        <item x="365"/>
        <item x="627"/>
        <item x="621"/>
        <item x="576"/>
        <item x="678"/>
        <item x="643"/>
        <item x="674"/>
        <item x="530"/>
        <item x="156"/>
        <item x="569"/>
        <item x="747"/>
        <item x="171"/>
        <item x="93"/>
        <item x="707"/>
        <item x="38"/>
        <item x="81"/>
        <item x="592"/>
        <item x="600"/>
        <item x="248"/>
        <item x="51"/>
        <item x="302"/>
        <item x="150"/>
        <item x="175"/>
        <item x="533"/>
        <item x="337"/>
        <item x="709"/>
        <item x="478"/>
        <item x="549"/>
        <item x="463"/>
        <item x="540"/>
        <item x="230"/>
        <item x="359"/>
        <item x="268"/>
        <item x="297"/>
        <item x="506"/>
        <item x="240"/>
        <item x="8"/>
        <item x="202"/>
        <item x="241"/>
        <item x="555"/>
        <item x="253"/>
        <item x="399"/>
        <item x="205"/>
        <item x="470"/>
        <item x="732"/>
        <item x="631"/>
        <item x="307"/>
        <item x="623"/>
        <item x="186"/>
        <item x="489"/>
        <item x="634"/>
        <item x="313"/>
        <item x="649"/>
        <item x="20"/>
        <item x="397"/>
        <item x="18"/>
        <item x="430"/>
        <item x="350"/>
        <item x="229"/>
        <item x="319"/>
        <item x="132"/>
        <item x="673"/>
        <item x="225"/>
        <item x="335"/>
        <item x="42"/>
        <item x="255"/>
        <item x="568"/>
        <item x="174"/>
        <item x="232"/>
        <item x="605"/>
        <item x="575"/>
        <item x="431"/>
        <item x="192"/>
        <item x="6"/>
        <item x="104"/>
        <item x="699"/>
        <item x="330"/>
        <item x="256"/>
        <item x="287"/>
        <item x="333"/>
        <item x="703"/>
        <item x="106"/>
        <item x="101"/>
        <item x="151"/>
        <item x="182"/>
        <item x="390"/>
        <item x="250"/>
        <item x="158"/>
        <item x="217"/>
        <item x="108"/>
        <item x="498"/>
        <item x="473"/>
        <item x="513"/>
        <item x="523"/>
        <item x="511"/>
        <item x="299"/>
        <item x="161"/>
        <item x="281"/>
        <item x="88"/>
        <item x="136"/>
        <item x="355"/>
        <item x="292"/>
        <item x="573"/>
        <item x="46"/>
        <item x="462"/>
        <item x="393"/>
        <item x="389"/>
        <item x="195"/>
        <item x="203"/>
        <item x="427"/>
        <item x="718"/>
        <item x="759"/>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8">
        <item x="1"/>
        <item x="2"/>
        <item x="3"/>
        <item x="0"/>
        <item x="5"/>
        <item x="4"/>
        <item h="1" x="6"/>
        <item t="default"/>
      </items>
    </pivotField>
    <pivotField axis="axisRow" showAll="0">
      <items count="7">
        <item x="1"/>
        <item x="0"/>
        <item x="2"/>
        <item x="4"/>
        <item x="3"/>
        <item h="1"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6">
    <i>
      <x/>
    </i>
    <i>
      <x v="1"/>
    </i>
    <i>
      <x v="2"/>
    </i>
    <i>
      <x v="3"/>
    </i>
    <i>
      <x v="4"/>
    </i>
    <i t="grand">
      <x/>
    </i>
  </rowItems>
  <colItems count="1">
    <i/>
  </colItems>
  <dataFields count="1">
    <dataField name="Count of OrderID" fld="0" subtotal="count" baseField="0" baseItem="0"/>
  </dataFields>
  <chartFormats count="3">
    <chartFormat chart="7"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612D7C-1F99-4500-848A-DD6EFF630450}" name="PivotTable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B9" firstHeaderRow="1" firstDataRow="1" firstDataCol="1"/>
  <pivotFields count="21">
    <pivotField showAll="0"/>
    <pivotField axis="axisRow" showAll="0">
      <items count="761">
        <item x="741"/>
        <item x="245"/>
        <item x="445"/>
        <item x="311"/>
        <item x="714"/>
        <item x="539"/>
        <item x="65"/>
        <item x="120"/>
        <item x="369"/>
        <item x="388"/>
        <item x="416"/>
        <item x="58"/>
        <item x="34"/>
        <item x="510"/>
        <item x="356"/>
        <item x="628"/>
        <item x="745"/>
        <item x="78"/>
        <item x="414"/>
        <item x="572"/>
        <item x="351"/>
        <item x="644"/>
        <item x="140"/>
        <item x="451"/>
        <item x="429"/>
        <item x="317"/>
        <item x="665"/>
        <item x="580"/>
        <item x="726"/>
        <item x="121"/>
        <item x="586"/>
        <item x="669"/>
        <item x="738"/>
        <item x="14"/>
        <item x="546"/>
        <item x="641"/>
        <item x="72"/>
        <item x="497"/>
        <item x="746"/>
        <item x="181"/>
        <item x="153"/>
        <item x="323"/>
        <item x="730"/>
        <item x="604"/>
        <item x="244"/>
        <item x="551"/>
        <item x="467"/>
        <item x="750"/>
        <item x="460"/>
        <item x="9"/>
        <item x="263"/>
        <item x="387"/>
        <item x="19"/>
        <item x="664"/>
        <item x="142"/>
        <item x="273"/>
        <item x="721"/>
        <item x="285"/>
        <item x="435"/>
        <item x="294"/>
        <item x="316"/>
        <item x="327"/>
        <item x="488"/>
        <item x="400"/>
        <item x="372"/>
        <item x="526"/>
        <item x="336"/>
        <item x="94"/>
        <item x="60"/>
        <item x="624"/>
        <item x="647"/>
        <item x="583"/>
        <item x="378"/>
        <item x="277"/>
        <item x="115"/>
        <item x="47"/>
        <item x="382"/>
        <item x="566"/>
        <item x="269"/>
        <item x="143"/>
        <item x="95"/>
        <item x="261"/>
        <item x="79"/>
        <item x="169"/>
        <item x="314"/>
        <item x="113"/>
        <item x="502"/>
        <item x="247"/>
        <item x="722"/>
        <item x="357"/>
        <item x="352"/>
        <item x="138"/>
        <item x="611"/>
        <item x="753"/>
        <item x="66"/>
        <item x="405"/>
        <item x="258"/>
        <item x="748"/>
        <item x="35"/>
        <item x="306"/>
        <item x="711"/>
        <item x="524"/>
        <item x="298"/>
        <item x="443"/>
        <item x="587"/>
        <item x="752"/>
        <item x="456"/>
        <item x="97"/>
        <item x="30"/>
        <item x="577"/>
        <item x="266"/>
        <item x="360"/>
        <item x="537"/>
        <item x="134"/>
        <item x="265"/>
        <item x="105"/>
        <item x="377"/>
        <item x="438"/>
        <item x="436"/>
        <item x="64"/>
        <item x="224"/>
        <item x="417"/>
        <item x="12"/>
        <item x="522"/>
        <item x="109"/>
        <item x="630"/>
        <item x="505"/>
        <item x="23"/>
        <item x="300"/>
        <item x="656"/>
        <item x="509"/>
        <item x="686"/>
        <item x="457"/>
        <item x="689"/>
        <item x="719"/>
        <item x="135"/>
        <item x="116"/>
        <item x="251"/>
        <item x="27"/>
        <item x="655"/>
        <item x="62"/>
        <item x="754"/>
        <item x="708"/>
        <item x="131"/>
        <item x="168"/>
        <item x="584"/>
        <item x="538"/>
        <item x="165"/>
        <item x="419"/>
        <item x="264"/>
        <item x="91"/>
        <item x="284"/>
        <item x="315"/>
        <item x="731"/>
        <item x="149"/>
        <item x="411"/>
        <item x="558"/>
        <item x="550"/>
        <item x="133"/>
        <item x="504"/>
        <item x="354"/>
        <item x="235"/>
        <item x="442"/>
        <item x="585"/>
        <item x="744"/>
        <item x="713"/>
        <item x="308"/>
        <item x="588"/>
        <item x="99"/>
        <item x="564"/>
        <item x="32"/>
        <item x="704"/>
        <item x="279"/>
        <item x="10"/>
        <item x="346"/>
        <item x="422"/>
        <item x="293"/>
        <item x="503"/>
        <item x="39"/>
        <item x="650"/>
        <item x="373"/>
        <item x="183"/>
        <item x="479"/>
        <item x="288"/>
        <item x="401"/>
        <item x="618"/>
        <item x="117"/>
        <item x="376"/>
        <item x="543"/>
        <item x="633"/>
        <item x="700"/>
        <item x="148"/>
        <item x="657"/>
        <item x="76"/>
        <item x="326"/>
        <item x="41"/>
        <item x="418"/>
        <item x="472"/>
        <item x="520"/>
        <item x="375"/>
        <item x="122"/>
        <item x="512"/>
        <item x="190"/>
        <item x="409"/>
        <item x="695"/>
        <item x="188"/>
        <item x="366"/>
        <item x="290"/>
        <item x="198"/>
        <item x="477"/>
        <item x="50"/>
        <item x="179"/>
        <item x="69"/>
        <item x="86"/>
        <item x="603"/>
        <item x="391"/>
        <item x="432"/>
        <item x="196"/>
        <item x="485"/>
        <item x="320"/>
        <item x="614"/>
        <item x="130"/>
        <item x="581"/>
        <item x="63"/>
        <item x="547"/>
        <item x="379"/>
        <item x="274"/>
        <item x="159"/>
        <item x="552"/>
        <item x="301"/>
        <item x="394"/>
        <item x="215"/>
        <item x="214"/>
        <item x="471"/>
        <item x="458"/>
        <item x="344"/>
        <item x="291"/>
        <item x="246"/>
        <item x="160"/>
        <item x="200"/>
        <item x="57"/>
        <item x="125"/>
        <item x="223"/>
        <item x="648"/>
        <item x="420"/>
        <item x="455"/>
        <item x="459"/>
        <item x="612"/>
        <item x="364"/>
        <item x="282"/>
        <item x="571"/>
        <item x="227"/>
        <item x="688"/>
        <item x="666"/>
        <item x="749"/>
        <item x="562"/>
        <item x="736"/>
        <item x="197"/>
        <item x="154"/>
        <item x="415"/>
        <item x="392"/>
        <item x="49"/>
        <item x="345"/>
        <item x="729"/>
        <item x="529"/>
        <item x="531"/>
        <item x="492"/>
        <item x="692"/>
        <item x="243"/>
        <item x="44"/>
        <item x="90"/>
        <item x="483"/>
        <item x="712"/>
        <item x="220"/>
        <item x="642"/>
        <item x="742"/>
        <item x="589"/>
        <item x="107"/>
        <item x="155"/>
        <item x="428"/>
        <item x="560"/>
        <item x="92"/>
        <item x="696"/>
        <item x="610"/>
        <item x="590"/>
        <item x="68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167"/>
        <item x="201"/>
        <item x="358"/>
        <item x="338"/>
        <item x="474"/>
        <item x="152"/>
        <item x="26"/>
        <item x="667"/>
        <item x="98"/>
        <item x="331"/>
        <item x="453"/>
        <item x="661"/>
        <item x="553"/>
        <item x="728"/>
        <item x="412"/>
        <item x="651"/>
        <item x="461"/>
        <item x="53"/>
        <item x="426"/>
        <item x="259"/>
        <item x="439"/>
        <item x="59"/>
        <item x="545"/>
        <item x="593"/>
        <item x="528"/>
        <item x="724"/>
        <item x="396"/>
        <item x="249"/>
        <item x="37"/>
        <item x="2"/>
        <item x="176"/>
        <item x="452"/>
        <item x="697"/>
        <item x="166"/>
        <item x="17"/>
        <item x="578"/>
        <item x="639"/>
        <item x="448"/>
        <item x="329"/>
        <item x="110"/>
        <item x="303"/>
        <item x="710"/>
        <item x="267"/>
        <item x="594"/>
        <item x="670"/>
        <item x="597"/>
        <item x="172"/>
        <item x="652"/>
        <item x="525"/>
        <item x="304"/>
        <item x="70"/>
        <item x="413"/>
        <item x="706"/>
        <item x="501"/>
        <item x="619"/>
        <item x="328"/>
        <item x="758"/>
        <item x="565"/>
        <item x="410"/>
        <item x="705"/>
        <item x="384"/>
        <item x="289"/>
        <item x="145"/>
        <item x="662"/>
        <item x="608"/>
        <item x="454"/>
        <item x="625"/>
        <item x="596"/>
        <item x="242"/>
        <item x="617"/>
        <item x="283"/>
        <item x="29"/>
        <item x="334"/>
        <item x="48"/>
        <item x="701"/>
        <item x="361"/>
        <item x="157"/>
        <item x="398"/>
        <item x="685"/>
        <item x="548"/>
        <item x="680"/>
        <item x="421"/>
        <item x="216"/>
        <item x="45"/>
        <item x="570"/>
        <item x="383"/>
        <item x="270"/>
        <item x="755"/>
        <item x="449"/>
        <item x="380"/>
        <item x="96"/>
        <item x="491"/>
        <item x="441"/>
        <item x="444"/>
        <item x="496"/>
        <item x="499"/>
        <item x="199"/>
        <item x="310"/>
        <item x="518"/>
        <item x="103"/>
        <item x="139"/>
        <item x="363"/>
        <item x="180"/>
        <item x="84"/>
        <item x="654"/>
        <item x="83"/>
        <item x="162"/>
        <item x="690"/>
        <item x="615"/>
        <item x="681"/>
        <item x="170"/>
        <item x="521"/>
        <item x="582"/>
        <item x="7"/>
        <item x="348"/>
        <item x="735"/>
        <item x="595"/>
        <item x="141"/>
        <item x="146"/>
        <item x="189"/>
        <item x="309"/>
        <item x="407"/>
        <item x="118"/>
        <item x="606"/>
        <item x="536"/>
        <item x="374"/>
        <item x="495"/>
        <item x="147"/>
        <item x="367"/>
        <item x="111"/>
        <item x="440"/>
        <item x="464"/>
        <item x="40"/>
        <item x="127"/>
        <item x="720"/>
        <item x="494"/>
        <item x="638"/>
        <item x="5"/>
        <item x="616"/>
        <item x="557"/>
        <item x="487"/>
        <item x="740"/>
        <item x="80"/>
        <item x="739"/>
        <item x="194"/>
        <item x="424"/>
        <item x="475"/>
        <item x="312"/>
        <item x="16"/>
        <item x="0"/>
        <item x="403"/>
        <item x="87"/>
        <item x="4"/>
        <item x="325"/>
        <item x="233"/>
        <item x="381"/>
        <item x="663"/>
        <item x="476"/>
        <item x="717"/>
        <item x="318"/>
        <item x="691"/>
        <item x="276"/>
        <item x="434"/>
        <item x="645"/>
        <item x="469"/>
        <item x="124"/>
        <item x="254"/>
        <item x="55"/>
        <item x="637"/>
        <item x="609"/>
        <item x="342"/>
        <item x="128"/>
        <item x="423"/>
        <item x="602"/>
        <item x="702"/>
        <item x="286"/>
        <item x="668"/>
        <item x="601"/>
        <item x="119"/>
        <item x="191"/>
        <item x="31"/>
        <item x="332"/>
        <item x="629"/>
        <item x="535"/>
        <item x="187"/>
        <item x="370"/>
        <item x="622"/>
        <item x="406"/>
        <item x="694"/>
        <item x="514"/>
        <item x="640"/>
        <item x="262"/>
        <item x="607"/>
        <item x="482"/>
        <item x="433"/>
        <item x="658"/>
        <item x="28"/>
        <item x="626"/>
        <item x="343"/>
        <item x="446"/>
        <item x="275"/>
        <item x="500"/>
        <item x="671"/>
        <item x="11"/>
        <item x="727"/>
        <item x="163"/>
        <item x="371"/>
        <item x="515"/>
        <item x="210"/>
        <item x="324"/>
        <item x="672"/>
        <item x="620"/>
        <item x="209"/>
        <item x="231"/>
        <item x="226"/>
        <item x="480"/>
        <item x="723"/>
        <item x="178"/>
        <item x="715"/>
        <item x="193"/>
        <item x="52"/>
        <item x="716"/>
        <item x="102"/>
        <item x="542"/>
        <item x="508"/>
        <item x="385"/>
        <item x="218"/>
        <item x="236"/>
        <item x="3"/>
        <item x="481"/>
        <item x="579"/>
        <item x="61"/>
        <item x="339"/>
        <item x="725"/>
        <item x="213"/>
        <item x="493"/>
        <item x="395"/>
        <item x="507"/>
        <item x="296"/>
        <item x="636"/>
        <item x="541"/>
        <item x="757"/>
        <item x="305"/>
        <item x="677"/>
        <item x="751"/>
        <item x="21"/>
        <item x="33"/>
        <item x="693"/>
        <item x="386"/>
        <item x="519"/>
        <item x="278"/>
        <item x="635"/>
        <item x="682"/>
        <item x="204"/>
        <item x="71"/>
        <item x="437"/>
        <item x="123"/>
        <item x="68"/>
        <item x="207"/>
        <item x="280"/>
        <item x="450"/>
        <item x="425"/>
        <item x="219"/>
        <item x="653"/>
        <item x="353"/>
        <item x="73"/>
        <item x="574"/>
        <item x="15"/>
        <item x="228"/>
        <item x="347"/>
        <item x="559"/>
        <item x="212"/>
        <item x="591"/>
        <item x="211"/>
        <item x="238"/>
        <item x="239"/>
        <item x="82"/>
        <item x="85"/>
        <item x="341"/>
        <item x="404"/>
        <item x="563"/>
        <item x="676"/>
        <item x="252"/>
        <item x="184"/>
        <item x="687"/>
        <item x="660"/>
        <item x="222"/>
        <item x="25"/>
        <item x="295"/>
        <item x="257"/>
        <item x="534"/>
        <item x="321"/>
        <item x="322"/>
        <item x="532"/>
        <item x="75"/>
        <item x="490"/>
        <item x="1"/>
        <item x="734"/>
        <item x="260"/>
        <item x="675"/>
        <item x="743"/>
        <item x="484"/>
        <item x="646"/>
        <item x="74"/>
        <item x="221"/>
        <item x="737"/>
        <item x="13"/>
        <item x="173"/>
        <item x="100"/>
        <item x="598"/>
        <item x="126"/>
        <item x="208"/>
        <item x="466"/>
        <item x="527"/>
        <item x="43"/>
        <item x="89"/>
        <item x="362"/>
        <item x="599"/>
        <item x="56"/>
        <item x="137"/>
        <item x="24"/>
        <item x="556"/>
        <item x="632"/>
        <item x="234"/>
        <item x="129"/>
        <item x="554"/>
        <item x="340"/>
        <item x="54"/>
        <item x="206"/>
        <item x="659"/>
        <item x="237"/>
        <item x="271"/>
        <item x="368"/>
        <item x="679"/>
        <item x="365"/>
        <item x="627"/>
        <item x="621"/>
        <item x="576"/>
        <item x="678"/>
        <item x="643"/>
        <item x="674"/>
        <item x="530"/>
        <item x="156"/>
        <item x="569"/>
        <item x="747"/>
        <item x="171"/>
        <item x="93"/>
        <item x="707"/>
        <item x="38"/>
        <item x="81"/>
        <item x="592"/>
        <item x="600"/>
        <item x="248"/>
        <item x="51"/>
        <item x="302"/>
        <item x="150"/>
        <item x="175"/>
        <item x="533"/>
        <item x="337"/>
        <item x="709"/>
        <item x="478"/>
        <item x="549"/>
        <item x="463"/>
        <item x="540"/>
        <item x="230"/>
        <item x="359"/>
        <item x="268"/>
        <item x="297"/>
        <item x="506"/>
        <item x="240"/>
        <item x="8"/>
        <item x="202"/>
        <item x="241"/>
        <item x="555"/>
        <item x="253"/>
        <item x="399"/>
        <item x="205"/>
        <item x="470"/>
        <item x="732"/>
        <item x="631"/>
        <item x="307"/>
        <item x="623"/>
        <item x="186"/>
        <item x="489"/>
        <item x="634"/>
        <item x="313"/>
        <item x="649"/>
        <item x="20"/>
        <item x="397"/>
        <item x="18"/>
        <item x="430"/>
        <item x="350"/>
        <item x="229"/>
        <item x="319"/>
        <item x="132"/>
        <item x="673"/>
        <item x="225"/>
        <item x="335"/>
        <item x="42"/>
        <item x="255"/>
        <item x="568"/>
        <item x="174"/>
        <item x="232"/>
        <item x="605"/>
        <item x="575"/>
        <item x="431"/>
        <item x="192"/>
        <item x="6"/>
        <item x="104"/>
        <item x="699"/>
        <item x="330"/>
        <item x="256"/>
        <item x="287"/>
        <item x="333"/>
        <item x="703"/>
        <item x="106"/>
        <item x="101"/>
        <item x="151"/>
        <item x="182"/>
        <item x="390"/>
        <item x="250"/>
        <item x="158"/>
        <item x="217"/>
        <item x="108"/>
        <item x="498"/>
        <item x="473"/>
        <item x="513"/>
        <item x="523"/>
        <item x="511"/>
        <item x="299"/>
        <item x="161"/>
        <item x="281"/>
        <item x="88"/>
        <item x="136"/>
        <item x="355"/>
        <item x="292"/>
        <item x="573"/>
        <item x="46"/>
        <item x="462"/>
        <item x="393"/>
        <item x="389"/>
        <item x="195"/>
        <item x="203"/>
        <item x="427"/>
        <item x="718"/>
        <item x="759"/>
        <item t="default"/>
      </items>
    </pivotField>
    <pivotField showAll="0"/>
    <pivotField showAll="0"/>
    <pivotField showAll="0"/>
    <pivotField showAll="0">
      <items count="8">
        <item x="0"/>
        <item x="2"/>
        <item x="5"/>
        <item x="1"/>
        <item x="4"/>
        <item x="3"/>
        <item h="1" x="6"/>
        <item t="default"/>
      </items>
    </pivotField>
    <pivotField showAll="0"/>
    <pivotField showAll="0"/>
    <pivotField showAll="0"/>
    <pivotField showAll="0"/>
    <pivotField showAll="0"/>
    <pivotField showAll="0"/>
    <pivotField dataField="1" showAll="0"/>
    <pivotField showAll="0">
      <items count="8">
        <item x="1"/>
        <item x="2"/>
        <item x="3"/>
        <item x="0"/>
        <item x="5"/>
        <item x="4"/>
        <item h="1" x="6"/>
        <item t="default"/>
      </items>
    </pivotField>
    <pivotField showAll="0">
      <items count="7">
        <item x="1"/>
        <item x="0"/>
        <item x="2"/>
        <item x="4"/>
        <item x="3"/>
        <item h="1" x="5"/>
        <item t="default"/>
      </items>
    </pivotField>
    <pivotField showAll="0"/>
    <pivotField showAll="0"/>
    <pivotField showAll="0"/>
    <pivotField axis="axisRow" showAll="0">
      <items count="15">
        <item h="1" sd="0" x="0"/>
        <item sd="0" x="1"/>
        <item sd="0" x="2"/>
        <item sd="0" x="3"/>
        <item sd="0" x="4"/>
        <item sd="0" x="5"/>
        <item sd="0" x="6"/>
        <item sd="0" x="7"/>
        <item sd="0" x="8"/>
        <item h="1" sd="0" x="9"/>
        <item h="1" sd="0" x="10"/>
        <item h="1" sd="0" x="11"/>
        <item h="1" sd="0" x="12"/>
        <item h="1" sd="0" x="13"/>
        <item t="default" sd="0"/>
      </items>
    </pivotField>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sd="0"/>
      </items>
    </pivotField>
  </pivotFields>
  <rowFields count="3">
    <field x="20"/>
    <field x="18"/>
    <field x="1"/>
  </rowFields>
  <rowItems count="6">
    <i>
      <x v="1"/>
    </i>
    <i>
      <x v="2"/>
    </i>
    <i>
      <x v="3"/>
    </i>
    <i>
      <x v="4"/>
    </i>
    <i>
      <x v="5"/>
    </i>
    <i t="grand">
      <x/>
    </i>
  </rowItems>
  <colItems count="1">
    <i/>
  </colItems>
  <dataFields count="1">
    <dataField name="Sum of TotalAmount" fld="12" baseField="0" baseItem="0"/>
  </dataFields>
  <chartFormats count="2">
    <chartFormat chart="0" format="0"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602531-8C23-4822-96BE-F77A4AEFE6A8}"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4" firstHeaderRow="1" firstDataRow="1" firstDataCol="1"/>
  <pivotFields count="21">
    <pivotField showAll="0"/>
    <pivotField numFmtId="14" showAll="0">
      <items count="760">
        <item x="741"/>
        <item x="245"/>
        <item x="445"/>
        <item x="311"/>
        <item x="714"/>
        <item x="539"/>
        <item x="65"/>
        <item x="120"/>
        <item x="369"/>
        <item x="388"/>
        <item x="416"/>
        <item x="58"/>
        <item x="34"/>
        <item x="510"/>
        <item x="356"/>
        <item x="628"/>
        <item x="745"/>
        <item x="78"/>
        <item x="414"/>
        <item x="572"/>
        <item x="351"/>
        <item x="644"/>
        <item x="140"/>
        <item x="451"/>
        <item x="429"/>
        <item x="317"/>
        <item x="665"/>
        <item x="580"/>
        <item x="726"/>
        <item x="121"/>
        <item x="586"/>
        <item x="669"/>
        <item x="738"/>
        <item x="14"/>
        <item x="546"/>
        <item x="641"/>
        <item x="72"/>
        <item x="497"/>
        <item x="746"/>
        <item x="181"/>
        <item x="153"/>
        <item x="323"/>
        <item x="730"/>
        <item x="604"/>
        <item x="244"/>
        <item x="551"/>
        <item x="467"/>
        <item x="750"/>
        <item x="460"/>
        <item x="9"/>
        <item x="263"/>
        <item x="387"/>
        <item x="19"/>
        <item x="664"/>
        <item x="142"/>
        <item x="273"/>
        <item x="721"/>
        <item x="285"/>
        <item x="435"/>
        <item x="294"/>
        <item x="316"/>
        <item x="327"/>
        <item x="488"/>
        <item x="400"/>
        <item x="372"/>
        <item x="526"/>
        <item x="336"/>
        <item x="94"/>
        <item x="60"/>
        <item x="624"/>
        <item x="647"/>
        <item x="583"/>
        <item x="378"/>
        <item x="277"/>
        <item x="115"/>
        <item x="47"/>
        <item x="382"/>
        <item x="566"/>
        <item x="269"/>
        <item x="143"/>
        <item x="95"/>
        <item x="261"/>
        <item x="79"/>
        <item x="169"/>
        <item x="314"/>
        <item x="113"/>
        <item x="502"/>
        <item x="247"/>
        <item x="722"/>
        <item x="357"/>
        <item x="352"/>
        <item x="138"/>
        <item x="611"/>
        <item x="753"/>
        <item x="66"/>
        <item x="405"/>
        <item x="258"/>
        <item x="748"/>
        <item x="35"/>
        <item x="306"/>
        <item x="711"/>
        <item x="524"/>
        <item x="298"/>
        <item x="443"/>
        <item x="587"/>
        <item x="752"/>
        <item x="456"/>
        <item x="97"/>
        <item x="30"/>
        <item x="577"/>
        <item x="266"/>
        <item x="360"/>
        <item x="537"/>
        <item x="134"/>
        <item x="265"/>
        <item x="105"/>
        <item x="377"/>
        <item x="438"/>
        <item x="436"/>
        <item x="64"/>
        <item x="224"/>
        <item x="417"/>
        <item x="12"/>
        <item x="522"/>
        <item x="109"/>
        <item x="630"/>
        <item x="505"/>
        <item x="23"/>
        <item x="300"/>
        <item x="656"/>
        <item x="509"/>
        <item x="686"/>
        <item x="457"/>
        <item x="689"/>
        <item x="719"/>
        <item x="135"/>
        <item x="116"/>
        <item x="251"/>
        <item x="27"/>
        <item x="655"/>
        <item x="62"/>
        <item x="754"/>
        <item x="708"/>
        <item x="131"/>
        <item x="168"/>
        <item x="584"/>
        <item x="538"/>
        <item x="165"/>
        <item x="419"/>
        <item x="264"/>
        <item x="91"/>
        <item x="284"/>
        <item x="315"/>
        <item x="731"/>
        <item x="149"/>
        <item x="411"/>
        <item x="558"/>
        <item x="550"/>
        <item x="133"/>
        <item x="504"/>
        <item x="354"/>
        <item x="235"/>
        <item x="442"/>
        <item x="585"/>
        <item x="744"/>
        <item x="713"/>
        <item x="308"/>
        <item x="588"/>
        <item x="99"/>
        <item x="564"/>
        <item x="32"/>
        <item x="704"/>
        <item x="279"/>
        <item x="10"/>
        <item x="346"/>
        <item x="422"/>
        <item x="293"/>
        <item x="503"/>
        <item x="39"/>
        <item x="650"/>
        <item x="373"/>
        <item x="183"/>
        <item x="479"/>
        <item x="288"/>
        <item x="401"/>
        <item x="618"/>
        <item x="117"/>
        <item x="376"/>
        <item x="543"/>
        <item x="633"/>
        <item x="700"/>
        <item x="148"/>
        <item x="657"/>
        <item x="76"/>
        <item x="326"/>
        <item x="41"/>
        <item x="418"/>
        <item x="472"/>
        <item x="520"/>
        <item x="375"/>
        <item x="122"/>
        <item x="512"/>
        <item x="190"/>
        <item x="409"/>
        <item x="695"/>
        <item x="188"/>
        <item x="366"/>
        <item x="290"/>
        <item x="198"/>
        <item x="477"/>
        <item x="50"/>
        <item x="179"/>
        <item x="69"/>
        <item x="86"/>
        <item x="603"/>
        <item x="391"/>
        <item x="432"/>
        <item x="196"/>
        <item x="485"/>
        <item x="320"/>
        <item x="614"/>
        <item x="130"/>
        <item x="581"/>
        <item x="63"/>
        <item x="547"/>
        <item x="379"/>
        <item x="274"/>
        <item x="159"/>
        <item x="552"/>
        <item x="301"/>
        <item x="394"/>
        <item x="215"/>
        <item x="214"/>
        <item x="471"/>
        <item x="458"/>
        <item x="344"/>
        <item x="291"/>
        <item x="246"/>
        <item x="160"/>
        <item x="200"/>
        <item x="57"/>
        <item x="125"/>
        <item x="223"/>
        <item x="648"/>
        <item x="420"/>
        <item x="455"/>
        <item x="459"/>
        <item x="612"/>
        <item x="364"/>
        <item x="282"/>
        <item x="571"/>
        <item x="227"/>
        <item x="688"/>
        <item x="666"/>
        <item x="749"/>
        <item x="562"/>
        <item x="736"/>
        <item x="197"/>
        <item x="154"/>
        <item x="415"/>
        <item x="392"/>
        <item x="49"/>
        <item x="345"/>
        <item x="729"/>
        <item x="529"/>
        <item x="531"/>
        <item x="492"/>
        <item x="692"/>
        <item x="243"/>
        <item x="44"/>
        <item x="90"/>
        <item x="483"/>
        <item x="712"/>
        <item x="220"/>
        <item x="642"/>
        <item x="742"/>
        <item x="589"/>
        <item x="107"/>
        <item x="155"/>
        <item x="428"/>
        <item x="560"/>
        <item x="92"/>
        <item x="696"/>
        <item x="610"/>
        <item x="590"/>
        <item x="68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167"/>
        <item x="201"/>
        <item x="358"/>
        <item x="338"/>
        <item x="474"/>
        <item x="152"/>
        <item x="26"/>
        <item x="667"/>
        <item x="98"/>
        <item x="331"/>
        <item x="453"/>
        <item x="661"/>
        <item x="553"/>
        <item x="728"/>
        <item x="412"/>
        <item x="651"/>
        <item x="461"/>
        <item x="53"/>
        <item x="426"/>
        <item x="259"/>
        <item x="439"/>
        <item x="59"/>
        <item x="545"/>
        <item x="593"/>
        <item x="528"/>
        <item x="724"/>
        <item x="396"/>
        <item x="249"/>
        <item x="37"/>
        <item x="2"/>
        <item x="176"/>
        <item x="452"/>
        <item x="697"/>
        <item x="166"/>
        <item x="17"/>
        <item x="578"/>
        <item x="639"/>
        <item x="448"/>
        <item x="329"/>
        <item x="110"/>
        <item x="303"/>
        <item x="710"/>
        <item x="267"/>
        <item x="594"/>
        <item x="670"/>
        <item x="597"/>
        <item x="172"/>
        <item x="652"/>
        <item x="525"/>
        <item x="304"/>
        <item x="70"/>
        <item x="413"/>
        <item x="706"/>
        <item x="501"/>
        <item x="619"/>
        <item x="328"/>
        <item x="758"/>
        <item x="565"/>
        <item x="410"/>
        <item x="705"/>
        <item x="384"/>
        <item x="289"/>
        <item x="145"/>
        <item x="662"/>
        <item x="608"/>
        <item x="454"/>
        <item x="625"/>
        <item x="596"/>
        <item x="242"/>
        <item x="617"/>
        <item x="283"/>
        <item x="29"/>
        <item x="334"/>
        <item x="48"/>
        <item x="701"/>
        <item x="361"/>
        <item x="157"/>
        <item x="398"/>
        <item x="685"/>
        <item x="548"/>
        <item x="680"/>
        <item x="421"/>
        <item x="216"/>
        <item x="45"/>
        <item x="570"/>
        <item x="383"/>
        <item x="270"/>
        <item x="755"/>
        <item x="449"/>
        <item x="380"/>
        <item x="96"/>
        <item x="491"/>
        <item x="441"/>
        <item x="444"/>
        <item x="496"/>
        <item x="499"/>
        <item x="199"/>
        <item x="310"/>
        <item x="518"/>
        <item x="103"/>
        <item x="139"/>
        <item x="363"/>
        <item x="180"/>
        <item x="84"/>
        <item x="654"/>
        <item x="83"/>
        <item x="162"/>
        <item x="690"/>
        <item x="615"/>
        <item x="681"/>
        <item x="170"/>
        <item x="521"/>
        <item x="582"/>
        <item x="7"/>
        <item x="348"/>
        <item x="735"/>
        <item x="595"/>
        <item x="141"/>
        <item x="146"/>
        <item x="189"/>
        <item x="309"/>
        <item x="407"/>
        <item x="118"/>
        <item x="606"/>
        <item x="536"/>
        <item x="374"/>
        <item x="495"/>
        <item x="147"/>
        <item x="367"/>
        <item x="111"/>
        <item x="440"/>
        <item x="464"/>
        <item x="40"/>
        <item x="127"/>
        <item x="720"/>
        <item x="494"/>
        <item x="638"/>
        <item x="5"/>
        <item x="616"/>
        <item x="557"/>
        <item x="487"/>
        <item x="740"/>
        <item x="80"/>
        <item x="739"/>
        <item x="194"/>
        <item x="424"/>
        <item x="475"/>
        <item x="312"/>
        <item x="16"/>
        <item x="0"/>
        <item x="403"/>
        <item x="87"/>
        <item x="4"/>
        <item x="325"/>
        <item x="233"/>
        <item x="381"/>
        <item x="663"/>
        <item x="476"/>
        <item x="717"/>
        <item x="318"/>
        <item x="691"/>
        <item x="276"/>
        <item x="434"/>
        <item x="645"/>
        <item x="469"/>
        <item x="124"/>
        <item x="254"/>
        <item x="55"/>
        <item x="637"/>
        <item x="609"/>
        <item x="342"/>
        <item x="128"/>
        <item x="423"/>
        <item x="602"/>
        <item x="702"/>
        <item x="286"/>
        <item x="668"/>
        <item x="601"/>
        <item x="119"/>
        <item x="191"/>
        <item x="31"/>
        <item x="332"/>
        <item x="629"/>
        <item x="535"/>
        <item x="187"/>
        <item x="370"/>
        <item x="622"/>
        <item x="406"/>
        <item x="694"/>
        <item x="514"/>
        <item x="640"/>
        <item x="262"/>
        <item x="607"/>
        <item x="482"/>
        <item x="433"/>
        <item x="658"/>
        <item x="28"/>
        <item x="626"/>
        <item x="343"/>
        <item x="446"/>
        <item x="275"/>
        <item x="500"/>
        <item x="671"/>
        <item x="11"/>
        <item x="727"/>
        <item x="163"/>
        <item x="371"/>
        <item x="515"/>
        <item x="210"/>
        <item x="324"/>
        <item x="672"/>
        <item x="620"/>
        <item x="209"/>
        <item x="231"/>
        <item x="226"/>
        <item x="480"/>
        <item x="723"/>
        <item x="178"/>
        <item x="715"/>
        <item x="193"/>
        <item x="52"/>
        <item x="716"/>
        <item x="102"/>
        <item x="542"/>
        <item x="508"/>
        <item x="385"/>
        <item x="218"/>
        <item x="236"/>
        <item x="3"/>
        <item x="481"/>
        <item x="579"/>
        <item x="61"/>
        <item x="339"/>
        <item x="725"/>
        <item x="213"/>
        <item x="493"/>
        <item x="395"/>
        <item x="507"/>
        <item x="296"/>
        <item x="636"/>
        <item x="541"/>
        <item x="757"/>
        <item x="305"/>
        <item x="677"/>
        <item x="751"/>
        <item x="21"/>
        <item x="33"/>
        <item x="693"/>
        <item x="386"/>
        <item x="519"/>
        <item x="278"/>
        <item x="635"/>
        <item x="682"/>
        <item x="204"/>
        <item x="71"/>
        <item x="437"/>
        <item x="123"/>
        <item x="68"/>
        <item x="207"/>
        <item x="280"/>
        <item x="450"/>
        <item x="425"/>
        <item x="219"/>
        <item x="653"/>
        <item x="353"/>
        <item x="73"/>
        <item x="574"/>
        <item x="15"/>
        <item x="228"/>
        <item x="347"/>
        <item x="559"/>
        <item x="212"/>
        <item x="591"/>
        <item x="211"/>
        <item x="238"/>
        <item x="239"/>
        <item x="82"/>
        <item x="85"/>
        <item x="341"/>
        <item x="404"/>
        <item x="563"/>
        <item x="676"/>
        <item x="252"/>
        <item x="184"/>
        <item x="687"/>
        <item x="660"/>
        <item x="222"/>
        <item x="25"/>
        <item x="295"/>
        <item x="257"/>
        <item x="534"/>
        <item x="321"/>
        <item x="322"/>
        <item x="532"/>
        <item x="75"/>
        <item x="490"/>
        <item x="1"/>
        <item x="734"/>
        <item x="260"/>
        <item x="675"/>
        <item x="743"/>
        <item x="484"/>
        <item x="646"/>
        <item x="74"/>
        <item x="221"/>
        <item x="737"/>
        <item x="13"/>
        <item x="173"/>
        <item x="100"/>
        <item x="598"/>
        <item x="126"/>
        <item x="208"/>
        <item x="466"/>
        <item x="527"/>
        <item x="43"/>
        <item x="89"/>
        <item x="362"/>
        <item x="599"/>
        <item x="56"/>
        <item x="137"/>
        <item x="24"/>
        <item x="556"/>
        <item x="632"/>
        <item x="234"/>
        <item x="129"/>
        <item x="554"/>
        <item x="340"/>
        <item x="54"/>
        <item x="206"/>
        <item x="659"/>
        <item x="237"/>
        <item x="271"/>
        <item x="368"/>
        <item x="679"/>
        <item x="365"/>
        <item x="627"/>
        <item x="621"/>
        <item x="576"/>
        <item x="678"/>
        <item x="643"/>
        <item x="674"/>
        <item x="530"/>
        <item x="156"/>
        <item x="569"/>
        <item x="747"/>
        <item x="171"/>
        <item x="93"/>
        <item x="707"/>
        <item x="38"/>
        <item x="81"/>
        <item x="592"/>
        <item x="600"/>
        <item x="248"/>
        <item x="51"/>
        <item x="302"/>
        <item x="150"/>
        <item x="175"/>
        <item x="533"/>
        <item x="337"/>
        <item x="709"/>
        <item x="478"/>
        <item x="549"/>
        <item x="463"/>
        <item x="540"/>
        <item x="230"/>
        <item x="359"/>
        <item x="268"/>
        <item x="297"/>
        <item x="506"/>
        <item x="240"/>
        <item x="8"/>
        <item x="202"/>
        <item x="241"/>
        <item x="555"/>
        <item x="253"/>
        <item x="399"/>
        <item x="205"/>
        <item x="470"/>
        <item x="732"/>
        <item x="631"/>
        <item x="307"/>
        <item x="623"/>
        <item x="186"/>
        <item x="489"/>
        <item x="634"/>
        <item x="313"/>
        <item x="649"/>
        <item x="20"/>
        <item x="397"/>
        <item x="18"/>
        <item x="430"/>
        <item x="350"/>
        <item x="229"/>
        <item x="319"/>
        <item x="132"/>
        <item x="673"/>
        <item x="225"/>
        <item x="335"/>
        <item x="42"/>
        <item x="255"/>
        <item x="568"/>
        <item x="174"/>
        <item x="232"/>
        <item x="605"/>
        <item x="575"/>
        <item x="431"/>
        <item x="192"/>
        <item x="6"/>
        <item x="104"/>
        <item x="699"/>
        <item x="330"/>
        <item x="256"/>
        <item x="287"/>
        <item x="333"/>
        <item x="703"/>
        <item x="106"/>
        <item x="101"/>
        <item x="151"/>
        <item x="182"/>
        <item x="390"/>
        <item x="250"/>
        <item x="158"/>
        <item x="217"/>
        <item x="108"/>
        <item x="498"/>
        <item x="473"/>
        <item x="513"/>
        <item x="523"/>
        <item x="511"/>
        <item x="299"/>
        <item x="161"/>
        <item x="281"/>
        <item x="88"/>
        <item x="136"/>
        <item x="355"/>
        <item x="292"/>
        <item x="573"/>
        <item x="46"/>
        <item x="462"/>
        <item x="393"/>
        <item x="389"/>
        <item x="195"/>
        <item x="203"/>
        <item x="427"/>
        <item x="718"/>
        <item t="default"/>
      </items>
    </pivotField>
    <pivotField showAll="0"/>
    <pivotField showAll="0"/>
    <pivotField axis="axisRow" showAll="0" measureFilter="1" sortType="ascending">
      <items count="51">
        <item x="20"/>
        <item x="46"/>
        <item x="34"/>
        <item x="19"/>
        <item x="49"/>
        <item x="26"/>
        <item x="10"/>
        <item x="32"/>
        <item x="5"/>
        <item x="44"/>
        <item x="13"/>
        <item x="6"/>
        <item x="0"/>
        <item x="41"/>
        <item x="47"/>
        <item x="38"/>
        <item x="24"/>
        <item x="15"/>
        <item x="43"/>
        <item x="27"/>
        <item x="7"/>
        <item x="8"/>
        <item x="33"/>
        <item x="22"/>
        <item x="40"/>
        <item x="25"/>
        <item x="1"/>
        <item x="30"/>
        <item x="31"/>
        <item x="48"/>
        <item x="23"/>
        <item x="29"/>
        <item x="2"/>
        <item x="11"/>
        <item x="16"/>
        <item x="36"/>
        <item x="14"/>
        <item x="21"/>
        <item x="18"/>
        <item x="17"/>
        <item x="39"/>
        <item x="4"/>
        <item x="37"/>
        <item x="12"/>
        <item x="28"/>
        <item x="3"/>
        <item x="35"/>
        <item x="42"/>
        <item x="9"/>
        <item x="45"/>
        <item t="default"/>
      </items>
    </pivotField>
    <pivotField showAll="0">
      <items count="7">
        <item x="0"/>
        <item x="2"/>
        <item x="5"/>
        <item x="1"/>
        <item x="4"/>
        <item x="3"/>
        <item t="default"/>
      </items>
    </pivotField>
    <pivotField showAll="0"/>
    <pivotField dataField="1" numFmtId="2" showAll="0"/>
    <pivotField numFmtId="2" showAll="0"/>
    <pivotField showAll="0"/>
    <pivotField numFmtId="2" showAll="0"/>
    <pivotField numFmtId="2" showAll="0"/>
    <pivotField numFmtId="2"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11">
    <i>
      <x/>
    </i>
    <i>
      <x v="2"/>
    </i>
    <i>
      <x v="11"/>
    </i>
    <i>
      <x v="19"/>
    </i>
    <i>
      <x v="20"/>
    </i>
    <i>
      <x v="21"/>
    </i>
    <i>
      <x v="26"/>
    </i>
    <i>
      <x v="28"/>
    </i>
    <i>
      <x v="36"/>
    </i>
    <i>
      <x v="43"/>
    </i>
    <i t="grand">
      <x/>
    </i>
  </rowItems>
  <colItems count="1">
    <i/>
  </colItems>
  <dataFields count="1">
    <dataField name="Sum of Quantity" fld="7" baseField="0" baseItem="0" numFmtId="2"/>
  </dataFields>
  <chartFormats count="3">
    <chartFormat chart="8" format="3"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C410A6-CF54-45DA-A9C1-083788DCA487}" name="PivotTable7"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21">
    <pivotField showAll="0"/>
    <pivotField axis="axisRow" numFmtId="14" showAll="0">
      <items count="760">
        <item x="741"/>
        <item x="245"/>
        <item x="445"/>
        <item x="311"/>
        <item x="714"/>
        <item x="539"/>
        <item x="65"/>
        <item x="120"/>
        <item x="369"/>
        <item x="388"/>
        <item x="416"/>
        <item x="58"/>
        <item x="34"/>
        <item x="510"/>
        <item x="356"/>
        <item x="628"/>
        <item x="745"/>
        <item x="78"/>
        <item x="414"/>
        <item x="572"/>
        <item x="351"/>
        <item x="644"/>
        <item x="140"/>
        <item x="451"/>
        <item x="429"/>
        <item x="317"/>
        <item x="665"/>
        <item x="580"/>
        <item x="726"/>
        <item x="121"/>
        <item x="586"/>
        <item x="669"/>
        <item x="738"/>
        <item x="14"/>
        <item x="546"/>
        <item x="641"/>
        <item x="72"/>
        <item x="497"/>
        <item x="746"/>
        <item x="181"/>
        <item x="153"/>
        <item x="323"/>
        <item x="730"/>
        <item x="604"/>
        <item x="244"/>
        <item x="551"/>
        <item x="467"/>
        <item x="750"/>
        <item x="460"/>
        <item x="9"/>
        <item x="263"/>
        <item x="387"/>
        <item x="19"/>
        <item x="664"/>
        <item x="142"/>
        <item x="273"/>
        <item x="721"/>
        <item x="285"/>
        <item x="435"/>
        <item x="294"/>
        <item x="316"/>
        <item x="327"/>
        <item x="488"/>
        <item x="400"/>
        <item x="372"/>
        <item x="526"/>
        <item x="336"/>
        <item x="94"/>
        <item x="60"/>
        <item x="624"/>
        <item x="647"/>
        <item x="583"/>
        <item x="378"/>
        <item x="277"/>
        <item x="115"/>
        <item x="47"/>
        <item x="382"/>
        <item x="566"/>
        <item x="269"/>
        <item x="143"/>
        <item x="95"/>
        <item x="261"/>
        <item x="79"/>
        <item x="169"/>
        <item x="314"/>
        <item x="113"/>
        <item x="502"/>
        <item x="247"/>
        <item x="722"/>
        <item x="357"/>
        <item x="352"/>
        <item x="138"/>
        <item x="611"/>
        <item x="753"/>
        <item x="66"/>
        <item x="405"/>
        <item x="258"/>
        <item x="748"/>
        <item x="35"/>
        <item x="306"/>
        <item x="711"/>
        <item x="524"/>
        <item x="298"/>
        <item x="443"/>
        <item x="587"/>
        <item x="752"/>
        <item x="456"/>
        <item x="97"/>
        <item x="30"/>
        <item x="577"/>
        <item x="266"/>
        <item x="360"/>
        <item x="537"/>
        <item x="134"/>
        <item x="265"/>
        <item x="105"/>
        <item x="377"/>
        <item x="438"/>
        <item x="436"/>
        <item x="64"/>
        <item x="224"/>
        <item x="417"/>
        <item x="12"/>
        <item x="522"/>
        <item x="109"/>
        <item x="630"/>
        <item x="505"/>
        <item x="23"/>
        <item x="300"/>
        <item x="656"/>
        <item x="509"/>
        <item x="686"/>
        <item x="457"/>
        <item x="689"/>
        <item x="719"/>
        <item x="135"/>
        <item x="116"/>
        <item x="251"/>
        <item x="27"/>
        <item x="655"/>
        <item x="62"/>
        <item x="754"/>
        <item x="708"/>
        <item x="131"/>
        <item x="168"/>
        <item x="584"/>
        <item x="538"/>
        <item x="165"/>
        <item x="419"/>
        <item x="264"/>
        <item x="91"/>
        <item x="284"/>
        <item x="315"/>
        <item x="731"/>
        <item x="149"/>
        <item x="411"/>
        <item x="558"/>
        <item x="550"/>
        <item x="133"/>
        <item x="504"/>
        <item x="354"/>
        <item x="235"/>
        <item x="442"/>
        <item x="585"/>
        <item x="744"/>
        <item x="713"/>
        <item x="308"/>
        <item x="588"/>
        <item x="99"/>
        <item x="564"/>
        <item x="32"/>
        <item x="704"/>
        <item x="279"/>
        <item x="10"/>
        <item x="346"/>
        <item x="422"/>
        <item x="293"/>
        <item x="503"/>
        <item x="39"/>
        <item x="650"/>
        <item x="373"/>
        <item x="183"/>
        <item x="479"/>
        <item x="288"/>
        <item x="401"/>
        <item x="618"/>
        <item x="117"/>
        <item x="376"/>
        <item x="543"/>
        <item x="633"/>
        <item x="700"/>
        <item x="148"/>
        <item x="657"/>
        <item x="76"/>
        <item x="326"/>
        <item x="41"/>
        <item x="418"/>
        <item x="472"/>
        <item x="520"/>
        <item x="375"/>
        <item x="122"/>
        <item x="512"/>
        <item x="190"/>
        <item x="409"/>
        <item x="695"/>
        <item x="188"/>
        <item x="366"/>
        <item x="290"/>
        <item x="198"/>
        <item x="477"/>
        <item x="50"/>
        <item x="179"/>
        <item x="69"/>
        <item x="86"/>
        <item x="603"/>
        <item x="391"/>
        <item x="432"/>
        <item x="196"/>
        <item x="485"/>
        <item x="320"/>
        <item x="614"/>
        <item x="130"/>
        <item x="581"/>
        <item x="63"/>
        <item x="547"/>
        <item x="379"/>
        <item x="274"/>
        <item x="159"/>
        <item x="552"/>
        <item x="301"/>
        <item x="394"/>
        <item x="215"/>
        <item x="214"/>
        <item x="471"/>
        <item x="458"/>
        <item x="344"/>
        <item x="291"/>
        <item x="246"/>
        <item x="160"/>
        <item x="200"/>
        <item x="57"/>
        <item x="125"/>
        <item x="223"/>
        <item x="648"/>
        <item x="420"/>
        <item x="455"/>
        <item x="459"/>
        <item x="612"/>
        <item x="364"/>
        <item x="282"/>
        <item x="571"/>
        <item x="227"/>
        <item x="688"/>
        <item x="666"/>
        <item x="749"/>
        <item x="562"/>
        <item x="736"/>
        <item x="197"/>
        <item x="154"/>
        <item x="415"/>
        <item x="392"/>
        <item x="49"/>
        <item x="345"/>
        <item x="729"/>
        <item x="529"/>
        <item x="531"/>
        <item x="492"/>
        <item x="692"/>
        <item x="243"/>
        <item x="44"/>
        <item x="90"/>
        <item x="483"/>
        <item x="712"/>
        <item x="220"/>
        <item x="642"/>
        <item x="742"/>
        <item x="589"/>
        <item x="107"/>
        <item x="155"/>
        <item x="428"/>
        <item x="560"/>
        <item x="92"/>
        <item x="696"/>
        <item x="610"/>
        <item x="590"/>
        <item x="68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167"/>
        <item x="201"/>
        <item x="358"/>
        <item x="338"/>
        <item x="474"/>
        <item x="152"/>
        <item x="26"/>
        <item x="667"/>
        <item x="98"/>
        <item x="331"/>
        <item x="453"/>
        <item x="661"/>
        <item x="553"/>
        <item x="728"/>
        <item x="412"/>
        <item x="651"/>
        <item x="461"/>
        <item x="53"/>
        <item x="426"/>
        <item x="259"/>
        <item x="439"/>
        <item x="59"/>
        <item x="545"/>
        <item x="593"/>
        <item x="528"/>
        <item x="724"/>
        <item x="396"/>
        <item x="249"/>
        <item x="37"/>
        <item x="2"/>
        <item x="176"/>
        <item x="452"/>
        <item x="697"/>
        <item x="166"/>
        <item x="17"/>
        <item x="578"/>
        <item x="639"/>
        <item x="448"/>
        <item x="329"/>
        <item x="110"/>
        <item x="303"/>
        <item x="710"/>
        <item x="267"/>
        <item x="594"/>
        <item x="670"/>
        <item x="597"/>
        <item x="172"/>
        <item x="652"/>
        <item x="525"/>
        <item x="304"/>
        <item x="70"/>
        <item x="413"/>
        <item x="706"/>
        <item x="501"/>
        <item x="619"/>
        <item x="328"/>
        <item x="758"/>
        <item x="565"/>
        <item x="410"/>
        <item x="705"/>
        <item x="384"/>
        <item x="289"/>
        <item x="145"/>
        <item x="662"/>
        <item x="608"/>
        <item x="454"/>
        <item x="625"/>
        <item x="596"/>
        <item x="242"/>
        <item x="617"/>
        <item x="283"/>
        <item x="29"/>
        <item x="334"/>
        <item x="48"/>
        <item x="701"/>
        <item x="361"/>
        <item x="157"/>
        <item x="398"/>
        <item x="685"/>
        <item x="548"/>
        <item x="680"/>
        <item x="421"/>
        <item x="216"/>
        <item x="45"/>
        <item x="570"/>
        <item x="383"/>
        <item x="270"/>
        <item x="755"/>
        <item x="449"/>
        <item x="380"/>
        <item x="96"/>
        <item x="491"/>
        <item x="441"/>
        <item x="444"/>
        <item x="496"/>
        <item x="499"/>
        <item x="199"/>
        <item x="310"/>
        <item x="518"/>
        <item x="103"/>
        <item x="139"/>
        <item x="363"/>
        <item x="180"/>
        <item x="84"/>
        <item x="654"/>
        <item x="83"/>
        <item x="162"/>
        <item x="690"/>
        <item x="615"/>
        <item x="681"/>
        <item x="170"/>
        <item x="521"/>
        <item x="582"/>
        <item x="7"/>
        <item x="348"/>
        <item x="735"/>
        <item x="595"/>
        <item x="141"/>
        <item x="146"/>
        <item x="189"/>
        <item x="309"/>
        <item x="407"/>
        <item x="118"/>
        <item x="606"/>
        <item x="536"/>
        <item x="374"/>
        <item x="495"/>
        <item x="147"/>
        <item x="367"/>
        <item x="111"/>
        <item x="440"/>
        <item x="464"/>
        <item x="40"/>
        <item x="127"/>
        <item x="720"/>
        <item x="494"/>
        <item x="638"/>
        <item x="5"/>
        <item x="616"/>
        <item x="557"/>
        <item x="487"/>
        <item x="740"/>
        <item x="80"/>
        <item x="739"/>
        <item x="194"/>
        <item x="424"/>
        <item x="475"/>
        <item x="312"/>
        <item x="16"/>
        <item x="0"/>
        <item x="403"/>
        <item x="87"/>
        <item x="4"/>
        <item x="325"/>
        <item x="233"/>
        <item x="381"/>
        <item x="663"/>
        <item x="476"/>
        <item x="717"/>
        <item x="318"/>
        <item x="691"/>
        <item x="276"/>
        <item x="434"/>
        <item x="645"/>
        <item x="469"/>
        <item x="124"/>
        <item x="254"/>
        <item x="55"/>
        <item x="637"/>
        <item x="609"/>
        <item x="342"/>
        <item x="128"/>
        <item x="423"/>
        <item x="602"/>
        <item x="702"/>
        <item x="286"/>
        <item x="668"/>
        <item x="601"/>
        <item x="119"/>
        <item x="191"/>
        <item x="31"/>
        <item x="332"/>
        <item x="629"/>
        <item x="535"/>
        <item x="187"/>
        <item x="370"/>
        <item x="622"/>
        <item x="406"/>
        <item x="694"/>
        <item x="514"/>
        <item x="640"/>
        <item x="262"/>
        <item x="607"/>
        <item x="482"/>
        <item x="433"/>
        <item x="658"/>
        <item x="28"/>
        <item x="626"/>
        <item x="343"/>
        <item x="446"/>
        <item x="275"/>
        <item x="500"/>
        <item x="671"/>
        <item x="11"/>
        <item x="727"/>
        <item x="163"/>
        <item x="371"/>
        <item x="515"/>
        <item x="210"/>
        <item x="324"/>
        <item x="672"/>
        <item x="620"/>
        <item x="209"/>
        <item x="231"/>
        <item x="226"/>
        <item x="480"/>
        <item x="723"/>
        <item x="178"/>
        <item x="715"/>
        <item x="193"/>
        <item x="52"/>
        <item x="716"/>
        <item x="102"/>
        <item x="542"/>
        <item x="508"/>
        <item x="385"/>
        <item x="218"/>
        <item x="236"/>
        <item x="3"/>
        <item x="481"/>
        <item x="579"/>
        <item x="61"/>
        <item x="339"/>
        <item x="725"/>
        <item x="213"/>
        <item x="493"/>
        <item x="395"/>
        <item x="507"/>
        <item x="296"/>
        <item x="636"/>
        <item x="541"/>
        <item x="757"/>
        <item x="305"/>
        <item x="677"/>
        <item x="751"/>
        <item x="21"/>
        <item x="33"/>
        <item x="693"/>
        <item x="386"/>
        <item x="519"/>
        <item x="278"/>
        <item x="635"/>
        <item x="682"/>
        <item x="204"/>
        <item x="71"/>
        <item x="437"/>
        <item x="123"/>
        <item x="68"/>
        <item x="207"/>
        <item x="280"/>
        <item x="450"/>
        <item x="425"/>
        <item x="219"/>
        <item x="653"/>
        <item x="353"/>
        <item x="73"/>
        <item x="574"/>
        <item x="15"/>
        <item x="228"/>
        <item x="347"/>
        <item x="559"/>
        <item x="212"/>
        <item x="591"/>
        <item x="211"/>
        <item x="238"/>
        <item x="239"/>
        <item x="82"/>
        <item x="85"/>
        <item x="341"/>
        <item x="404"/>
        <item x="563"/>
        <item x="676"/>
        <item x="252"/>
        <item x="184"/>
        <item x="687"/>
        <item x="660"/>
        <item x="222"/>
        <item x="25"/>
        <item x="295"/>
        <item x="257"/>
        <item x="534"/>
        <item x="321"/>
        <item x="322"/>
        <item x="532"/>
        <item x="75"/>
        <item x="490"/>
        <item x="1"/>
        <item x="734"/>
        <item x="260"/>
        <item x="675"/>
        <item x="743"/>
        <item x="484"/>
        <item x="646"/>
        <item x="74"/>
        <item x="221"/>
        <item x="737"/>
        <item x="13"/>
        <item x="173"/>
        <item x="100"/>
        <item x="598"/>
        <item x="126"/>
        <item x="208"/>
        <item x="466"/>
        <item x="527"/>
        <item x="43"/>
        <item x="89"/>
        <item x="362"/>
        <item x="599"/>
        <item x="56"/>
        <item x="137"/>
        <item x="24"/>
        <item x="556"/>
        <item x="632"/>
        <item x="234"/>
        <item x="129"/>
        <item x="554"/>
        <item x="340"/>
        <item x="54"/>
        <item x="206"/>
        <item x="659"/>
        <item x="237"/>
        <item x="271"/>
        <item x="368"/>
        <item x="679"/>
        <item x="365"/>
        <item x="627"/>
        <item x="621"/>
        <item x="576"/>
        <item x="678"/>
        <item x="643"/>
        <item x="674"/>
        <item x="530"/>
        <item x="156"/>
        <item x="569"/>
        <item x="747"/>
        <item x="171"/>
        <item x="93"/>
        <item x="707"/>
        <item x="38"/>
        <item x="81"/>
        <item x="592"/>
        <item x="600"/>
        <item x="248"/>
        <item x="51"/>
        <item x="302"/>
        <item x="150"/>
        <item x="175"/>
        <item x="533"/>
        <item x="337"/>
        <item x="709"/>
        <item x="478"/>
        <item x="549"/>
        <item x="463"/>
        <item x="540"/>
        <item x="230"/>
        <item x="359"/>
        <item x="268"/>
        <item x="297"/>
        <item x="506"/>
        <item x="240"/>
        <item x="8"/>
        <item x="202"/>
        <item x="241"/>
        <item x="555"/>
        <item x="253"/>
        <item x="399"/>
        <item x="205"/>
        <item x="470"/>
        <item x="732"/>
        <item x="631"/>
        <item x="307"/>
        <item x="623"/>
        <item x="186"/>
        <item x="489"/>
        <item x="634"/>
        <item x="313"/>
        <item x="649"/>
        <item x="20"/>
        <item x="397"/>
        <item x="18"/>
        <item x="430"/>
        <item x="350"/>
        <item x="229"/>
        <item x="319"/>
        <item x="132"/>
        <item x="673"/>
        <item x="225"/>
        <item x="335"/>
        <item x="42"/>
        <item x="255"/>
        <item x="568"/>
        <item x="174"/>
        <item x="232"/>
        <item x="605"/>
        <item x="575"/>
        <item x="431"/>
        <item x="192"/>
        <item x="6"/>
        <item x="104"/>
        <item x="699"/>
        <item x="330"/>
        <item x="256"/>
        <item x="287"/>
        <item x="333"/>
        <item x="703"/>
        <item x="106"/>
        <item x="101"/>
        <item x="151"/>
        <item x="182"/>
        <item x="390"/>
        <item x="250"/>
        <item x="158"/>
        <item x="217"/>
        <item x="108"/>
        <item x="498"/>
        <item x="473"/>
        <item x="513"/>
        <item x="523"/>
        <item x="511"/>
        <item x="299"/>
        <item x="161"/>
        <item x="281"/>
        <item x="88"/>
        <item x="136"/>
        <item x="355"/>
        <item x="292"/>
        <item x="573"/>
        <item x="46"/>
        <item x="462"/>
        <item x="393"/>
        <item x="389"/>
        <item x="195"/>
        <item x="203"/>
        <item x="427"/>
        <item x="718"/>
        <item t="default"/>
      </items>
    </pivotField>
    <pivotField showAll="0"/>
    <pivotField showAll="0"/>
    <pivotField showAll="0"/>
    <pivotField showAll="0"/>
    <pivotField showAll="0"/>
    <pivotField dataField="1" numFmtId="2" showAll="0"/>
    <pivotField numFmtId="2" showAll="0"/>
    <pivotField showAll="0"/>
    <pivotField numFmtId="2" showAll="0"/>
    <pivotField numFmtId="2" showAll="0"/>
    <pivotField numFmtId="2"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2">
    <field x="18"/>
    <field x="1"/>
  </rowFields>
  <rowItems count="13">
    <i>
      <x v="1"/>
    </i>
    <i>
      <x v="2"/>
    </i>
    <i>
      <x v="3"/>
    </i>
    <i>
      <x v="4"/>
    </i>
    <i>
      <x v="5"/>
    </i>
    <i>
      <x v="6"/>
    </i>
    <i>
      <x v="7"/>
    </i>
    <i>
      <x v="8"/>
    </i>
    <i>
      <x v="9"/>
    </i>
    <i>
      <x v="10"/>
    </i>
    <i>
      <x v="11"/>
    </i>
    <i>
      <x v="12"/>
    </i>
    <i t="grand">
      <x/>
    </i>
  </rowItems>
  <colItems count="1">
    <i/>
  </colItems>
  <dataFields count="1">
    <dataField name="Sum of Quantity" fld="7" baseField="0" baseItem="0" numFmtId="2"/>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D1B52AD-0F17-42E9-98F4-E4CFF6732AB7}" sourceName="Category">
  <pivotTables>
    <pivotTable tabId="2" name="PivotTable1"/>
    <pivotTable tabId="9" name="PivotTable1"/>
  </pivotTables>
  <data>
    <tabular pivotCacheId="1847578276">
      <items count="6">
        <i x="0" s="1"/>
        <i x="2" s="1"/>
        <i x="5"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D7AC2437-3515-4500-B6F2-79C3995ADFB3}" sourceName="OrderStatus">
  <pivotTables>
    <pivotTable tabId="5" name="PivotTable4"/>
    <pivotTable tabId="3" name="PivotTable2"/>
    <pivotTable tabId="4" name="PivotTable3"/>
    <pivotTable tabId="6" name="PivotTable5"/>
  </pivotTables>
  <data>
    <tabular pivotCacheId="2014435278">
      <items count="6">
        <i x="1" s="1"/>
        <i x="0" s="1"/>
        <i x="2" s="1"/>
        <i x="4" s="1"/>
        <i x="3" s="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191BD1DE-99E7-4BFC-AAC7-E9CA8DAA6CF9}" sourceName="Category">
  <pivotTables>
    <pivotTable tabId="6" name="PivotTable5"/>
  </pivotTables>
  <data>
    <tabular pivotCacheId="2014435278">
      <items count="7">
        <i x="0" s="1"/>
        <i x="2" s="1"/>
        <i x="5" s="1"/>
        <i x="1" s="1"/>
        <i x="4" s="1"/>
        <i x="3" s="1"/>
        <i x="6"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1" xr10:uid="{ADC3B5EC-6256-4614-B991-4A7D46C50BD6}" sourceName="PaymentMethod">
  <pivotTables>
    <pivotTable tabId="6" name="PivotTable5"/>
    <pivotTable tabId="3" name="PivotTable2"/>
    <pivotTable tabId="4" name="PivotTable3"/>
    <pivotTable tabId="5" name="PivotTable4"/>
  </pivotTables>
  <data>
    <tabular pivotCacheId="2014435278">
      <items count="7">
        <i x="1" s="1"/>
        <i x="2" s="1"/>
        <i x="3" s="1"/>
        <i x="0" s="1"/>
        <i x="5" s="1"/>
        <i x="4" s="1"/>
        <i x="6"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90591594-9041-44BC-958F-95A9C99D6F53}" sourceName="Months (OrderDate)">
  <pivotTables>
    <pivotTable tabId="6" name="PivotTable5"/>
  </pivotTables>
  <data>
    <tabular pivotCacheId="2014435278">
      <items count="14">
        <i x="1" s="1"/>
        <i x="2" s="1"/>
        <i x="3" s="1"/>
        <i x="4" s="1"/>
        <i x="5" s="1"/>
        <i x="6" s="1"/>
        <i x="7" s="1"/>
        <i x="8" s="1"/>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AD94BE6-D2D8-4EC9-BCCD-0286D8A99DFA}" cache="Slicer_Category" caption="Category"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xr10:uid="{DF347CD1-50FC-426A-AD01-A8DFC9C22213}" cache="Slicer_PaymentMethod1" caption="PaymentMethod" style="SlicerStyleDark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xr10:uid="{F6A90497-9592-44DC-AB7E-28C8CBC7BA12}" cache="Slicer_OrderStatus" caption="OrderStatus" style="SlicerStyleLight5"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2" xr10:uid="{0DD324E5-32A5-443B-B27F-FF7B899B77BF}" cache="Slicer_OrderStatus" caption="OrderStatus" style="SlicerStyleDark1" rowHeight="234950"/>
  <slicer name="Category 2" xr10:uid="{A8D8EC21-F39A-4A2F-A708-43585B292323}" cache="Slicer_Category1" caption="Category" style="SlicerStyleDark1" rowHeight="234950"/>
  <slicer name="PaymentMethod 2" xr10:uid="{B89140C2-6E8D-481C-968B-A05105D3634B}" cache="Slicer_PaymentMethod1" caption="PaymentMethod" style="SlicerStyleDark1" rowHeight="234950"/>
  <slicer name="Months (OrderDate)" xr10:uid="{C438DCD3-C3DF-48D5-9488-ED3044883173}" cache="Slicer_Months__OrderDate" caption="Months (OrderDate)"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7E8579-0C03-496A-B537-9DC0D36D35D6}" name="Table2" displayName="Table2" ref="A3:R1003" totalsRowShown="0">
  <autoFilter ref="A3:R1003" xr:uid="{107E8579-0C03-496A-B537-9DC0D36D35D6}"/>
  <tableColumns count="18">
    <tableColumn id="1" xr3:uid="{EAA18AA2-5B11-4B9C-A8C6-950AEDD8AAC4}" name="OrderID"/>
    <tableColumn id="2" xr3:uid="{2FCB65A4-37E4-428B-94CA-7665E477A58B}" name="OrderDate" dataDxfId="20"/>
    <tableColumn id="3" xr3:uid="{29CA75A1-F1AC-418E-AB52-394BEC969034}" name="CustomerID"/>
    <tableColumn id="4" xr3:uid="{EBC5922F-468E-4241-BC93-C4AD5FCAFF18}" name="CustomerName"/>
    <tableColumn id="5" xr3:uid="{661FDABE-4EE5-435A-B374-D40634F1D3FB}" name="ProductName"/>
    <tableColumn id="6" xr3:uid="{DD4321C4-B875-46D8-BF79-55CAD724AF4D}" name="Category"/>
    <tableColumn id="7" xr3:uid="{BBE08A55-1284-4364-B94F-65BF48208EC9}" name="Brand"/>
    <tableColumn id="8" xr3:uid="{AAA265EE-BE54-4E58-8520-80313DFE0BBF}" name="Quantity"/>
    <tableColumn id="9" xr3:uid="{D0E5D153-FF0A-43F5-883C-32508F4F5A7F}" name="UnitPrice"/>
    <tableColumn id="10" xr3:uid="{5360B50C-4616-48CB-B09D-7DD5CE4FFE90}" name="Discount"/>
    <tableColumn id="11" xr3:uid="{7AA6DA0D-FFD6-4D4A-B959-A9F4975C75F4}" name="Tax"/>
    <tableColumn id="12" xr3:uid="{9FEDA16C-7DBE-45E9-AF3E-832D1458EE3B}" name="ShippingCost"/>
    <tableColumn id="13" xr3:uid="{B7BC25AA-7F63-4C26-A563-C1A37464BDD4}" name="TotalAmount"/>
    <tableColumn id="14" xr3:uid="{032A4028-1613-4071-8F16-21F936FFEA34}" name="PaymentMethod"/>
    <tableColumn id="15" xr3:uid="{8887BD43-A248-4994-9F2B-4161438D50AB}" name="OrderStatus"/>
    <tableColumn id="16" xr3:uid="{8A6DDD17-B72B-4BA8-A9BF-38D8F5BD7489}" name="City"/>
    <tableColumn id="17" xr3:uid="{C1F1B4EE-AB5B-4750-8745-7D9F23133677}" name="State"/>
    <tableColumn id="18" xr3:uid="{1D8ED535-85C6-4A6D-AF0F-66036C233EEF}" name="Count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B65BF0-3869-4D93-A04A-B7A743CB19A8}" name="Table1" displayName="Table1" ref="A1:R1001" totalsRowShown="0" headerRowDxfId="19" tableBorderDxfId="18">
  <autoFilter ref="A1:R1001" xr:uid="{40B65BF0-3869-4D93-A04A-B7A743CB19A8}"/>
  <tableColumns count="18">
    <tableColumn id="1" xr3:uid="{240A8EBF-03E1-45C3-BC35-2B8842269E29}" name="OrderID" dataDxfId="17"/>
    <tableColumn id="2" xr3:uid="{B50CCBDE-7CA8-4652-8240-E663443A442D}" name="OrderDate" dataDxfId="16"/>
    <tableColumn id="3" xr3:uid="{A2B6E8A1-6959-4743-ADF9-2F954CA84282}" name="CustomerID" dataDxfId="15"/>
    <tableColumn id="4" xr3:uid="{F290E190-F1F9-497E-B43C-5B761E20BD31}" name="CustomerName" dataDxfId="14"/>
    <tableColumn id="5" xr3:uid="{F46DB10A-7D3F-4882-AF21-8259102B49D6}" name="ProductName" dataDxfId="13"/>
    <tableColumn id="6" xr3:uid="{84BC0B2F-B8FB-4330-A9D4-5E04D35B130A}" name="Category" dataDxfId="12"/>
    <tableColumn id="7" xr3:uid="{9D11FEB5-158C-48A8-AF78-9BAD5CD6F326}" name="Brand" dataDxfId="11"/>
    <tableColumn id="8" xr3:uid="{895199EE-08B4-47C0-AB27-8D81B87281CA}" name="Quantity" dataDxfId="10"/>
    <tableColumn id="9" xr3:uid="{FE43E9A6-DFA5-4EBE-B91B-5758EDF29D7E}" name="UnitPrice" dataDxfId="9"/>
    <tableColumn id="10" xr3:uid="{0CD94180-E213-4C47-BF63-4EDD3792032E}" name="Discount" dataDxfId="8"/>
    <tableColumn id="11" xr3:uid="{2A2A3861-405F-453A-B32C-4B04BC79D65D}" name="Tax" dataDxfId="7"/>
    <tableColumn id="12" xr3:uid="{8EE618EF-129F-4B3F-B31C-F7F3E6D3C623}" name="ShippingCost" dataDxfId="6"/>
    <tableColumn id="13" xr3:uid="{A46CEB57-F929-4FED-8E19-0B16DDA9012F}" name="TotalAmount" dataDxfId="5"/>
    <tableColumn id="14" xr3:uid="{A3F5840E-0CF1-4732-9871-539D2D583C26}" name="PaymentMethod" dataDxfId="4"/>
    <tableColumn id="15" xr3:uid="{BFBB9D51-3503-4C1C-A68C-9A06F907BD61}" name="OrderStatus" dataDxfId="3"/>
    <tableColumn id="16" xr3:uid="{1AA75710-6A91-4753-A494-A22FE8BEB7E4}" name="City" dataDxfId="2"/>
    <tableColumn id="17" xr3:uid="{2377771F-E470-47F6-BF42-01053B7B8484}" name="State" dataDxfId="1"/>
    <tableColumn id="18" xr3:uid="{AD432CBA-DE55-41A1-BDC6-A926B7185314}" name="Count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1F00E-B745-4A39-B7E5-DBBCA5778802}">
  <dimension ref="A1:R1003"/>
  <sheetViews>
    <sheetView workbookViewId="0">
      <selection activeCell="B10" sqref="B10"/>
    </sheetView>
  </sheetViews>
  <sheetFormatPr defaultRowHeight="14.4" x14ac:dyDescent="0.3"/>
  <cols>
    <col min="1" max="1" width="11.6640625" bestFit="1" customWidth="1"/>
    <col min="2" max="2" width="11.88671875" bestFit="1" customWidth="1"/>
    <col min="3" max="3" width="13.109375" bestFit="1" customWidth="1"/>
    <col min="4" max="4" width="16.44140625" bestFit="1" customWidth="1"/>
    <col min="5" max="5" width="25.21875" bestFit="1" customWidth="1"/>
    <col min="6" max="6" width="16.109375" bestFit="1" customWidth="1"/>
    <col min="7" max="7" width="9.88671875" bestFit="1" customWidth="1"/>
    <col min="8" max="8" width="10.5546875" bestFit="1" customWidth="1"/>
    <col min="9" max="9" width="10.88671875" bestFit="1" customWidth="1"/>
    <col min="10" max="10" width="10.5546875" bestFit="1" customWidth="1"/>
    <col min="11" max="11" width="9" bestFit="1" customWidth="1"/>
    <col min="12" max="12" width="14.21875" bestFit="1" customWidth="1"/>
    <col min="13" max="13" width="14.33203125" bestFit="1" customWidth="1"/>
    <col min="14" max="14" width="17.6640625" bestFit="1" customWidth="1"/>
    <col min="15" max="15" width="13.21875" bestFit="1" customWidth="1"/>
    <col min="16" max="16" width="12" bestFit="1" customWidth="1"/>
    <col min="17" max="17" width="9" bestFit="1" customWidth="1"/>
    <col min="18" max="18" width="14" bestFit="1" customWidth="1"/>
  </cols>
  <sheetData>
    <row r="1" spans="1:18" x14ac:dyDescent="0.3">
      <c r="A1" s="14" t="s">
        <v>2329</v>
      </c>
    </row>
    <row r="3" spans="1:18"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x14ac:dyDescent="0.3">
      <c r="A4" t="s">
        <v>18</v>
      </c>
      <c r="B4" s="13">
        <v>44957</v>
      </c>
      <c r="C4" t="s">
        <v>19</v>
      </c>
      <c r="D4" t="s">
        <v>20</v>
      </c>
      <c r="E4" t="s">
        <v>21</v>
      </c>
      <c r="F4" t="s">
        <v>22</v>
      </c>
      <c r="G4" t="s">
        <v>23</v>
      </c>
      <c r="H4">
        <v>3</v>
      </c>
      <c r="I4">
        <v>106.59</v>
      </c>
      <c r="J4">
        <v>0</v>
      </c>
      <c r="K4">
        <v>0</v>
      </c>
      <c r="L4">
        <v>0.09</v>
      </c>
      <c r="M4">
        <v>319.86</v>
      </c>
      <c r="N4" t="s">
        <v>24</v>
      </c>
      <c r="O4" t="s">
        <v>25</v>
      </c>
      <c r="P4" t="s">
        <v>26</v>
      </c>
      <c r="Q4" t="s">
        <v>27</v>
      </c>
      <c r="R4" t="s">
        <v>28</v>
      </c>
    </row>
    <row r="5" spans="1:18" x14ac:dyDescent="0.3">
      <c r="A5" t="s">
        <v>62</v>
      </c>
      <c r="B5" s="13">
        <v>44926</v>
      </c>
      <c r="C5" t="s">
        <v>63</v>
      </c>
      <c r="D5" t="s">
        <v>64</v>
      </c>
      <c r="E5" t="s">
        <v>65</v>
      </c>
      <c r="F5" t="s">
        <v>22</v>
      </c>
      <c r="G5" t="s">
        <v>66</v>
      </c>
      <c r="H5">
        <v>4</v>
      </c>
      <c r="I5">
        <v>449.73</v>
      </c>
      <c r="J5">
        <v>0</v>
      </c>
      <c r="K5">
        <v>215.87</v>
      </c>
      <c r="L5">
        <v>2.74</v>
      </c>
      <c r="M5">
        <v>2017.53</v>
      </c>
      <c r="N5" t="s">
        <v>67</v>
      </c>
      <c r="O5" t="s">
        <v>25</v>
      </c>
      <c r="P5" t="s">
        <v>68</v>
      </c>
      <c r="Q5" t="s">
        <v>69</v>
      </c>
      <c r="R5" t="s">
        <v>38</v>
      </c>
    </row>
    <row r="6" spans="1:18" x14ac:dyDescent="0.3">
      <c r="A6" t="s">
        <v>96</v>
      </c>
      <c r="B6" s="13">
        <v>44297</v>
      </c>
      <c r="C6" t="s">
        <v>97</v>
      </c>
      <c r="D6" t="s">
        <v>98</v>
      </c>
      <c r="E6" t="s">
        <v>99</v>
      </c>
      <c r="F6" t="s">
        <v>22</v>
      </c>
      <c r="G6" t="s">
        <v>100</v>
      </c>
      <c r="H6">
        <v>1</v>
      </c>
      <c r="I6">
        <v>141.41999999999999</v>
      </c>
      <c r="J6">
        <v>0.05</v>
      </c>
      <c r="K6">
        <v>6.72</v>
      </c>
      <c r="L6">
        <v>9.6999999999999993</v>
      </c>
      <c r="M6">
        <v>150.77000000000001</v>
      </c>
      <c r="N6" t="s">
        <v>35</v>
      </c>
      <c r="O6" t="s">
        <v>25</v>
      </c>
      <c r="P6" t="s">
        <v>101</v>
      </c>
      <c r="Q6" t="s">
        <v>102</v>
      </c>
      <c r="R6" t="s">
        <v>76</v>
      </c>
    </row>
    <row r="7" spans="1:18" x14ac:dyDescent="0.3">
      <c r="A7" t="s">
        <v>119</v>
      </c>
      <c r="B7" s="13">
        <v>43918</v>
      </c>
      <c r="C7" t="s">
        <v>120</v>
      </c>
      <c r="D7" t="s">
        <v>121</v>
      </c>
      <c r="E7" t="s">
        <v>122</v>
      </c>
      <c r="F7" t="s">
        <v>22</v>
      </c>
      <c r="G7" t="s">
        <v>100</v>
      </c>
      <c r="H7">
        <v>4</v>
      </c>
      <c r="I7">
        <v>291.37</v>
      </c>
      <c r="J7">
        <v>0.1</v>
      </c>
      <c r="K7">
        <v>52.45</v>
      </c>
      <c r="L7">
        <v>1.76</v>
      </c>
      <c r="M7">
        <v>1103.1400000000001</v>
      </c>
      <c r="N7" t="s">
        <v>123</v>
      </c>
      <c r="O7" t="s">
        <v>25</v>
      </c>
      <c r="P7" t="s">
        <v>124</v>
      </c>
      <c r="Q7" t="s">
        <v>125</v>
      </c>
      <c r="R7" t="s">
        <v>38</v>
      </c>
    </row>
    <row r="8" spans="1:18" x14ac:dyDescent="0.3">
      <c r="A8" t="s">
        <v>154</v>
      </c>
      <c r="B8" s="13">
        <v>45163</v>
      </c>
      <c r="C8" t="s">
        <v>155</v>
      </c>
      <c r="D8" t="s">
        <v>116</v>
      </c>
      <c r="E8" t="s">
        <v>156</v>
      </c>
      <c r="F8" t="s">
        <v>22</v>
      </c>
      <c r="G8" t="s">
        <v>66</v>
      </c>
      <c r="H8">
        <v>4</v>
      </c>
      <c r="I8">
        <v>493.47</v>
      </c>
      <c r="J8">
        <v>0</v>
      </c>
      <c r="K8">
        <v>98.69</v>
      </c>
      <c r="L8">
        <v>11.8</v>
      </c>
      <c r="M8">
        <v>2084.37</v>
      </c>
      <c r="N8" t="s">
        <v>58</v>
      </c>
      <c r="O8" t="s">
        <v>25</v>
      </c>
      <c r="P8" t="s">
        <v>74</v>
      </c>
      <c r="Q8" t="s">
        <v>75</v>
      </c>
      <c r="R8" t="s">
        <v>76</v>
      </c>
    </row>
    <row r="9" spans="1:18" x14ac:dyDescent="0.3">
      <c r="A9" t="s">
        <v>179</v>
      </c>
      <c r="B9" s="13">
        <v>44216</v>
      </c>
      <c r="C9" t="s">
        <v>180</v>
      </c>
      <c r="D9" t="s">
        <v>181</v>
      </c>
      <c r="E9" t="s">
        <v>182</v>
      </c>
      <c r="F9" t="s">
        <v>22</v>
      </c>
      <c r="G9" t="s">
        <v>100</v>
      </c>
      <c r="H9">
        <v>3</v>
      </c>
      <c r="I9">
        <v>138.33000000000001</v>
      </c>
      <c r="J9">
        <v>0</v>
      </c>
      <c r="K9">
        <v>49.8</v>
      </c>
      <c r="L9">
        <v>3.37</v>
      </c>
      <c r="M9">
        <v>468.16</v>
      </c>
      <c r="N9" t="s">
        <v>24</v>
      </c>
      <c r="O9" t="s">
        <v>25</v>
      </c>
      <c r="P9" t="s">
        <v>60</v>
      </c>
      <c r="Q9" t="s">
        <v>37</v>
      </c>
      <c r="R9" t="s">
        <v>183</v>
      </c>
    </row>
    <row r="10" spans="1:18" x14ac:dyDescent="0.3">
      <c r="A10" t="s">
        <v>191</v>
      </c>
      <c r="B10" s="13">
        <v>44107</v>
      </c>
      <c r="C10" t="s">
        <v>192</v>
      </c>
      <c r="D10" t="s">
        <v>193</v>
      </c>
      <c r="E10" t="s">
        <v>99</v>
      </c>
      <c r="F10" t="s">
        <v>22</v>
      </c>
      <c r="G10" t="s">
        <v>90</v>
      </c>
      <c r="H10">
        <v>2</v>
      </c>
      <c r="I10">
        <v>269.8</v>
      </c>
      <c r="J10">
        <v>0</v>
      </c>
      <c r="K10">
        <v>97.13</v>
      </c>
      <c r="L10">
        <v>1.49</v>
      </c>
      <c r="M10">
        <v>638.22</v>
      </c>
      <c r="N10" t="s">
        <v>24</v>
      </c>
      <c r="O10" t="s">
        <v>25</v>
      </c>
      <c r="P10" t="s">
        <v>51</v>
      </c>
      <c r="Q10" t="s">
        <v>52</v>
      </c>
      <c r="R10" t="s">
        <v>183</v>
      </c>
    </row>
    <row r="11" spans="1:18" x14ac:dyDescent="0.3">
      <c r="A11" t="s">
        <v>210</v>
      </c>
      <c r="B11" s="13">
        <v>44083</v>
      </c>
      <c r="C11" t="s">
        <v>211</v>
      </c>
      <c r="D11" t="s">
        <v>212</v>
      </c>
      <c r="E11" t="s">
        <v>142</v>
      </c>
      <c r="F11" t="s">
        <v>22</v>
      </c>
      <c r="G11" t="s">
        <v>23</v>
      </c>
      <c r="H11">
        <v>1</v>
      </c>
      <c r="I11">
        <v>357.76</v>
      </c>
      <c r="J11">
        <v>0.25</v>
      </c>
      <c r="K11">
        <v>0</v>
      </c>
      <c r="L11">
        <v>6.76</v>
      </c>
      <c r="M11">
        <v>275.08</v>
      </c>
      <c r="N11" t="s">
        <v>35</v>
      </c>
      <c r="O11" t="s">
        <v>25</v>
      </c>
      <c r="P11" t="s">
        <v>173</v>
      </c>
      <c r="Q11" t="s">
        <v>174</v>
      </c>
      <c r="R11" t="s">
        <v>183</v>
      </c>
    </row>
    <row r="12" spans="1:18" x14ac:dyDescent="0.3">
      <c r="A12" t="s">
        <v>224</v>
      </c>
      <c r="B12" s="13">
        <v>44305</v>
      </c>
      <c r="C12" t="s">
        <v>225</v>
      </c>
      <c r="D12" t="s">
        <v>196</v>
      </c>
      <c r="E12" t="s">
        <v>156</v>
      </c>
      <c r="F12" t="s">
        <v>22</v>
      </c>
      <c r="G12" t="s">
        <v>100</v>
      </c>
      <c r="H12">
        <v>2</v>
      </c>
      <c r="I12">
        <v>81.819999999999993</v>
      </c>
      <c r="J12">
        <v>0.1</v>
      </c>
      <c r="K12">
        <v>7.36</v>
      </c>
      <c r="L12">
        <v>4.47</v>
      </c>
      <c r="M12">
        <v>159.11000000000001</v>
      </c>
      <c r="N12" t="s">
        <v>58</v>
      </c>
      <c r="O12" t="s">
        <v>25</v>
      </c>
      <c r="P12" t="s">
        <v>101</v>
      </c>
      <c r="Q12" t="s">
        <v>102</v>
      </c>
      <c r="R12" t="s">
        <v>38</v>
      </c>
    </row>
    <row r="13" spans="1:18" x14ac:dyDescent="0.3">
      <c r="A13" t="s">
        <v>228</v>
      </c>
      <c r="B13" s="13">
        <v>44341</v>
      </c>
      <c r="C13" t="s">
        <v>229</v>
      </c>
      <c r="D13" t="s">
        <v>230</v>
      </c>
      <c r="E13" t="s">
        <v>231</v>
      </c>
      <c r="F13" t="s">
        <v>22</v>
      </c>
      <c r="G13" t="s">
        <v>100</v>
      </c>
      <c r="H13">
        <v>5</v>
      </c>
      <c r="I13">
        <v>574.28</v>
      </c>
      <c r="J13">
        <v>0.1</v>
      </c>
      <c r="K13">
        <v>129.21</v>
      </c>
      <c r="L13">
        <v>2.23</v>
      </c>
      <c r="M13">
        <v>2715.7</v>
      </c>
      <c r="N13" t="s">
        <v>24</v>
      </c>
      <c r="O13" t="s">
        <v>25</v>
      </c>
      <c r="P13" t="s">
        <v>60</v>
      </c>
      <c r="Q13" t="s">
        <v>37</v>
      </c>
      <c r="R13" t="s">
        <v>38</v>
      </c>
    </row>
    <row r="14" spans="1:18" x14ac:dyDescent="0.3">
      <c r="A14" t="s">
        <v>250</v>
      </c>
      <c r="B14" s="13">
        <v>44788</v>
      </c>
      <c r="C14" t="s">
        <v>251</v>
      </c>
      <c r="D14" t="s">
        <v>252</v>
      </c>
      <c r="E14" t="s">
        <v>21</v>
      </c>
      <c r="F14" t="s">
        <v>22</v>
      </c>
      <c r="G14" t="s">
        <v>66</v>
      </c>
      <c r="H14">
        <v>3</v>
      </c>
      <c r="I14">
        <v>249.84</v>
      </c>
      <c r="J14">
        <v>0.2</v>
      </c>
      <c r="K14">
        <v>47.97</v>
      </c>
      <c r="L14">
        <v>3.26</v>
      </c>
      <c r="M14">
        <v>650.85</v>
      </c>
      <c r="N14" t="s">
        <v>24</v>
      </c>
      <c r="O14" t="s">
        <v>25</v>
      </c>
      <c r="P14" t="s">
        <v>60</v>
      </c>
      <c r="Q14" t="s">
        <v>37</v>
      </c>
      <c r="R14" t="s">
        <v>76</v>
      </c>
    </row>
    <row r="15" spans="1:18" x14ac:dyDescent="0.3">
      <c r="A15" t="s">
        <v>253</v>
      </c>
      <c r="B15" s="13">
        <v>44517</v>
      </c>
      <c r="C15" t="s">
        <v>254</v>
      </c>
      <c r="D15" t="s">
        <v>255</v>
      </c>
      <c r="E15" t="s">
        <v>256</v>
      </c>
      <c r="F15" t="s">
        <v>22</v>
      </c>
      <c r="G15" t="s">
        <v>57</v>
      </c>
      <c r="H15">
        <v>3</v>
      </c>
      <c r="I15">
        <v>482.37</v>
      </c>
      <c r="J15">
        <v>0.15</v>
      </c>
      <c r="K15">
        <v>61.5</v>
      </c>
      <c r="L15">
        <v>8.73</v>
      </c>
      <c r="M15">
        <v>1300.27</v>
      </c>
      <c r="N15" t="s">
        <v>123</v>
      </c>
      <c r="O15" t="s">
        <v>25</v>
      </c>
      <c r="P15" t="s">
        <v>257</v>
      </c>
      <c r="Q15" t="s">
        <v>69</v>
      </c>
      <c r="R15" t="s">
        <v>28</v>
      </c>
    </row>
    <row r="16" spans="1:18" x14ac:dyDescent="0.3">
      <c r="A16" t="s">
        <v>258</v>
      </c>
      <c r="B16" s="13">
        <v>44788</v>
      </c>
      <c r="C16" t="s">
        <v>259</v>
      </c>
      <c r="D16" t="s">
        <v>260</v>
      </c>
      <c r="E16" t="s">
        <v>202</v>
      </c>
      <c r="F16" t="s">
        <v>22</v>
      </c>
      <c r="G16" t="s">
        <v>198</v>
      </c>
      <c r="H16">
        <v>3</v>
      </c>
      <c r="I16">
        <v>244.83</v>
      </c>
      <c r="J16">
        <v>0.25</v>
      </c>
      <c r="K16">
        <v>0</v>
      </c>
      <c r="L16">
        <v>8.07</v>
      </c>
      <c r="M16">
        <v>558.94000000000005</v>
      </c>
      <c r="N16" t="s">
        <v>50</v>
      </c>
      <c r="O16" t="s">
        <v>25</v>
      </c>
      <c r="P16" t="s">
        <v>257</v>
      </c>
      <c r="Q16" t="s">
        <v>69</v>
      </c>
      <c r="R16" t="s">
        <v>76</v>
      </c>
    </row>
    <row r="17" spans="1:18" x14ac:dyDescent="0.3">
      <c r="A17" t="s">
        <v>292</v>
      </c>
      <c r="B17" s="13">
        <v>44671</v>
      </c>
      <c r="C17" t="s">
        <v>293</v>
      </c>
      <c r="D17" t="s">
        <v>141</v>
      </c>
      <c r="E17" t="s">
        <v>294</v>
      </c>
      <c r="F17" t="s">
        <v>22</v>
      </c>
      <c r="G17" t="s">
        <v>23</v>
      </c>
      <c r="H17">
        <v>4</v>
      </c>
      <c r="I17">
        <v>593.02</v>
      </c>
      <c r="J17">
        <v>0.05</v>
      </c>
      <c r="K17">
        <v>405.63</v>
      </c>
      <c r="L17">
        <v>9.18</v>
      </c>
      <c r="M17">
        <v>2668.29</v>
      </c>
      <c r="N17" t="s">
        <v>67</v>
      </c>
      <c r="O17" t="s">
        <v>107</v>
      </c>
      <c r="P17" t="s">
        <v>44</v>
      </c>
      <c r="Q17" t="s">
        <v>37</v>
      </c>
      <c r="R17" t="s">
        <v>28</v>
      </c>
    </row>
    <row r="18" spans="1:18" x14ac:dyDescent="0.3">
      <c r="A18" t="s">
        <v>301</v>
      </c>
      <c r="B18" s="13">
        <v>44218</v>
      </c>
      <c r="C18" t="s">
        <v>302</v>
      </c>
      <c r="D18" t="s">
        <v>303</v>
      </c>
      <c r="E18" t="s">
        <v>294</v>
      </c>
      <c r="F18" t="s">
        <v>22</v>
      </c>
      <c r="G18" t="s">
        <v>203</v>
      </c>
      <c r="H18">
        <v>5</v>
      </c>
      <c r="I18">
        <v>107.11</v>
      </c>
      <c r="J18">
        <v>0.05</v>
      </c>
      <c r="K18">
        <v>25.44</v>
      </c>
      <c r="L18">
        <v>12.92</v>
      </c>
      <c r="M18">
        <v>547.13</v>
      </c>
      <c r="N18" t="s">
        <v>67</v>
      </c>
      <c r="O18" t="s">
        <v>25</v>
      </c>
      <c r="P18" t="s">
        <v>74</v>
      </c>
      <c r="Q18" t="s">
        <v>75</v>
      </c>
      <c r="R18" t="s">
        <v>38</v>
      </c>
    </row>
    <row r="19" spans="1:18" x14ac:dyDescent="0.3">
      <c r="A19" t="s">
        <v>306</v>
      </c>
      <c r="B19" s="13">
        <v>44146</v>
      </c>
      <c r="C19" t="s">
        <v>307</v>
      </c>
      <c r="D19" t="s">
        <v>263</v>
      </c>
      <c r="E19" t="s">
        <v>294</v>
      </c>
      <c r="F19" t="s">
        <v>22</v>
      </c>
      <c r="G19" t="s">
        <v>198</v>
      </c>
      <c r="H19">
        <v>2</v>
      </c>
      <c r="I19">
        <v>559.03</v>
      </c>
      <c r="J19">
        <v>0.1</v>
      </c>
      <c r="K19">
        <v>50.31</v>
      </c>
      <c r="L19">
        <v>11.62</v>
      </c>
      <c r="M19">
        <v>1068.18</v>
      </c>
      <c r="N19" t="s">
        <v>35</v>
      </c>
      <c r="O19" t="s">
        <v>25</v>
      </c>
      <c r="P19" t="s">
        <v>124</v>
      </c>
      <c r="Q19" t="s">
        <v>125</v>
      </c>
      <c r="R19" t="s">
        <v>38</v>
      </c>
    </row>
    <row r="20" spans="1:18" x14ac:dyDescent="0.3">
      <c r="A20" t="s">
        <v>313</v>
      </c>
      <c r="B20" s="13">
        <v>44607</v>
      </c>
      <c r="C20" t="s">
        <v>314</v>
      </c>
      <c r="D20" t="s">
        <v>223</v>
      </c>
      <c r="E20" t="s">
        <v>267</v>
      </c>
      <c r="F20" t="s">
        <v>22</v>
      </c>
      <c r="G20" t="s">
        <v>268</v>
      </c>
      <c r="H20">
        <v>5</v>
      </c>
      <c r="I20">
        <v>105.16</v>
      </c>
      <c r="J20">
        <v>0</v>
      </c>
      <c r="K20">
        <v>26.29</v>
      </c>
      <c r="L20">
        <v>13.29</v>
      </c>
      <c r="M20">
        <v>565.38</v>
      </c>
      <c r="N20" t="s">
        <v>67</v>
      </c>
      <c r="O20" t="s">
        <v>25</v>
      </c>
      <c r="P20" t="s">
        <v>173</v>
      </c>
      <c r="Q20" t="s">
        <v>174</v>
      </c>
      <c r="R20" t="s">
        <v>38</v>
      </c>
    </row>
    <row r="21" spans="1:18" x14ac:dyDescent="0.3">
      <c r="A21" t="s">
        <v>355</v>
      </c>
      <c r="B21" s="13">
        <v>44935</v>
      </c>
      <c r="C21" t="s">
        <v>356</v>
      </c>
      <c r="D21" t="s">
        <v>357</v>
      </c>
      <c r="E21" t="s">
        <v>287</v>
      </c>
      <c r="F21" t="s">
        <v>22</v>
      </c>
      <c r="G21" t="s">
        <v>34</v>
      </c>
      <c r="H21">
        <v>3</v>
      </c>
      <c r="I21">
        <v>258.13</v>
      </c>
      <c r="J21">
        <v>0.05</v>
      </c>
      <c r="K21">
        <v>132.41999999999999</v>
      </c>
      <c r="L21">
        <v>7.69</v>
      </c>
      <c r="M21">
        <v>875.78</v>
      </c>
      <c r="N21" t="s">
        <v>67</v>
      </c>
      <c r="O21" t="s">
        <v>25</v>
      </c>
      <c r="P21" t="s">
        <v>44</v>
      </c>
      <c r="Q21" t="s">
        <v>37</v>
      </c>
      <c r="R21" t="s">
        <v>38</v>
      </c>
    </row>
    <row r="22" spans="1:18" x14ac:dyDescent="0.3">
      <c r="A22" t="s">
        <v>372</v>
      </c>
      <c r="B22" s="13">
        <v>44396</v>
      </c>
      <c r="C22" t="s">
        <v>373</v>
      </c>
      <c r="D22" t="s">
        <v>87</v>
      </c>
      <c r="E22" t="s">
        <v>56</v>
      </c>
      <c r="F22" t="s">
        <v>22</v>
      </c>
      <c r="G22" t="s">
        <v>49</v>
      </c>
      <c r="H22">
        <v>3</v>
      </c>
      <c r="I22">
        <v>324.31</v>
      </c>
      <c r="J22">
        <v>0.2</v>
      </c>
      <c r="K22">
        <v>62.27</v>
      </c>
      <c r="L22">
        <v>4.63</v>
      </c>
      <c r="M22">
        <v>845.24</v>
      </c>
      <c r="N22" t="s">
        <v>24</v>
      </c>
      <c r="O22" t="s">
        <v>25</v>
      </c>
      <c r="P22" t="s">
        <v>83</v>
      </c>
      <c r="Q22" t="s">
        <v>84</v>
      </c>
      <c r="R22" t="s">
        <v>38</v>
      </c>
    </row>
    <row r="23" spans="1:18" x14ac:dyDescent="0.3">
      <c r="A23" t="s">
        <v>374</v>
      </c>
      <c r="B23" s="13">
        <v>44960</v>
      </c>
      <c r="C23" t="s">
        <v>375</v>
      </c>
      <c r="D23" t="s">
        <v>105</v>
      </c>
      <c r="E23" t="s">
        <v>220</v>
      </c>
      <c r="F23" t="s">
        <v>22</v>
      </c>
      <c r="G23" t="s">
        <v>66</v>
      </c>
      <c r="H23">
        <v>5</v>
      </c>
      <c r="I23">
        <v>342.26</v>
      </c>
      <c r="J23">
        <v>0.2</v>
      </c>
      <c r="K23">
        <v>109.52</v>
      </c>
      <c r="L23">
        <v>7.29</v>
      </c>
      <c r="M23">
        <v>1485.85</v>
      </c>
      <c r="N23" t="s">
        <v>58</v>
      </c>
      <c r="O23" t="s">
        <v>82</v>
      </c>
      <c r="P23" t="s">
        <v>36</v>
      </c>
      <c r="Q23" t="s">
        <v>37</v>
      </c>
      <c r="R23" t="s">
        <v>38</v>
      </c>
    </row>
    <row r="24" spans="1:18" x14ac:dyDescent="0.3">
      <c r="A24" t="s">
        <v>393</v>
      </c>
      <c r="B24" s="13">
        <v>43992</v>
      </c>
      <c r="C24" t="s">
        <v>394</v>
      </c>
      <c r="D24" t="s">
        <v>230</v>
      </c>
      <c r="E24" t="s">
        <v>386</v>
      </c>
      <c r="F24" t="s">
        <v>22</v>
      </c>
      <c r="G24" t="s">
        <v>268</v>
      </c>
      <c r="H24">
        <v>3</v>
      </c>
      <c r="I24">
        <v>548.16999999999996</v>
      </c>
      <c r="J24">
        <v>0.05</v>
      </c>
      <c r="K24">
        <v>0</v>
      </c>
      <c r="L24">
        <v>2.63</v>
      </c>
      <c r="M24">
        <v>1564.91</v>
      </c>
      <c r="N24" t="s">
        <v>67</v>
      </c>
      <c r="O24" t="s">
        <v>25</v>
      </c>
      <c r="P24" t="s">
        <v>36</v>
      </c>
      <c r="Q24" t="s">
        <v>37</v>
      </c>
      <c r="R24" t="s">
        <v>38</v>
      </c>
    </row>
    <row r="25" spans="1:18" x14ac:dyDescent="0.3">
      <c r="A25" t="s">
        <v>398</v>
      </c>
      <c r="B25" s="13">
        <v>44826</v>
      </c>
      <c r="C25" t="s">
        <v>399</v>
      </c>
      <c r="D25" t="s">
        <v>400</v>
      </c>
      <c r="E25" t="s">
        <v>80</v>
      </c>
      <c r="F25" t="s">
        <v>22</v>
      </c>
      <c r="G25" t="s">
        <v>203</v>
      </c>
      <c r="H25">
        <v>5</v>
      </c>
      <c r="I25">
        <v>384.56</v>
      </c>
      <c r="J25">
        <v>0.15</v>
      </c>
      <c r="K25">
        <v>130.75</v>
      </c>
      <c r="L25">
        <v>12.62</v>
      </c>
      <c r="M25">
        <v>1777.75</v>
      </c>
      <c r="N25" t="s">
        <v>67</v>
      </c>
      <c r="O25" t="s">
        <v>25</v>
      </c>
      <c r="P25" t="s">
        <v>74</v>
      </c>
      <c r="Q25" t="s">
        <v>75</v>
      </c>
      <c r="R25" t="s">
        <v>38</v>
      </c>
    </row>
    <row r="26" spans="1:18" x14ac:dyDescent="0.3">
      <c r="A26" t="s">
        <v>406</v>
      </c>
      <c r="B26" s="13">
        <v>45125</v>
      </c>
      <c r="C26" t="s">
        <v>407</v>
      </c>
      <c r="D26" t="s">
        <v>193</v>
      </c>
      <c r="E26" t="s">
        <v>21</v>
      </c>
      <c r="F26" t="s">
        <v>22</v>
      </c>
      <c r="G26" t="s">
        <v>198</v>
      </c>
      <c r="H26">
        <v>1</v>
      </c>
      <c r="I26">
        <v>29.37</v>
      </c>
      <c r="J26">
        <v>0</v>
      </c>
      <c r="K26">
        <v>1.47</v>
      </c>
      <c r="L26">
        <v>5.45</v>
      </c>
      <c r="M26">
        <v>36.29</v>
      </c>
      <c r="N26" t="s">
        <v>58</v>
      </c>
      <c r="O26" t="s">
        <v>25</v>
      </c>
      <c r="P26" t="s">
        <v>112</v>
      </c>
      <c r="Q26" t="s">
        <v>113</v>
      </c>
      <c r="R26" t="s">
        <v>38</v>
      </c>
    </row>
    <row r="27" spans="1:18" x14ac:dyDescent="0.3">
      <c r="A27" t="s">
        <v>432</v>
      </c>
      <c r="B27" s="13">
        <v>45603</v>
      </c>
      <c r="C27" t="s">
        <v>433</v>
      </c>
      <c r="D27" t="s">
        <v>163</v>
      </c>
      <c r="E27" t="s">
        <v>231</v>
      </c>
      <c r="F27" t="s">
        <v>22</v>
      </c>
      <c r="G27" t="s">
        <v>57</v>
      </c>
      <c r="H27">
        <v>5</v>
      </c>
      <c r="I27">
        <v>314</v>
      </c>
      <c r="J27">
        <v>0</v>
      </c>
      <c r="K27">
        <v>282.60000000000002</v>
      </c>
      <c r="L27">
        <v>8.14</v>
      </c>
      <c r="M27">
        <v>1860.74</v>
      </c>
      <c r="N27" t="s">
        <v>24</v>
      </c>
      <c r="O27" t="s">
        <v>25</v>
      </c>
      <c r="P27" t="s">
        <v>178</v>
      </c>
      <c r="Q27" t="s">
        <v>69</v>
      </c>
      <c r="R27" t="s">
        <v>38</v>
      </c>
    </row>
    <row r="28" spans="1:18" x14ac:dyDescent="0.3">
      <c r="A28" t="s">
        <v>453</v>
      </c>
      <c r="B28" s="13">
        <v>44210</v>
      </c>
      <c r="C28" t="s">
        <v>454</v>
      </c>
      <c r="D28" t="s">
        <v>252</v>
      </c>
      <c r="E28" t="s">
        <v>267</v>
      </c>
      <c r="F28" t="s">
        <v>22</v>
      </c>
      <c r="G28" t="s">
        <v>203</v>
      </c>
      <c r="H28">
        <v>4</v>
      </c>
      <c r="I28">
        <v>187.75</v>
      </c>
      <c r="J28">
        <v>0.05</v>
      </c>
      <c r="K28">
        <v>128.41999999999999</v>
      </c>
      <c r="L28">
        <v>9.52</v>
      </c>
      <c r="M28">
        <v>851.39</v>
      </c>
      <c r="N28" t="s">
        <v>58</v>
      </c>
      <c r="O28" t="s">
        <v>25</v>
      </c>
      <c r="P28" t="s">
        <v>178</v>
      </c>
      <c r="Q28" t="s">
        <v>69</v>
      </c>
      <c r="R28" t="s">
        <v>38</v>
      </c>
    </row>
    <row r="29" spans="1:18" x14ac:dyDescent="0.3">
      <c r="A29" t="s">
        <v>475</v>
      </c>
      <c r="B29" s="13">
        <v>44478</v>
      </c>
      <c r="C29" t="s">
        <v>476</v>
      </c>
      <c r="D29" t="s">
        <v>477</v>
      </c>
      <c r="E29" t="s">
        <v>156</v>
      </c>
      <c r="F29" t="s">
        <v>22</v>
      </c>
      <c r="G29" t="s">
        <v>90</v>
      </c>
      <c r="H29">
        <v>3</v>
      </c>
      <c r="I29">
        <v>204.15</v>
      </c>
      <c r="J29">
        <v>0.1</v>
      </c>
      <c r="K29">
        <v>66.14</v>
      </c>
      <c r="L29">
        <v>10.09</v>
      </c>
      <c r="M29">
        <v>627.44000000000005</v>
      </c>
      <c r="N29" t="s">
        <v>58</v>
      </c>
      <c r="O29" t="s">
        <v>25</v>
      </c>
      <c r="P29" t="s">
        <v>165</v>
      </c>
      <c r="Q29" t="s">
        <v>37</v>
      </c>
      <c r="R29" t="s">
        <v>38</v>
      </c>
    </row>
    <row r="30" spans="1:18" x14ac:dyDescent="0.3">
      <c r="A30" t="s">
        <v>478</v>
      </c>
      <c r="B30" s="13">
        <v>45326</v>
      </c>
      <c r="C30" t="s">
        <v>479</v>
      </c>
      <c r="D30" t="s">
        <v>480</v>
      </c>
      <c r="E30" t="s">
        <v>220</v>
      </c>
      <c r="F30" t="s">
        <v>22</v>
      </c>
      <c r="G30" t="s">
        <v>23</v>
      </c>
      <c r="H30">
        <v>4</v>
      </c>
      <c r="I30">
        <v>577.36</v>
      </c>
      <c r="J30">
        <v>0.2</v>
      </c>
      <c r="K30">
        <v>92.38</v>
      </c>
      <c r="L30">
        <v>4.08</v>
      </c>
      <c r="M30">
        <v>1944.01</v>
      </c>
      <c r="N30" t="s">
        <v>24</v>
      </c>
      <c r="O30" t="s">
        <v>25</v>
      </c>
      <c r="P30" t="s">
        <v>95</v>
      </c>
      <c r="Q30" t="s">
        <v>37</v>
      </c>
      <c r="R30" t="s">
        <v>38</v>
      </c>
    </row>
    <row r="31" spans="1:18" x14ac:dyDescent="0.3">
      <c r="A31" t="s">
        <v>489</v>
      </c>
      <c r="B31" s="13">
        <v>44423</v>
      </c>
      <c r="C31" t="s">
        <v>490</v>
      </c>
      <c r="D31" t="s">
        <v>491</v>
      </c>
      <c r="E31" t="s">
        <v>392</v>
      </c>
      <c r="F31" t="s">
        <v>22</v>
      </c>
      <c r="G31" t="s">
        <v>34</v>
      </c>
      <c r="H31">
        <v>4</v>
      </c>
      <c r="I31">
        <v>384.81</v>
      </c>
      <c r="J31">
        <v>0</v>
      </c>
      <c r="K31">
        <v>184.71</v>
      </c>
      <c r="L31">
        <v>13.11</v>
      </c>
      <c r="M31">
        <v>1737.06</v>
      </c>
      <c r="N31" t="s">
        <v>58</v>
      </c>
      <c r="O31" t="s">
        <v>59</v>
      </c>
      <c r="P31" t="s">
        <v>150</v>
      </c>
      <c r="Q31" t="s">
        <v>69</v>
      </c>
      <c r="R31" t="s">
        <v>38</v>
      </c>
    </row>
    <row r="32" spans="1:18" x14ac:dyDescent="0.3">
      <c r="A32" t="s">
        <v>499</v>
      </c>
      <c r="B32" s="13">
        <v>44249</v>
      </c>
      <c r="C32" t="s">
        <v>500</v>
      </c>
      <c r="D32" t="s">
        <v>501</v>
      </c>
      <c r="E32" t="s">
        <v>271</v>
      </c>
      <c r="F32" t="s">
        <v>22</v>
      </c>
      <c r="G32" t="s">
        <v>198</v>
      </c>
      <c r="H32">
        <v>5</v>
      </c>
      <c r="I32">
        <v>211.88</v>
      </c>
      <c r="J32">
        <v>0.1</v>
      </c>
      <c r="K32">
        <v>76.28</v>
      </c>
      <c r="L32">
        <v>9.75</v>
      </c>
      <c r="M32">
        <v>1039.49</v>
      </c>
      <c r="N32" t="s">
        <v>67</v>
      </c>
      <c r="O32" t="s">
        <v>25</v>
      </c>
      <c r="P32" t="s">
        <v>133</v>
      </c>
      <c r="Q32" t="s">
        <v>134</v>
      </c>
      <c r="R32" t="s">
        <v>38</v>
      </c>
    </row>
    <row r="33" spans="1:18" x14ac:dyDescent="0.3">
      <c r="A33" t="s">
        <v>509</v>
      </c>
      <c r="B33" s="13">
        <v>45344</v>
      </c>
      <c r="C33" t="s">
        <v>510</v>
      </c>
      <c r="D33" t="s">
        <v>511</v>
      </c>
      <c r="E33" t="s">
        <v>216</v>
      </c>
      <c r="F33" t="s">
        <v>22</v>
      </c>
      <c r="G33" t="s">
        <v>49</v>
      </c>
      <c r="H33">
        <v>5</v>
      </c>
      <c r="I33">
        <v>22.67</v>
      </c>
      <c r="J33">
        <v>0</v>
      </c>
      <c r="K33">
        <v>0</v>
      </c>
      <c r="L33">
        <v>13.16</v>
      </c>
      <c r="M33">
        <v>126.51</v>
      </c>
      <c r="N33" t="s">
        <v>24</v>
      </c>
      <c r="O33" t="s">
        <v>25</v>
      </c>
      <c r="P33" t="s">
        <v>117</v>
      </c>
      <c r="Q33" t="s">
        <v>118</v>
      </c>
      <c r="R33" t="s">
        <v>38</v>
      </c>
    </row>
    <row r="34" spans="1:18" x14ac:dyDescent="0.3">
      <c r="A34" t="s">
        <v>518</v>
      </c>
      <c r="B34" s="13">
        <v>43871</v>
      </c>
      <c r="C34" t="s">
        <v>519</v>
      </c>
      <c r="D34" t="s">
        <v>520</v>
      </c>
      <c r="E34" t="s">
        <v>271</v>
      </c>
      <c r="F34" t="s">
        <v>22</v>
      </c>
      <c r="G34" t="s">
        <v>268</v>
      </c>
      <c r="H34">
        <v>3</v>
      </c>
      <c r="I34">
        <v>346.56</v>
      </c>
      <c r="J34">
        <v>0.15</v>
      </c>
      <c r="K34">
        <v>44.19</v>
      </c>
      <c r="L34">
        <v>1.85</v>
      </c>
      <c r="M34">
        <v>929.77</v>
      </c>
      <c r="N34" t="s">
        <v>58</v>
      </c>
      <c r="O34" t="s">
        <v>25</v>
      </c>
      <c r="P34" t="s">
        <v>133</v>
      </c>
      <c r="Q34" t="s">
        <v>134</v>
      </c>
      <c r="R34" t="s">
        <v>38</v>
      </c>
    </row>
    <row r="35" spans="1:18" x14ac:dyDescent="0.3">
      <c r="A35" t="s">
        <v>521</v>
      </c>
      <c r="B35" s="13">
        <v>44882</v>
      </c>
      <c r="C35" t="s">
        <v>522</v>
      </c>
      <c r="D35" t="s">
        <v>323</v>
      </c>
      <c r="E35" t="s">
        <v>138</v>
      </c>
      <c r="F35" t="s">
        <v>22</v>
      </c>
      <c r="G35" t="s">
        <v>23</v>
      </c>
      <c r="H35">
        <v>1</v>
      </c>
      <c r="I35">
        <v>87.79</v>
      </c>
      <c r="J35">
        <v>0</v>
      </c>
      <c r="K35">
        <v>15.8</v>
      </c>
      <c r="L35">
        <v>10.92</v>
      </c>
      <c r="M35">
        <v>114.51</v>
      </c>
      <c r="N35" t="s">
        <v>58</v>
      </c>
      <c r="O35" t="s">
        <v>25</v>
      </c>
      <c r="P35" t="s">
        <v>112</v>
      </c>
      <c r="Q35" t="s">
        <v>113</v>
      </c>
      <c r="R35" t="s">
        <v>183</v>
      </c>
    </row>
    <row r="36" spans="1:18" x14ac:dyDescent="0.3">
      <c r="A36" t="s">
        <v>544</v>
      </c>
      <c r="B36" s="13">
        <v>45428</v>
      </c>
      <c r="C36" t="s">
        <v>545</v>
      </c>
      <c r="D36" t="s">
        <v>397</v>
      </c>
      <c r="E36" t="s">
        <v>65</v>
      </c>
      <c r="F36" t="s">
        <v>22</v>
      </c>
      <c r="G36" t="s">
        <v>90</v>
      </c>
      <c r="H36">
        <v>4</v>
      </c>
      <c r="I36">
        <v>291.13</v>
      </c>
      <c r="J36">
        <v>0.15</v>
      </c>
      <c r="K36">
        <v>49.49</v>
      </c>
      <c r="L36">
        <v>2.52</v>
      </c>
      <c r="M36">
        <v>1041.8499999999999</v>
      </c>
      <c r="N36" t="s">
        <v>24</v>
      </c>
      <c r="O36" t="s">
        <v>25</v>
      </c>
      <c r="P36" t="s">
        <v>145</v>
      </c>
      <c r="Q36" t="s">
        <v>146</v>
      </c>
      <c r="R36" t="s">
        <v>183</v>
      </c>
    </row>
    <row r="37" spans="1:18" x14ac:dyDescent="0.3">
      <c r="A37" t="s">
        <v>553</v>
      </c>
      <c r="B37" s="13">
        <v>44514</v>
      </c>
      <c r="C37" t="s">
        <v>554</v>
      </c>
      <c r="D37" t="s">
        <v>555</v>
      </c>
      <c r="E37" t="s">
        <v>190</v>
      </c>
      <c r="F37" t="s">
        <v>22</v>
      </c>
      <c r="G37" t="s">
        <v>268</v>
      </c>
      <c r="H37">
        <v>2</v>
      </c>
      <c r="I37">
        <v>400.69</v>
      </c>
      <c r="J37">
        <v>0.1</v>
      </c>
      <c r="K37">
        <v>57.7</v>
      </c>
      <c r="L37">
        <v>10.68</v>
      </c>
      <c r="M37">
        <v>789.62</v>
      </c>
      <c r="N37" t="s">
        <v>58</v>
      </c>
      <c r="O37" t="s">
        <v>82</v>
      </c>
      <c r="P37" t="s">
        <v>95</v>
      </c>
      <c r="Q37" t="s">
        <v>37</v>
      </c>
      <c r="R37" t="s">
        <v>61</v>
      </c>
    </row>
    <row r="38" spans="1:18" x14ac:dyDescent="0.3">
      <c r="A38" t="s">
        <v>583</v>
      </c>
      <c r="B38" s="13">
        <v>44333</v>
      </c>
      <c r="C38" t="s">
        <v>584</v>
      </c>
      <c r="D38" t="s">
        <v>223</v>
      </c>
      <c r="E38" t="s">
        <v>324</v>
      </c>
      <c r="F38" t="s">
        <v>22</v>
      </c>
      <c r="G38" t="s">
        <v>90</v>
      </c>
      <c r="H38">
        <v>4</v>
      </c>
      <c r="I38">
        <v>493.2</v>
      </c>
      <c r="J38">
        <v>0.2</v>
      </c>
      <c r="K38">
        <v>189.39</v>
      </c>
      <c r="L38">
        <v>3.74</v>
      </c>
      <c r="M38">
        <v>1771.37</v>
      </c>
      <c r="N38" t="s">
        <v>123</v>
      </c>
      <c r="O38" t="s">
        <v>25</v>
      </c>
      <c r="P38" t="s">
        <v>165</v>
      </c>
      <c r="Q38" t="s">
        <v>37</v>
      </c>
      <c r="R38" t="s">
        <v>61</v>
      </c>
    </row>
    <row r="39" spans="1:18" x14ac:dyDescent="0.3">
      <c r="A39" t="s">
        <v>592</v>
      </c>
      <c r="B39" s="13">
        <v>44625</v>
      </c>
      <c r="C39" t="s">
        <v>593</v>
      </c>
      <c r="D39" t="s">
        <v>189</v>
      </c>
      <c r="E39" t="s">
        <v>132</v>
      </c>
      <c r="F39" t="s">
        <v>22</v>
      </c>
      <c r="G39" t="s">
        <v>34</v>
      </c>
      <c r="H39">
        <v>4</v>
      </c>
      <c r="I39">
        <v>64.53</v>
      </c>
      <c r="J39">
        <v>0</v>
      </c>
      <c r="K39">
        <v>0</v>
      </c>
      <c r="L39">
        <v>13.67</v>
      </c>
      <c r="M39">
        <v>271.79000000000002</v>
      </c>
      <c r="N39" t="s">
        <v>35</v>
      </c>
      <c r="O39" t="s">
        <v>25</v>
      </c>
      <c r="P39" t="s">
        <v>112</v>
      </c>
      <c r="Q39" t="s">
        <v>113</v>
      </c>
      <c r="R39" t="s">
        <v>38</v>
      </c>
    </row>
    <row r="40" spans="1:18" x14ac:dyDescent="0.3">
      <c r="A40" t="s">
        <v>614</v>
      </c>
      <c r="B40" s="13">
        <v>44694</v>
      </c>
      <c r="C40" t="s">
        <v>615</v>
      </c>
      <c r="D40" t="s">
        <v>282</v>
      </c>
      <c r="E40" t="s">
        <v>267</v>
      </c>
      <c r="F40" t="s">
        <v>22</v>
      </c>
      <c r="G40" t="s">
        <v>203</v>
      </c>
      <c r="H40">
        <v>5</v>
      </c>
      <c r="I40">
        <v>341.7</v>
      </c>
      <c r="J40">
        <v>0.1</v>
      </c>
      <c r="K40">
        <v>276.77999999999997</v>
      </c>
      <c r="L40">
        <v>1.7</v>
      </c>
      <c r="M40">
        <v>1816.13</v>
      </c>
      <c r="N40" t="s">
        <v>35</v>
      </c>
      <c r="O40" t="s">
        <v>25</v>
      </c>
      <c r="P40" t="s">
        <v>112</v>
      </c>
      <c r="Q40" t="s">
        <v>113</v>
      </c>
      <c r="R40" t="s">
        <v>38</v>
      </c>
    </row>
    <row r="41" spans="1:18" x14ac:dyDescent="0.3">
      <c r="A41" t="s">
        <v>637</v>
      </c>
      <c r="B41" s="13">
        <v>44579</v>
      </c>
      <c r="C41" t="s">
        <v>638</v>
      </c>
      <c r="D41" t="s">
        <v>153</v>
      </c>
      <c r="E41" t="s">
        <v>32</v>
      </c>
      <c r="F41" t="s">
        <v>22</v>
      </c>
      <c r="G41" t="s">
        <v>49</v>
      </c>
      <c r="H41">
        <v>2</v>
      </c>
      <c r="I41">
        <v>67.540000000000006</v>
      </c>
      <c r="J41">
        <v>0.05</v>
      </c>
      <c r="K41">
        <v>10.27</v>
      </c>
      <c r="L41">
        <v>1.64</v>
      </c>
      <c r="M41">
        <v>140.24</v>
      </c>
      <c r="N41" t="s">
        <v>35</v>
      </c>
      <c r="O41" t="s">
        <v>25</v>
      </c>
      <c r="P41" t="s">
        <v>60</v>
      </c>
      <c r="Q41" t="s">
        <v>37</v>
      </c>
      <c r="R41" t="s">
        <v>61</v>
      </c>
    </row>
    <row r="42" spans="1:18" x14ac:dyDescent="0.3">
      <c r="A42" t="s">
        <v>653</v>
      </c>
      <c r="B42" s="13">
        <v>45553</v>
      </c>
      <c r="C42" t="s">
        <v>654</v>
      </c>
      <c r="D42" t="s">
        <v>655</v>
      </c>
      <c r="E42" t="s">
        <v>386</v>
      </c>
      <c r="F42" t="s">
        <v>22</v>
      </c>
      <c r="G42" t="s">
        <v>90</v>
      </c>
      <c r="H42">
        <v>3</v>
      </c>
      <c r="I42">
        <v>272.14</v>
      </c>
      <c r="J42">
        <v>0</v>
      </c>
      <c r="K42">
        <v>97.97</v>
      </c>
      <c r="L42">
        <v>11.16</v>
      </c>
      <c r="M42">
        <v>925.55</v>
      </c>
      <c r="N42" t="s">
        <v>67</v>
      </c>
      <c r="O42" t="s">
        <v>25</v>
      </c>
      <c r="P42" t="s">
        <v>257</v>
      </c>
      <c r="Q42" t="s">
        <v>69</v>
      </c>
      <c r="R42" t="s">
        <v>61</v>
      </c>
    </row>
    <row r="43" spans="1:18" x14ac:dyDescent="0.3">
      <c r="A43" t="s">
        <v>671</v>
      </c>
      <c r="B43" s="13">
        <v>44843</v>
      </c>
      <c r="C43" t="s">
        <v>672</v>
      </c>
      <c r="D43" t="s">
        <v>163</v>
      </c>
      <c r="E43" t="s">
        <v>99</v>
      </c>
      <c r="F43" t="s">
        <v>22</v>
      </c>
      <c r="G43" t="s">
        <v>49</v>
      </c>
      <c r="H43">
        <v>3</v>
      </c>
      <c r="I43">
        <v>59.09</v>
      </c>
      <c r="J43">
        <v>0.15</v>
      </c>
      <c r="K43">
        <v>0</v>
      </c>
      <c r="L43">
        <v>14.12</v>
      </c>
      <c r="M43">
        <v>164.8</v>
      </c>
      <c r="N43" t="s">
        <v>123</v>
      </c>
      <c r="O43" t="s">
        <v>25</v>
      </c>
      <c r="P43" t="s">
        <v>74</v>
      </c>
      <c r="Q43" t="s">
        <v>75</v>
      </c>
      <c r="R43" t="s">
        <v>28</v>
      </c>
    </row>
    <row r="44" spans="1:18" x14ac:dyDescent="0.3">
      <c r="A44" t="s">
        <v>673</v>
      </c>
      <c r="B44" s="13">
        <v>44476</v>
      </c>
      <c r="C44" t="s">
        <v>674</v>
      </c>
      <c r="D44" t="s">
        <v>675</v>
      </c>
      <c r="E44" t="s">
        <v>231</v>
      </c>
      <c r="F44" t="s">
        <v>22</v>
      </c>
      <c r="G44" t="s">
        <v>66</v>
      </c>
      <c r="H44">
        <v>1</v>
      </c>
      <c r="I44">
        <v>266.91000000000003</v>
      </c>
      <c r="J44">
        <v>0.05</v>
      </c>
      <c r="K44">
        <v>20.29</v>
      </c>
      <c r="L44">
        <v>7.33</v>
      </c>
      <c r="M44">
        <v>281.18</v>
      </c>
      <c r="N44" t="s">
        <v>35</v>
      </c>
      <c r="O44" t="s">
        <v>25</v>
      </c>
      <c r="P44" t="s">
        <v>145</v>
      </c>
      <c r="Q44" t="s">
        <v>146</v>
      </c>
      <c r="R44" t="s">
        <v>28</v>
      </c>
    </row>
    <row r="45" spans="1:18" x14ac:dyDescent="0.3">
      <c r="A45" t="s">
        <v>678</v>
      </c>
      <c r="B45" s="13">
        <v>44882</v>
      </c>
      <c r="C45" t="s">
        <v>679</v>
      </c>
      <c r="D45" t="s">
        <v>201</v>
      </c>
      <c r="E45" t="s">
        <v>271</v>
      </c>
      <c r="F45" t="s">
        <v>22</v>
      </c>
      <c r="G45" t="s">
        <v>34</v>
      </c>
      <c r="H45">
        <v>2</v>
      </c>
      <c r="I45">
        <v>454.72</v>
      </c>
      <c r="J45">
        <v>0.05</v>
      </c>
      <c r="K45">
        <v>69.12</v>
      </c>
      <c r="L45">
        <v>0.31</v>
      </c>
      <c r="M45">
        <v>933.4</v>
      </c>
      <c r="N45" t="s">
        <v>123</v>
      </c>
      <c r="O45" t="s">
        <v>107</v>
      </c>
      <c r="P45" t="s">
        <v>68</v>
      </c>
      <c r="Q45" t="s">
        <v>69</v>
      </c>
      <c r="R45" t="s">
        <v>28</v>
      </c>
    </row>
    <row r="46" spans="1:18" x14ac:dyDescent="0.3">
      <c r="A46" t="s">
        <v>680</v>
      </c>
      <c r="B46" s="13">
        <v>45474</v>
      </c>
      <c r="C46" t="s">
        <v>681</v>
      </c>
      <c r="D46" t="s">
        <v>352</v>
      </c>
      <c r="E46" t="s">
        <v>122</v>
      </c>
      <c r="F46" t="s">
        <v>22</v>
      </c>
      <c r="G46" t="s">
        <v>23</v>
      </c>
      <c r="H46">
        <v>3</v>
      </c>
      <c r="I46">
        <v>189.12</v>
      </c>
      <c r="J46">
        <v>0.2</v>
      </c>
      <c r="K46">
        <v>36.31</v>
      </c>
      <c r="L46">
        <v>3.6</v>
      </c>
      <c r="M46">
        <v>493.8</v>
      </c>
      <c r="N46" t="s">
        <v>24</v>
      </c>
      <c r="O46" t="s">
        <v>25</v>
      </c>
      <c r="P46" t="s">
        <v>112</v>
      </c>
      <c r="Q46" t="s">
        <v>113</v>
      </c>
      <c r="R46" t="s">
        <v>183</v>
      </c>
    </row>
    <row r="47" spans="1:18" x14ac:dyDescent="0.3">
      <c r="A47" t="s">
        <v>779</v>
      </c>
      <c r="B47" s="13">
        <v>45240</v>
      </c>
      <c r="C47" t="s">
        <v>780</v>
      </c>
      <c r="D47" t="s">
        <v>472</v>
      </c>
      <c r="E47" t="s">
        <v>88</v>
      </c>
      <c r="F47" t="s">
        <v>22</v>
      </c>
      <c r="G47" t="s">
        <v>23</v>
      </c>
      <c r="H47">
        <v>4</v>
      </c>
      <c r="I47">
        <v>230.36</v>
      </c>
      <c r="J47">
        <v>0.15</v>
      </c>
      <c r="K47">
        <v>39.159999999999997</v>
      </c>
      <c r="L47">
        <v>2</v>
      </c>
      <c r="M47">
        <v>824.38</v>
      </c>
      <c r="N47" t="s">
        <v>35</v>
      </c>
      <c r="O47" t="s">
        <v>25</v>
      </c>
      <c r="P47" t="s">
        <v>74</v>
      </c>
      <c r="Q47" t="s">
        <v>75</v>
      </c>
      <c r="R47" t="s">
        <v>28</v>
      </c>
    </row>
    <row r="48" spans="1:18" x14ac:dyDescent="0.3">
      <c r="A48" t="s">
        <v>786</v>
      </c>
      <c r="B48" s="13">
        <v>45467</v>
      </c>
      <c r="C48" t="s">
        <v>787</v>
      </c>
      <c r="D48" t="s">
        <v>788</v>
      </c>
      <c r="E48" t="s">
        <v>324</v>
      </c>
      <c r="F48" t="s">
        <v>22</v>
      </c>
      <c r="G48" t="s">
        <v>203</v>
      </c>
      <c r="H48">
        <v>5</v>
      </c>
      <c r="I48">
        <v>428.5</v>
      </c>
      <c r="J48">
        <v>0</v>
      </c>
      <c r="K48">
        <v>171.4</v>
      </c>
      <c r="L48">
        <v>0.81</v>
      </c>
      <c r="M48">
        <v>2314.71</v>
      </c>
      <c r="N48" t="s">
        <v>35</v>
      </c>
      <c r="O48" t="s">
        <v>25</v>
      </c>
      <c r="P48" t="s">
        <v>51</v>
      </c>
      <c r="Q48" t="s">
        <v>52</v>
      </c>
      <c r="R48" t="s">
        <v>38</v>
      </c>
    </row>
    <row r="49" spans="1:18" x14ac:dyDescent="0.3">
      <c r="A49" t="s">
        <v>799</v>
      </c>
      <c r="B49" s="13">
        <v>43943</v>
      </c>
      <c r="C49" t="s">
        <v>800</v>
      </c>
      <c r="D49" t="s">
        <v>801</v>
      </c>
      <c r="E49" t="s">
        <v>220</v>
      </c>
      <c r="F49" t="s">
        <v>22</v>
      </c>
      <c r="G49" t="s">
        <v>268</v>
      </c>
      <c r="H49">
        <v>5</v>
      </c>
      <c r="I49">
        <v>55.8</v>
      </c>
      <c r="J49">
        <v>0.15</v>
      </c>
      <c r="K49">
        <v>11.86</v>
      </c>
      <c r="L49">
        <v>1.6</v>
      </c>
      <c r="M49">
        <v>250.61</v>
      </c>
      <c r="N49" t="s">
        <v>58</v>
      </c>
      <c r="O49" t="s">
        <v>25</v>
      </c>
      <c r="P49" t="s">
        <v>133</v>
      </c>
      <c r="Q49" t="s">
        <v>134</v>
      </c>
      <c r="R49" t="s">
        <v>38</v>
      </c>
    </row>
    <row r="50" spans="1:18" x14ac:dyDescent="0.3">
      <c r="A50" t="s">
        <v>819</v>
      </c>
      <c r="B50" s="13">
        <v>44215</v>
      </c>
      <c r="C50" t="s">
        <v>820</v>
      </c>
      <c r="D50" t="s">
        <v>252</v>
      </c>
      <c r="E50" t="s">
        <v>122</v>
      </c>
      <c r="F50" t="s">
        <v>22</v>
      </c>
      <c r="G50" t="s">
        <v>198</v>
      </c>
      <c r="H50">
        <v>1</v>
      </c>
      <c r="I50">
        <v>348.88</v>
      </c>
      <c r="J50">
        <v>0.1</v>
      </c>
      <c r="K50">
        <v>37.68</v>
      </c>
      <c r="L50">
        <v>5.52</v>
      </c>
      <c r="M50">
        <v>357.19</v>
      </c>
      <c r="N50" t="s">
        <v>58</v>
      </c>
      <c r="O50" t="s">
        <v>25</v>
      </c>
      <c r="P50" t="s">
        <v>95</v>
      </c>
      <c r="Q50" t="s">
        <v>37</v>
      </c>
      <c r="R50" t="s">
        <v>38</v>
      </c>
    </row>
    <row r="51" spans="1:18" x14ac:dyDescent="0.3">
      <c r="A51" t="s">
        <v>842</v>
      </c>
      <c r="B51" s="13">
        <v>44077</v>
      </c>
      <c r="C51" t="s">
        <v>843</v>
      </c>
      <c r="D51" t="s">
        <v>418</v>
      </c>
      <c r="E51" t="s">
        <v>42</v>
      </c>
      <c r="F51" t="s">
        <v>22</v>
      </c>
      <c r="G51" t="s">
        <v>100</v>
      </c>
      <c r="H51">
        <v>5</v>
      </c>
      <c r="I51">
        <v>152.56</v>
      </c>
      <c r="J51">
        <v>0</v>
      </c>
      <c r="K51">
        <v>61.02</v>
      </c>
      <c r="L51">
        <v>10.29</v>
      </c>
      <c r="M51">
        <v>834.11</v>
      </c>
      <c r="N51" t="s">
        <v>58</v>
      </c>
      <c r="O51" t="s">
        <v>107</v>
      </c>
      <c r="P51" t="s">
        <v>36</v>
      </c>
      <c r="Q51" t="s">
        <v>37</v>
      </c>
      <c r="R51" t="s">
        <v>61</v>
      </c>
    </row>
    <row r="52" spans="1:18" x14ac:dyDescent="0.3">
      <c r="A52" t="s">
        <v>844</v>
      </c>
      <c r="B52" s="13">
        <v>44666</v>
      </c>
      <c r="C52" t="s">
        <v>845</v>
      </c>
      <c r="D52" t="s">
        <v>460</v>
      </c>
      <c r="E52" t="s">
        <v>243</v>
      </c>
      <c r="F52" t="s">
        <v>22</v>
      </c>
      <c r="G52" t="s">
        <v>268</v>
      </c>
      <c r="H52">
        <v>2</v>
      </c>
      <c r="I52">
        <v>217.88</v>
      </c>
      <c r="J52">
        <v>0.25</v>
      </c>
      <c r="K52">
        <v>26.15</v>
      </c>
      <c r="L52">
        <v>3.94</v>
      </c>
      <c r="M52">
        <v>356.91</v>
      </c>
      <c r="N52" t="s">
        <v>123</v>
      </c>
      <c r="O52" t="s">
        <v>25</v>
      </c>
      <c r="P52" t="s">
        <v>178</v>
      </c>
      <c r="Q52" t="s">
        <v>69</v>
      </c>
      <c r="R52" t="s">
        <v>28</v>
      </c>
    </row>
    <row r="53" spans="1:18" x14ac:dyDescent="0.3">
      <c r="A53" t="s">
        <v>856</v>
      </c>
      <c r="B53" s="13">
        <v>44231</v>
      </c>
      <c r="C53" t="s">
        <v>857</v>
      </c>
      <c r="D53" t="s">
        <v>286</v>
      </c>
      <c r="E53" t="s">
        <v>577</v>
      </c>
      <c r="F53" t="s">
        <v>22</v>
      </c>
      <c r="G53" t="s">
        <v>49</v>
      </c>
      <c r="H53">
        <v>5</v>
      </c>
      <c r="I53">
        <v>126.21</v>
      </c>
      <c r="J53">
        <v>0.2</v>
      </c>
      <c r="K53">
        <v>40.39</v>
      </c>
      <c r="L53">
        <v>11.32</v>
      </c>
      <c r="M53">
        <v>556.54999999999995</v>
      </c>
      <c r="N53" t="s">
        <v>58</v>
      </c>
      <c r="O53" t="s">
        <v>25</v>
      </c>
      <c r="P53" t="s">
        <v>74</v>
      </c>
      <c r="Q53" t="s">
        <v>75</v>
      </c>
      <c r="R53" t="s">
        <v>38</v>
      </c>
    </row>
    <row r="54" spans="1:18" x14ac:dyDescent="0.3">
      <c r="A54" t="s">
        <v>862</v>
      </c>
      <c r="B54" s="13">
        <v>44110</v>
      </c>
      <c r="C54" t="s">
        <v>863</v>
      </c>
      <c r="D54" t="s">
        <v>141</v>
      </c>
      <c r="E54" t="s">
        <v>122</v>
      </c>
      <c r="F54" t="s">
        <v>22</v>
      </c>
      <c r="G54" t="s">
        <v>90</v>
      </c>
      <c r="H54">
        <v>4</v>
      </c>
      <c r="I54">
        <v>41.51</v>
      </c>
      <c r="J54">
        <v>0</v>
      </c>
      <c r="K54">
        <v>19.920000000000002</v>
      </c>
      <c r="L54">
        <v>5.9</v>
      </c>
      <c r="M54">
        <v>191.86</v>
      </c>
      <c r="N54" t="s">
        <v>67</v>
      </c>
      <c r="O54" t="s">
        <v>107</v>
      </c>
      <c r="P54" t="s">
        <v>101</v>
      </c>
      <c r="Q54" t="s">
        <v>102</v>
      </c>
      <c r="R54" t="s">
        <v>38</v>
      </c>
    </row>
    <row r="55" spans="1:18" x14ac:dyDescent="0.3">
      <c r="A55" t="s">
        <v>875</v>
      </c>
      <c r="B55" s="13">
        <v>44582</v>
      </c>
      <c r="C55" t="s">
        <v>876</v>
      </c>
      <c r="D55" t="s">
        <v>877</v>
      </c>
      <c r="E55" t="s">
        <v>182</v>
      </c>
      <c r="F55" t="s">
        <v>22</v>
      </c>
      <c r="G55" t="s">
        <v>90</v>
      </c>
      <c r="H55">
        <v>3</v>
      </c>
      <c r="I55">
        <v>466.02</v>
      </c>
      <c r="J55">
        <v>0</v>
      </c>
      <c r="K55">
        <v>69.900000000000006</v>
      </c>
      <c r="L55">
        <v>12.53</v>
      </c>
      <c r="M55">
        <v>1480.49</v>
      </c>
      <c r="N55" t="s">
        <v>24</v>
      </c>
      <c r="O55" t="s">
        <v>25</v>
      </c>
      <c r="P55" t="s">
        <v>133</v>
      </c>
      <c r="Q55" t="s">
        <v>134</v>
      </c>
      <c r="R55" t="s">
        <v>61</v>
      </c>
    </row>
    <row r="56" spans="1:18" x14ac:dyDescent="0.3">
      <c r="A56" t="s">
        <v>887</v>
      </c>
      <c r="B56" s="13">
        <v>44017</v>
      </c>
      <c r="C56" t="s">
        <v>888</v>
      </c>
      <c r="D56" t="s">
        <v>825</v>
      </c>
      <c r="E56" t="s">
        <v>94</v>
      </c>
      <c r="F56" t="s">
        <v>22</v>
      </c>
      <c r="G56" t="s">
        <v>66</v>
      </c>
      <c r="H56">
        <v>2</v>
      </c>
      <c r="I56">
        <v>308.26</v>
      </c>
      <c r="J56">
        <v>0.15</v>
      </c>
      <c r="K56">
        <v>94.33</v>
      </c>
      <c r="L56">
        <v>9.57</v>
      </c>
      <c r="M56">
        <v>627.94000000000005</v>
      </c>
      <c r="N56" t="s">
        <v>35</v>
      </c>
      <c r="O56" t="s">
        <v>25</v>
      </c>
      <c r="P56" t="s">
        <v>51</v>
      </c>
      <c r="Q56" t="s">
        <v>52</v>
      </c>
      <c r="R56" t="s">
        <v>38</v>
      </c>
    </row>
    <row r="57" spans="1:18" x14ac:dyDescent="0.3">
      <c r="A57" t="s">
        <v>914</v>
      </c>
      <c r="B57" s="13">
        <v>45002</v>
      </c>
      <c r="C57" t="s">
        <v>915</v>
      </c>
      <c r="D57" t="s">
        <v>916</v>
      </c>
      <c r="E57" t="s">
        <v>106</v>
      </c>
      <c r="F57" t="s">
        <v>22</v>
      </c>
      <c r="G57" t="s">
        <v>23</v>
      </c>
      <c r="H57">
        <v>3</v>
      </c>
      <c r="I57">
        <v>582.15</v>
      </c>
      <c r="J57">
        <v>0</v>
      </c>
      <c r="K57">
        <v>87.32</v>
      </c>
      <c r="L57">
        <v>6.71</v>
      </c>
      <c r="M57">
        <v>1840.48</v>
      </c>
      <c r="N57" t="s">
        <v>24</v>
      </c>
      <c r="O57" t="s">
        <v>82</v>
      </c>
      <c r="P57" t="s">
        <v>26</v>
      </c>
      <c r="Q57" t="s">
        <v>27</v>
      </c>
      <c r="R57" t="s">
        <v>28</v>
      </c>
    </row>
    <row r="58" spans="1:18" x14ac:dyDescent="0.3">
      <c r="A58" t="s">
        <v>917</v>
      </c>
      <c r="B58" s="13">
        <v>44694</v>
      </c>
      <c r="C58" t="s">
        <v>918</v>
      </c>
      <c r="D58" t="s">
        <v>520</v>
      </c>
      <c r="E58" t="s">
        <v>340</v>
      </c>
      <c r="F58" t="s">
        <v>22</v>
      </c>
      <c r="G58" t="s">
        <v>23</v>
      </c>
      <c r="H58">
        <v>4</v>
      </c>
      <c r="I58">
        <v>458.05</v>
      </c>
      <c r="J58">
        <v>0.1</v>
      </c>
      <c r="K58">
        <v>82.45</v>
      </c>
      <c r="L58">
        <v>10.199999999999999</v>
      </c>
      <c r="M58">
        <v>1741.63</v>
      </c>
      <c r="N58" t="s">
        <v>67</v>
      </c>
      <c r="O58" t="s">
        <v>107</v>
      </c>
      <c r="P58" t="s">
        <v>124</v>
      </c>
      <c r="Q58" t="s">
        <v>125</v>
      </c>
      <c r="R58" t="s">
        <v>28</v>
      </c>
    </row>
    <row r="59" spans="1:18" x14ac:dyDescent="0.3">
      <c r="A59" t="s">
        <v>930</v>
      </c>
      <c r="B59" s="13">
        <v>44168</v>
      </c>
      <c r="C59" t="s">
        <v>931</v>
      </c>
      <c r="D59" t="s">
        <v>212</v>
      </c>
      <c r="E59" t="s">
        <v>365</v>
      </c>
      <c r="F59" t="s">
        <v>22</v>
      </c>
      <c r="G59" t="s">
        <v>90</v>
      </c>
      <c r="H59">
        <v>1</v>
      </c>
      <c r="I59">
        <v>595.34</v>
      </c>
      <c r="J59">
        <v>0</v>
      </c>
      <c r="K59">
        <v>47.63</v>
      </c>
      <c r="L59">
        <v>12.41</v>
      </c>
      <c r="M59">
        <v>655.38</v>
      </c>
      <c r="N59" t="s">
        <v>35</v>
      </c>
      <c r="O59" t="s">
        <v>25</v>
      </c>
      <c r="P59" t="s">
        <v>165</v>
      </c>
      <c r="Q59" t="s">
        <v>37</v>
      </c>
      <c r="R59" t="s">
        <v>38</v>
      </c>
    </row>
    <row r="60" spans="1:18" x14ac:dyDescent="0.3">
      <c r="A60" t="s">
        <v>951</v>
      </c>
      <c r="B60" s="13">
        <v>45618</v>
      </c>
      <c r="C60" t="s">
        <v>952</v>
      </c>
      <c r="D60" t="s">
        <v>720</v>
      </c>
      <c r="E60" t="s">
        <v>142</v>
      </c>
      <c r="F60" t="s">
        <v>22</v>
      </c>
      <c r="G60" t="s">
        <v>100</v>
      </c>
      <c r="H60">
        <v>4</v>
      </c>
      <c r="I60">
        <v>489.79</v>
      </c>
      <c r="J60">
        <v>0.2</v>
      </c>
      <c r="K60">
        <v>282.12</v>
      </c>
      <c r="L60">
        <v>9.8800000000000008</v>
      </c>
      <c r="M60">
        <v>1859.33</v>
      </c>
      <c r="N60" t="s">
        <v>24</v>
      </c>
      <c r="O60" t="s">
        <v>25</v>
      </c>
      <c r="P60" t="s">
        <v>74</v>
      </c>
      <c r="Q60" t="s">
        <v>75</v>
      </c>
      <c r="R60" t="s">
        <v>28</v>
      </c>
    </row>
    <row r="61" spans="1:18" x14ac:dyDescent="0.3">
      <c r="A61" t="s">
        <v>974</v>
      </c>
      <c r="B61" s="13">
        <v>44084</v>
      </c>
      <c r="C61" t="s">
        <v>975</v>
      </c>
      <c r="D61" t="s">
        <v>720</v>
      </c>
      <c r="E61" t="s">
        <v>349</v>
      </c>
      <c r="F61" t="s">
        <v>22</v>
      </c>
      <c r="G61" t="s">
        <v>34</v>
      </c>
      <c r="H61">
        <v>2</v>
      </c>
      <c r="I61">
        <v>559.24</v>
      </c>
      <c r="J61">
        <v>0</v>
      </c>
      <c r="K61">
        <v>134.22</v>
      </c>
      <c r="L61">
        <v>11.03</v>
      </c>
      <c r="M61">
        <v>1263.73</v>
      </c>
      <c r="N61" t="s">
        <v>24</v>
      </c>
      <c r="O61" t="s">
        <v>25</v>
      </c>
      <c r="P61" t="s">
        <v>83</v>
      </c>
      <c r="Q61" t="s">
        <v>84</v>
      </c>
      <c r="R61" t="s">
        <v>38</v>
      </c>
    </row>
    <row r="62" spans="1:18" x14ac:dyDescent="0.3">
      <c r="A62" t="s">
        <v>980</v>
      </c>
      <c r="B62" s="13">
        <v>44891</v>
      </c>
      <c r="C62" t="s">
        <v>981</v>
      </c>
      <c r="D62" t="s">
        <v>911</v>
      </c>
      <c r="E62" t="s">
        <v>21</v>
      </c>
      <c r="F62" t="s">
        <v>22</v>
      </c>
      <c r="G62" t="s">
        <v>100</v>
      </c>
      <c r="H62">
        <v>2</v>
      </c>
      <c r="I62">
        <v>487.8</v>
      </c>
      <c r="J62">
        <v>0.05</v>
      </c>
      <c r="K62">
        <v>74.150000000000006</v>
      </c>
      <c r="L62">
        <v>14.57</v>
      </c>
      <c r="M62">
        <v>1015.54</v>
      </c>
      <c r="N62" t="s">
        <v>35</v>
      </c>
      <c r="O62" t="s">
        <v>25</v>
      </c>
      <c r="P62" t="s">
        <v>74</v>
      </c>
      <c r="Q62" t="s">
        <v>75</v>
      </c>
      <c r="R62" t="s">
        <v>38</v>
      </c>
    </row>
    <row r="63" spans="1:18" x14ac:dyDescent="0.3">
      <c r="A63" t="s">
        <v>984</v>
      </c>
      <c r="B63" s="13">
        <v>44845</v>
      </c>
      <c r="C63" t="s">
        <v>985</v>
      </c>
      <c r="D63" t="s">
        <v>711</v>
      </c>
      <c r="E63" t="s">
        <v>132</v>
      </c>
      <c r="F63" t="s">
        <v>22</v>
      </c>
      <c r="G63" t="s">
        <v>49</v>
      </c>
      <c r="H63">
        <v>5</v>
      </c>
      <c r="I63">
        <v>39.9</v>
      </c>
      <c r="J63">
        <v>0.1</v>
      </c>
      <c r="K63">
        <v>8.98</v>
      </c>
      <c r="L63">
        <v>9.41</v>
      </c>
      <c r="M63">
        <v>197.94</v>
      </c>
      <c r="N63" t="s">
        <v>35</v>
      </c>
      <c r="O63" t="s">
        <v>82</v>
      </c>
      <c r="P63" t="s">
        <v>117</v>
      </c>
      <c r="Q63" t="s">
        <v>118</v>
      </c>
      <c r="R63" t="s">
        <v>38</v>
      </c>
    </row>
    <row r="64" spans="1:18" x14ac:dyDescent="0.3">
      <c r="A64" t="s">
        <v>986</v>
      </c>
      <c r="B64" s="13">
        <v>43839</v>
      </c>
      <c r="C64" t="s">
        <v>987</v>
      </c>
      <c r="D64" t="s">
        <v>168</v>
      </c>
      <c r="E64" t="s">
        <v>21</v>
      </c>
      <c r="F64" t="s">
        <v>22</v>
      </c>
      <c r="G64" t="s">
        <v>100</v>
      </c>
      <c r="H64">
        <v>1</v>
      </c>
      <c r="I64">
        <v>56.87</v>
      </c>
      <c r="J64">
        <v>0.1</v>
      </c>
      <c r="K64">
        <v>4.09</v>
      </c>
      <c r="L64">
        <v>3.54</v>
      </c>
      <c r="M64">
        <v>58.81</v>
      </c>
      <c r="N64" t="s">
        <v>123</v>
      </c>
      <c r="O64" t="s">
        <v>25</v>
      </c>
      <c r="P64" t="s">
        <v>133</v>
      </c>
      <c r="Q64" t="s">
        <v>134</v>
      </c>
      <c r="R64" t="s">
        <v>76</v>
      </c>
    </row>
    <row r="65" spans="1:18" x14ac:dyDescent="0.3">
      <c r="A65" t="s">
        <v>994</v>
      </c>
      <c r="B65" s="13">
        <v>44646</v>
      </c>
      <c r="C65" t="s">
        <v>995</v>
      </c>
      <c r="D65" t="s">
        <v>382</v>
      </c>
      <c r="E65" t="s">
        <v>294</v>
      </c>
      <c r="F65" t="s">
        <v>22</v>
      </c>
      <c r="G65" t="s">
        <v>198</v>
      </c>
      <c r="H65">
        <v>2</v>
      </c>
      <c r="I65">
        <v>116.97</v>
      </c>
      <c r="J65">
        <v>0</v>
      </c>
      <c r="K65">
        <v>18.72</v>
      </c>
      <c r="L65">
        <v>8.01</v>
      </c>
      <c r="M65">
        <v>260.67</v>
      </c>
      <c r="N65" t="s">
        <v>67</v>
      </c>
      <c r="O65" t="s">
        <v>25</v>
      </c>
      <c r="P65" t="s">
        <v>83</v>
      </c>
      <c r="Q65" t="s">
        <v>84</v>
      </c>
      <c r="R65" t="s">
        <v>28</v>
      </c>
    </row>
    <row r="66" spans="1:18" x14ac:dyDescent="0.3">
      <c r="A66" t="s">
        <v>999</v>
      </c>
      <c r="B66" s="13">
        <v>44985</v>
      </c>
      <c r="C66" t="s">
        <v>1000</v>
      </c>
      <c r="D66" t="s">
        <v>336</v>
      </c>
      <c r="E66" t="s">
        <v>190</v>
      </c>
      <c r="F66" t="s">
        <v>22</v>
      </c>
      <c r="G66" t="s">
        <v>23</v>
      </c>
      <c r="H66">
        <v>5</v>
      </c>
      <c r="I66">
        <v>578.85</v>
      </c>
      <c r="J66">
        <v>0</v>
      </c>
      <c r="K66">
        <v>144.71</v>
      </c>
      <c r="L66">
        <v>12.07</v>
      </c>
      <c r="M66">
        <v>3051.03</v>
      </c>
      <c r="N66" t="s">
        <v>58</v>
      </c>
      <c r="O66" t="s">
        <v>25</v>
      </c>
      <c r="P66" t="s">
        <v>74</v>
      </c>
      <c r="Q66" t="s">
        <v>75</v>
      </c>
      <c r="R66" t="s">
        <v>38</v>
      </c>
    </row>
    <row r="67" spans="1:18" x14ac:dyDescent="0.3">
      <c r="A67" t="s">
        <v>1016</v>
      </c>
      <c r="B67" s="13">
        <v>45479</v>
      </c>
      <c r="C67" t="s">
        <v>1017</v>
      </c>
      <c r="D67" t="s">
        <v>110</v>
      </c>
      <c r="E67" t="s">
        <v>577</v>
      </c>
      <c r="F67" t="s">
        <v>22</v>
      </c>
      <c r="G67" t="s">
        <v>198</v>
      </c>
      <c r="H67">
        <v>2</v>
      </c>
      <c r="I67">
        <v>569.77</v>
      </c>
      <c r="J67">
        <v>0.05</v>
      </c>
      <c r="K67">
        <v>86.61</v>
      </c>
      <c r="L67">
        <v>9.56</v>
      </c>
      <c r="M67">
        <v>1178.73</v>
      </c>
      <c r="N67" t="s">
        <v>24</v>
      </c>
      <c r="O67" t="s">
        <v>82</v>
      </c>
      <c r="P67" t="s">
        <v>26</v>
      </c>
      <c r="Q67" t="s">
        <v>27</v>
      </c>
      <c r="R67" t="s">
        <v>38</v>
      </c>
    </row>
    <row r="68" spans="1:18" x14ac:dyDescent="0.3">
      <c r="A68" t="s">
        <v>1028</v>
      </c>
      <c r="B68" s="13">
        <v>45081</v>
      </c>
      <c r="C68" t="s">
        <v>1029</v>
      </c>
      <c r="D68" t="s">
        <v>550</v>
      </c>
      <c r="E68" t="s">
        <v>202</v>
      </c>
      <c r="F68" t="s">
        <v>22</v>
      </c>
      <c r="G68" t="s">
        <v>100</v>
      </c>
      <c r="H68">
        <v>4</v>
      </c>
      <c r="I68">
        <v>591.4</v>
      </c>
      <c r="J68">
        <v>0</v>
      </c>
      <c r="K68">
        <v>283.87</v>
      </c>
      <c r="L68">
        <v>6.44</v>
      </c>
      <c r="M68">
        <v>2655.91</v>
      </c>
      <c r="N68" t="s">
        <v>58</v>
      </c>
      <c r="O68" t="s">
        <v>25</v>
      </c>
      <c r="P68" t="s">
        <v>145</v>
      </c>
      <c r="Q68" t="s">
        <v>146</v>
      </c>
      <c r="R68" t="s">
        <v>38</v>
      </c>
    </row>
    <row r="69" spans="1:18" x14ac:dyDescent="0.3">
      <c r="A69" t="s">
        <v>1033</v>
      </c>
      <c r="B69" s="13">
        <v>44340</v>
      </c>
      <c r="C69" t="s">
        <v>1034</v>
      </c>
      <c r="D69" t="s">
        <v>1003</v>
      </c>
      <c r="E69" t="s">
        <v>386</v>
      </c>
      <c r="F69" t="s">
        <v>22</v>
      </c>
      <c r="G69" t="s">
        <v>100</v>
      </c>
      <c r="H69">
        <v>3</v>
      </c>
      <c r="I69">
        <v>436.37</v>
      </c>
      <c r="J69">
        <v>0.05</v>
      </c>
      <c r="K69">
        <v>99.49</v>
      </c>
      <c r="L69">
        <v>0.63</v>
      </c>
      <c r="M69">
        <v>1343.77</v>
      </c>
      <c r="N69" t="s">
        <v>24</v>
      </c>
      <c r="O69" t="s">
        <v>107</v>
      </c>
      <c r="P69" t="s">
        <v>68</v>
      </c>
      <c r="Q69" t="s">
        <v>69</v>
      </c>
      <c r="R69" t="s">
        <v>183</v>
      </c>
    </row>
    <row r="70" spans="1:18" x14ac:dyDescent="0.3">
      <c r="A70" t="s">
        <v>1071</v>
      </c>
      <c r="B70" s="13">
        <v>44646</v>
      </c>
      <c r="C70" t="s">
        <v>1072</v>
      </c>
      <c r="D70" t="s">
        <v>839</v>
      </c>
      <c r="E70" t="s">
        <v>142</v>
      </c>
      <c r="F70" t="s">
        <v>22</v>
      </c>
      <c r="G70" t="s">
        <v>100</v>
      </c>
      <c r="H70">
        <v>2</v>
      </c>
      <c r="I70">
        <v>413.76</v>
      </c>
      <c r="J70">
        <v>0.05</v>
      </c>
      <c r="K70">
        <v>39.31</v>
      </c>
      <c r="L70">
        <v>12.8</v>
      </c>
      <c r="M70">
        <v>838.25</v>
      </c>
      <c r="N70" t="s">
        <v>58</v>
      </c>
      <c r="O70" t="s">
        <v>25</v>
      </c>
      <c r="P70" t="s">
        <v>133</v>
      </c>
      <c r="Q70" t="s">
        <v>134</v>
      </c>
      <c r="R70" t="s">
        <v>28</v>
      </c>
    </row>
    <row r="71" spans="1:18" x14ac:dyDescent="0.3">
      <c r="A71" t="s">
        <v>1085</v>
      </c>
      <c r="B71" s="13">
        <v>44887</v>
      </c>
      <c r="C71" t="s">
        <v>1086</v>
      </c>
      <c r="D71" t="s">
        <v>1087</v>
      </c>
      <c r="E71" t="s">
        <v>138</v>
      </c>
      <c r="F71" t="s">
        <v>22</v>
      </c>
      <c r="G71" t="s">
        <v>90</v>
      </c>
      <c r="H71">
        <v>3</v>
      </c>
      <c r="I71">
        <v>412.81</v>
      </c>
      <c r="J71">
        <v>0.3</v>
      </c>
      <c r="K71">
        <v>69.349999999999994</v>
      </c>
      <c r="L71">
        <v>6.62</v>
      </c>
      <c r="M71">
        <v>942.87</v>
      </c>
      <c r="N71" t="s">
        <v>24</v>
      </c>
      <c r="O71" t="s">
        <v>25</v>
      </c>
      <c r="P71" t="s">
        <v>83</v>
      </c>
      <c r="Q71" t="s">
        <v>84</v>
      </c>
      <c r="R71" t="s">
        <v>38</v>
      </c>
    </row>
    <row r="72" spans="1:18" x14ac:dyDescent="0.3">
      <c r="A72" t="s">
        <v>1094</v>
      </c>
      <c r="B72" s="13">
        <v>44300</v>
      </c>
      <c r="C72" t="s">
        <v>1095</v>
      </c>
      <c r="D72" t="s">
        <v>1096</v>
      </c>
      <c r="E72" t="s">
        <v>267</v>
      </c>
      <c r="F72" t="s">
        <v>22</v>
      </c>
      <c r="G72" t="s">
        <v>23</v>
      </c>
      <c r="H72">
        <v>3</v>
      </c>
      <c r="I72">
        <v>77.650000000000006</v>
      </c>
      <c r="J72">
        <v>0.25</v>
      </c>
      <c r="K72">
        <v>8.74</v>
      </c>
      <c r="L72">
        <v>9.43</v>
      </c>
      <c r="M72">
        <v>192.88</v>
      </c>
      <c r="N72" t="s">
        <v>35</v>
      </c>
      <c r="O72" t="s">
        <v>25</v>
      </c>
      <c r="P72" t="s">
        <v>74</v>
      </c>
      <c r="Q72" t="s">
        <v>75</v>
      </c>
      <c r="R72" t="s">
        <v>28</v>
      </c>
    </row>
    <row r="73" spans="1:18" x14ac:dyDescent="0.3">
      <c r="A73" t="s">
        <v>1108</v>
      </c>
      <c r="B73" s="13">
        <v>44060</v>
      </c>
      <c r="C73" t="s">
        <v>1109</v>
      </c>
      <c r="D73" t="s">
        <v>877</v>
      </c>
      <c r="E73" t="s">
        <v>142</v>
      </c>
      <c r="F73" t="s">
        <v>22</v>
      </c>
      <c r="G73" t="s">
        <v>90</v>
      </c>
      <c r="H73">
        <v>2</v>
      </c>
      <c r="I73">
        <v>409.25</v>
      </c>
      <c r="J73">
        <v>0.05</v>
      </c>
      <c r="K73">
        <v>0</v>
      </c>
      <c r="L73">
        <v>13.68</v>
      </c>
      <c r="M73">
        <v>791.25</v>
      </c>
      <c r="N73" t="s">
        <v>58</v>
      </c>
      <c r="O73" t="s">
        <v>25</v>
      </c>
      <c r="P73" t="s">
        <v>26</v>
      </c>
      <c r="Q73" t="s">
        <v>27</v>
      </c>
      <c r="R73" t="s">
        <v>38</v>
      </c>
    </row>
    <row r="74" spans="1:18" x14ac:dyDescent="0.3">
      <c r="A74" t="s">
        <v>1116</v>
      </c>
      <c r="B74" s="13">
        <v>45630</v>
      </c>
      <c r="C74" t="s">
        <v>1117</v>
      </c>
      <c r="D74" t="s">
        <v>645</v>
      </c>
      <c r="E74" t="s">
        <v>597</v>
      </c>
      <c r="F74" t="s">
        <v>22</v>
      </c>
      <c r="G74" t="s">
        <v>90</v>
      </c>
      <c r="H74">
        <v>3</v>
      </c>
      <c r="I74">
        <v>557.97</v>
      </c>
      <c r="J74">
        <v>0.05</v>
      </c>
      <c r="K74">
        <v>190.83</v>
      </c>
      <c r="L74">
        <v>13.16</v>
      </c>
      <c r="M74">
        <v>1794.2</v>
      </c>
      <c r="N74" t="s">
        <v>24</v>
      </c>
      <c r="O74" t="s">
        <v>25</v>
      </c>
      <c r="P74" t="s">
        <v>68</v>
      </c>
      <c r="Q74" t="s">
        <v>69</v>
      </c>
      <c r="R74" t="s">
        <v>28</v>
      </c>
    </row>
    <row r="75" spans="1:18" x14ac:dyDescent="0.3">
      <c r="A75" t="s">
        <v>1122</v>
      </c>
      <c r="B75" s="13">
        <v>44056</v>
      </c>
      <c r="C75" t="s">
        <v>1123</v>
      </c>
      <c r="D75" t="s">
        <v>279</v>
      </c>
      <c r="E75" t="s">
        <v>138</v>
      </c>
      <c r="F75" t="s">
        <v>22</v>
      </c>
      <c r="G75" t="s">
        <v>90</v>
      </c>
      <c r="H75">
        <v>5</v>
      </c>
      <c r="I75">
        <v>237.5</v>
      </c>
      <c r="J75">
        <v>0</v>
      </c>
      <c r="K75">
        <v>95</v>
      </c>
      <c r="L75">
        <v>7.08</v>
      </c>
      <c r="M75">
        <v>1289.58</v>
      </c>
      <c r="N75" t="s">
        <v>24</v>
      </c>
      <c r="O75" t="s">
        <v>25</v>
      </c>
      <c r="P75" t="s">
        <v>44</v>
      </c>
      <c r="Q75" t="s">
        <v>37</v>
      </c>
      <c r="R75" t="s">
        <v>38</v>
      </c>
    </row>
    <row r="76" spans="1:18" x14ac:dyDescent="0.3">
      <c r="A76" t="s">
        <v>1140</v>
      </c>
      <c r="B76" s="13">
        <v>44850</v>
      </c>
      <c r="C76" t="s">
        <v>1141</v>
      </c>
      <c r="D76" t="s">
        <v>801</v>
      </c>
      <c r="E76" t="s">
        <v>164</v>
      </c>
      <c r="F76" t="s">
        <v>22</v>
      </c>
      <c r="G76" t="s">
        <v>57</v>
      </c>
      <c r="H76">
        <v>4</v>
      </c>
      <c r="I76">
        <v>514.98</v>
      </c>
      <c r="J76">
        <v>0.05</v>
      </c>
      <c r="K76">
        <v>0</v>
      </c>
      <c r="L76">
        <v>3.55</v>
      </c>
      <c r="M76">
        <v>1960.47</v>
      </c>
      <c r="N76" t="s">
        <v>58</v>
      </c>
      <c r="O76" t="s">
        <v>25</v>
      </c>
      <c r="P76" t="s">
        <v>133</v>
      </c>
      <c r="Q76" t="s">
        <v>134</v>
      </c>
      <c r="R76" t="s">
        <v>38</v>
      </c>
    </row>
    <row r="77" spans="1:18" x14ac:dyDescent="0.3">
      <c r="A77" t="s">
        <v>1150</v>
      </c>
      <c r="B77" s="13">
        <v>45046</v>
      </c>
      <c r="C77" t="s">
        <v>1151</v>
      </c>
      <c r="D77" t="s">
        <v>528</v>
      </c>
      <c r="E77" t="s">
        <v>577</v>
      </c>
      <c r="F77" t="s">
        <v>22</v>
      </c>
      <c r="G77" t="s">
        <v>268</v>
      </c>
      <c r="H77">
        <v>3</v>
      </c>
      <c r="I77">
        <v>168.62</v>
      </c>
      <c r="J77">
        <v>0.05</v>
      </c>
      <c r="K77">
        <v>24.03</v>
      </c>
      <c r="L77">
        <v>14.43</v>
      </c>
      <c r="M77">
        <v>519.03</v>
      </c>
      <c r="N77" t="s">
        <v>67</v>
      </c>
      <c r="O77" t="s">
        <v>25</v>
      </c>
      <c r="P77" t="s">
        <v>60</v>
      </c>
      <c r="Q77" t="s">
        <v>37</v>
      </c>
      <c r="R77" t="s">
        <v>38</v>
      </c>
    </row>
    <row r="78" spans="1:18" x14ac:dyDescent="0.3">
      <c r="A78" t="s">
        <v>1202</v>
      </c>
      <c r="B78" s="13">
        <v>44021</v>
      </c>
      <c r="C78" t="s">
        <v>1203</v>
      </c>
      <c r="D78" t="s">
        <v>517</v>
      </c>
      <c r="E78" t="s">
        <v>365</v>
      </c>
      <c r="F78" t="s">
        <v>22</v>
      </c>
      <c r="G78" t="s">
        <v>49</v>
      </c>
      <c r="H78">
        <v>1</v>
      </c>
      <c r="I78">
        <v>565.14</v>
      </c>
      <c r="J78">
        <v>0.2</v>
      </c>
      <c r="K78">
        <v>22.61</v>
      </c>
      <c r="L78">
        <v>14.44</v>
      </c>
      <c r="M78">
        <v>489.16</v>
      </c>
      <c r="N78" t="s">
        <v>123</v>
      </c>
      <c r="O78" t="s">
        <v>25</v>
      </c>
      <c r="P78" t="s">
        <v>74</v>
      </c>
      <c r="Q78" t="s">
        <v>75</v>
      </c>
      <c r="R78" t="s">
        <v>61</v>
      </c>
    </row>
    <row r="79" spans="1:18" x14ac:dyDescent="0.3">
      <c r="A79" t="s">
        <v>1218</v>
      </c>
      <c r="B79" s="13">
        <v>43848</v>
      </c>
      <c r="C79" t="s">
        <v>1219</v>
      </c>
      <c r="D79" t="s">
        <v>317</v>
      </c>
      <c r="E79" t="s">
        <v>42</v>
      </c>
      <c r="F79" t="s">
        <v>22</v>
      </c>
      <c r="G79" t="s">
        <v>203</v>
      </c>
      <c r="H79">
        <v>1</v>
      </c>
      <c r="I79">
        <v>425.5</v>
      </c>
      <c r="J79">
        <v>0.05</v>
      </c>
      <c r="K79">
        <v>20.21</v>
      </c>
      <c r="L79">
        <v>9.18</v>
      </c>
      <c r="M79">
        <v>433.61</v>
      </c>
      <c r="N79" t="s">
        <v>58</v>
      </c>
      <c r="O79" t="s">
        <v>107</v>
      </c>
      <c r="P79" t="s">
        <v>36</v>
      </c>
      <c r="Q79" t="s">
        <v>37</v>
      </c>
      <c r="R79" t="s">
        <v>38</v>
      </c>
    </row>
    <row r="80" spans="1:18" x14ac:dyDescent="0.3">
      <c r="A80" t="s">
        <v>1232</v>
      </c>
      <c r="B80" s="13">
        <v>45646</v>
      </c>
      <c r="C80" t="s">
        <v>1233</v>
      </c>
      <c r="D80" t="s">
        <v>1025</v>
      </c>
      <c r="E80" t="s">
        <v>597</v>
      </c>
      <c r="F80" t="s">
        <v>22</v>
      </c>
      <c r="G80" t="s">
        <v>203</v>
      </c>
      <c r="H80">
        <v>3</v>
      </c>
      <c r="I80">
        <v>445.46</v>
      </c>
      <c r="J80">
        <v>0.1</v>
      </c>
      <c r="K80">
        <v>96.22</v>
      </c>
      <c r="L80">
        <v>12.49</v>
      </c>
      <c r="M80">
        <v>1311.45</v>
      </c>
      <c r="N80" t="s">
        <v>123</v>
      </c>
      <c r="O80" t="s">
        <v>25</v>
      </c>
      <c r="P80" t="s">
        <v>150</v>
      </c>
      <c r="Q80" t="s">
        <v>69</v>
      </c>
      <c r="R80" t="s">
        <v>28</v>
      </c>
    </row>
    <row r="81" spans="1:18" x14ac:dyDescent="0.3">
      <c r="A81" t="s">
        <v>1234</v>
      </c>
      <c r="B81" s="13">
        <v>44456</v>
      </c>
      <c r="C81" t="s">
        <v>1235</v>
      </c>
      <c r="D81" t="s">
        <v>711</v>
      </c>
      <c r="E81" t="s">
        <v>177</v>
      </c>
      <c r="F81" t="s">
        <v>22</v>
      </c>
      <c r="G81" t="s">
        <v>268</v>
      </c>
      <c r="H81">
        <v>2</v>
      </c>
      <c r="I81">
        <v>197.42</v>
      </c>
      <c r="J81">
        <v>0</v>
      </c>
      <c r="K81">
        <v>47.38</v>
      </c>
      <c r="L81">
        <v>5.37</v>
      </c>
      <c r="M81">
        <v>447.59</v>
      </c>
      <c r="N81" t="s">
        <v>67</v>
      </c>
      <c r="O81" t="s">
        <v>25</v>
      </c>
      <c r="P81" t="s">
        <v>60</v>
      </c>
      <c r="Q81" t="s">
        <v>37</v>
      </c>
      <c r="R81" t="s">
        <v>61</v>
      </c>
    </row>
    <row r="82" spans="1:18" x14ac:dyDescent="0.3">
      <c r="A82" t="s">
        <v>1275</v>
      </c>
      <c r="B82" s="13">
        <v>44751</v>
      </c>
      <c r="C82" t="s">
        <v>1276</v>
      </c>
      <c r="D82" t="s">
        <v>279</v>
      </c>
      <c r="E82" t="s">
        <v>177</v>
      </c>
      <c r="F82" t="s">
        <v>22</v>
      </c>
      <c r="G82" t="s">
        <v>23</v>
      </c>
      <c r="H82">
        <v>1</v>
      </c>
      <c r="I82">
        <v>521.70000000000005</v>
      </c>
      <c r="J82">
        <v>0.1</v>
      </c>
      <c r="K82">
        <v>0</v>
      </c>
      <c r="L82">
        <v>7.95</v>
      </c>
      <c r="M82">
        <v>477.48</v>
      </c>
      <c r="N82" t="s">
        <v>67</v>
      </c>
      <c r="O82" t="s">
        <v>25</v>
      </c>
      <c r="P82" t="s">
        <v>178</v>
      </c>
      <c r="Q82" t="s">
        <v>69</v>
      </c>
      <c r="R82" t="s">
        <v>28</v>
      </c>
    </row>
    <row r="83" spans="1:18" x14ac:dyDescent="0.3">
      <c r="A83" t="s">
        <v>1282</v>
      </c>
      <c r="B83" s="13">
        <v>45360</v>
      </c>
      <c r="C83" t="s">
        <v>1283</v>
      </c>
      <c r="D83" t="s">
        <v>93</v>
      </c>
      <c r="E83" t="s">
        <v>256</v>
      </c>
      <c r="F83" t="s">
        <v>22</v>
      </c>
      <c r="G83" t="s">
        <v>198</v>
      </c>
      <c r="H83">
        <v>2</v>
      </c>
      <c r="I83">
        <v>421.75</v>
      </c>
      <c r="J83">
        <v>0.05</v>
      </c>
      <c r="K83">
        <v>64.11</v>
      </c>
      <c r="L83">
        <v>12.2</v>
      </c>
      <c r="M83">
        <v>877.64</v>
      </c>
      <c r="N83" t="s">
        <v>123</v>
      </c>
      <c r="O83" t="s">
        <v>25</v>
      </c>
      <c r="P83" t="s">
        <v>178</v>
      </c>
      <c r="Q83" t="s">
        <v>69</v>
      </c>
      <c r="R83" t="s">
        <v>38</v>
      </c>
    </row>
    <row r="84" spans="1:18" x14ac:dyDescent="0.3">
      <c r="A84" t="s">
        <v>1284</v>
      </c>
      <c r="B84" s="13">
        <v>44733</v>
      </c>
      <c r="C84" t="s">
        <v>1285</v>
      </c>
      <c r="D84" t="s">
        <v>731</v>
      </c>
      <c r="E84" t="s">
        <v>597</v>
      </c>
      <c r="F84" t="s">
        <v>22</v>
      </c>
      <c r="G84" t="s">
        <v>90</v>
      </c>
      <c r="H84">
        <v>2</v>
      </c>
      <c r="I84">
        <v>167.15</v>
      </c>
      <c r="J84">
        <v>0</v>
      </c>
      <c r="K84">
        <v>26.74</v>
      </c>
      <c r="L84">
        <v>1.77</v>
      </c>
      <c r="M84">
        <v>362.81</v>
      </c>
      <c r="N84" t="s">
        <v>58</v>
      </c>
      <c r="O84" t="s">
        <v>25</v>
      </c>
      <c r="P84" t="s">
        <v>60</v>
      </c>
      <c r="Q84" t="s">
        <v>37</v>
      </c>
      <c r="R84" t="s">
        <v>183</v>
      </c>
    </row>
    <row r="85" spans="1:18" x14ac:dyDescent="0.3">
      <c r="A85" t="s">
        <v>1292</v>
      </c>
      <c r="B85" s="13">
        <v>44151</v>
      </c>
      <c r="C85" t="s">
        <v>1293</v>
      </c>
      <c r="D85" t="s">
        <v>327</v>
      </c>
      <c r="E85" t="s">
        <v>577</v>
      </c>
      <c r="F85" t="s">
        <v>22</v>
      </c>
      <c r="G85" t="s">
        <v>203</v>
      </c>
      <c r="H85">
        <v>3</v>
      </c>
      <c r="I85">
        <v>381.52</v>
      </c>
      <c r="J85">
        <v>0</v>
      </c>
      <c r="K85">
        <v>57.23</v>
      </c>
      <c r="L85">
        <v>4.1900000000000004</v>
      </c>
      <c r="M85">
        <v>1205.98</v>
      </c>
      <c r="N85" t="s">
        <v>58</v>
      </c>
      <c r="O85" t="s">
        <v>59</v>
      </c>
      <c r="P85" t="s">
        <v>173</v>
      </c>
      <c r="Q85" t="s">
        <v>174</v>
      </c>
      <c r="R85" t="s">
        <v>38</v>
      </c>
    </row>
    <row r="86" spans="1:18" x14ac:dyDescent="0.3">
      <c r="A86" t="s">
        <v>1296</v>
      </c>
      <c r="B86" s="13">
        <v>44342</v>
      </c>
      <c r="C86" t="s">
        <v>1297</v>
      </c>
      <c r="D86" t="s">
        <v>477</v>
      </c>
      <c r="E86" t="s">
        <v>48</v>
      </c>
      <c r="F86" t="s">
        <v>22</v>
      </c>
      <c r="G86" t="s">
        <v>268</v>
      </c>
      <c r="H86">
        <v>3</v>
      </c>
      <c r="I86">
        <v>5.3</v>
      </c>
      <c r="J86">
        <v>0.05</v>
      </c>
      <c r="K86">
        <v>0.76</v>
      </c>
      <c r="L86">
        <v>4.6100000000000003</v>
      </c>
      <c r="M86">
        <v>20.47</v>
      </c>
      <c r="N86" t="s">
        <v>24</v>
      </c>
      <c r="O86" t="s">
        <v>25</v>
      </c>
      <c r="P86" t="s">
        <v>74</v>
      </c>
      <c r="Q86" t="s">
        <v>75</v>
      </c>
      <c r="R86" t="s">
        <v>38</v>
      </c>
    </row>
    <row r="87" spans="1:18" x14ac:dyDescent="0.3">
      <c r="A87" t="s">
        <v>1306</v>
      </c>
      <c r="B87" s="13">
        <v>44997</v>
      </c>
      <c r="C87" t="s">
        <v>1307</v>
      </c>
      <c r="D87" t="s">
        <v>1189</v>
      </c>
      <c r="E87" t="s">
        <v>349</v>
      </c>
      <c r="F87" t="s">
        <v>22</v>
      </c>
      <c r="G87" t="s">
        <v>203</v>
      </c>
      <c r="H87">
        <v>4</v>
      </c>
      <c r="I87">
        <v>231.07</v>
      </c>
      <c r="J87">
        <v>0</v>
      </c>
      <c r="K87">
        <v>73.94</v>
      </c>
      <c r="L87">
        <v>4.72</v>
      </c>
      <c r="M87">
        <v>1002.94</v>
      </c>
      <c r="N87" t="s">
        <v>24</v>
      </c>
      <c r="O87" t="s">
        <v>25</v>
      </c>
      <c r="P87" t="s">
        <v>83</v>
      </c>
      <c r="Q87" t="s">
        <v>84</v>
      </c>
      <c r="R87" t="s">
        <v>38</v>
      </c>
    </row>
    <row r="88" spans="1:18" x14ac:dyDescent="0.3">
      <c r="A88" t="s">
        <v>1308</v>
      </c>
      <c r="B88" s="13">
        <v>44946</v>
      </c>
      <c r="C88" t="s">
        <v>1309</v>
      </c>
      <c r="D88" t="s">
        <v>921</v>
      </c>
      <c r="E88" t="s">
        <v>32</v>
      </c>
      <c r="F88" t="s">
        <v>22</v>
      </c>
      <c r="G88" t="s">
        <v>268</v>
      </c>
      <c r="H88">
        <v>3</v>
      </c>
      <c r="I88">
        <v>514.01</v>
      </c>
      <c r="J88">
        <v>0.05</v>
      </c>
      <c r="K88">
        <v>117.19</v>
      </c>
      <c r="L88">
        <v>5.0599999999999996</v>
      </c>
      <c r="M88">
        <v>1587.18</v>
      </c>
      <c r="N88" t="s">
        <v>123</v>
      </c>
      <c r="O88" t="s">
        <v>25</v>
      </c>
      <c r="P88" t="s">
        <v>51</v>
      </c>
      <c r="Q88" t="s">
        <v>52</v>
      </c>
      <c r="R88" t="s">
        <v>38</v>
      </c>
    </row>
    <row r="89" spans="1:18" x14ac:dyDescent="0.3">
      <c r="A89" t="s">
        <v>1353</v>
      </c>
      <c r="B89" s="13">
        <v>44908</v>
      </c>
      <c r="C89" t="s">
        <v>1354</v>
      </c>
      <c r="D89" t="s">
        <v>47</v>
      </c>
      <c r="E89" t="s">
        <v>267</v>
      </c>
      <c r="F89" t="s">
        <v>22</v>
      </c>
      <c r="G89" t="s">
        <v>90</v>
      </c>
      <c r="H89">
        <v>2</v>
      </c>
      <c r="I89">
        <v>232.39</v>
      </c>
      <c r="J89">
        <v>0.1</v>
      </c>
      <c r="K89">
        <v>75.290000000000006</v>
      </c>
      <c r="L89">
        <v>11.76</v>
      </c>
      <c r="M89">
        <v>505.35</v>
      </c>
      <c r="N89" t="s">
        <v>24</v>
      </c>
      <c r="O89" t="s">
        <v>25</v>
      </c>
      <c r="P89" t="s">
        <v>101</v>
      </c>
      <c r="Q89" t="s">
        <v>102</v>
      </c>
      <c r="R89" t="s">
        <v>28</v>
      </c>
    </row>
    <row r="90" spans="1:18" x14ac:dyDescent="0.3">
      <c r="A90" t="s">
        <v>1382</v>
      </c>
      <c r="B90" s="13">
        <v>44604</v>
      </c>
      <c r="C90" t="s">
        <v>1383</v>
      </c>
      <c r="D90" t="s">
        <v>141</v>
      </c>
      <c r="E90" t="s">
        <v>349</v>
      </c>
      <c r="F90" t="s">
        <v>22</v>
      </c>
      <c r="G90" t="s">
        <v>90</v>
      </c>
      <c r="H90">
        <v>5</v>
      </c>
      <c r="I90">
        <v>46.86</v>
      </c>
      <c r="J90">
        <v>0.05</v>
      </c>
      <c r="K90">
        <v>0</v>
      </c>
      <c r="L90">
        <v>13.63</v>
      </c>
      <c r="M90">
        <v>236.22</v>
      </c>
      <c r="N90" t="s">
        <v>24</v>
      </c>
      <c r="O90" t="s">
        <v>107</v>
      </c>
      <c r="P90" t="s">
        <v>60</v>
      </c>
      <c r="Q90" t="s">
        <v>37</v>
      </c>
      <c r="R90" t="s">
        <v>38</v>
      </c>
    </row>
    <row r="91" spans="1:18" x14ac:dyDescent="0.3">
      <c r="A91" t="s">
        <v>1390</v>
      </c>
      <c r="B91" s="13">
        <v>45204</v>
      </c>
      <c r="C91" t="s">
        <v>1391</v>
      </c>
      <c r="D91" t="s">
        <v>410</v>
      </c>
      <c r="E91" t="s">
        <v>80</v>
      </c>
      <c r="F91" t="s">
        <v>22</v>
      </c>
      <c r="G91" t="s">
        <v>23</v>
      </c>
      <c r="H91">
        <v>5</v>
      </c>
      <c r="I91">
        <v>397.96</v>
      </c>
      <c r="J91">
        <v>0</v>
      </c>
      <c r="K91">
        <v>159.18</v>
      </c>
      <c r="L91">
        <v>6.39</v>
      </c>
      <c r="M91">
        <v>2155.37</v>
      </c>
      <c r="N91" t="s">
        <v>58</v>
      </c>
      <c r="O91" t="s">
        <v>25</v>
      </c>
      <c r="P91" t="s">
        <v>112</v>
      </c>
      <c r="Q91" t="s">
        <v>113</v>
      </c>
      <c r="R91" t="s">
        <v>38</v>
      </c>
    </row>
    <row r="92" spans="1:18" x14ac:dyDescent="0.3">
      <c r="A92" t="s">
        <v>1414</v>
      </c>
      <c r="B92" s="13">
        <v>45513</v>
      </c>
      <c r="C92" t="s">
        <v>1415</v>
      </c>
      <c r="D92" t="s">
        <v>131</v>
      </c>
      <c r="E92" t="s">
        <v>220</v>
      </c>
      <c r="F92" t="s">
        <v>22</v>
      </c>
      <c r="G92" t="s">
        <v>100</v>
      </c>
      <c r="H92">
        <v>5</v>
      </c>
      <c r="I92">
        <v>291.5</v>
      </c>
      <c r="J92">
        <v>0.05</v>
      </c>
      <c r="K92">
        <v>166.16</v>
      </c>
      <c r="L92">
        <v>5.25</v>
      </c>
      <c r="M92">
        <v>1556.04</v>
      </c>
      <c r="N92" t="s">
        <v>58</v>
      </c>
      <c r="O92" t="s">
        <v>25</v>
      </c>
      <c r="P92" t="s">
        <v>101</v>
      </c>
      <c r="Q92" t="s">
        <v>102</v>
      </c>
      <c r="R92" t="s">
        <v>38</v>
      </c>
    </row>
    <row r="93" spans="1:18" x14ac:dyDescent="0.3">
      <c r="A93" t="s">
        <v>1420</v>
      </c>
      <c r="B93" s="13">
        <v>44661</v>
      </c>
      <c r="C93" t="s">
        <v>1421</v>
      </c>
      <c r="D93" t="s">
        <v>563</v>
      </c>
      <c r="E93" t="s">
        <v>437</v>
      </c>
      <c r="F93" t="s">
        <v>22</v>
      </c>
      <c r="G93" t="s">
        <v>198</v>
      </c>
      <c r="H93">
        <v>3</v>
      </c>
      <c r="I93">
        <v>344.01</v>
      </c>
      <c r="J93">
        <v>0.05</v>
      </c>
      <c r="K93">
        <v>78.430000000000007</v>
      </c>
      <c r="L93">
        <v>13.55</v>
      </c>
      <c r="M93">
        <v>1072.4100000000001</v>
      </c>
      <c r="N93" t="s">
        <v>35</v>
      </c>
      <c r="O93" t="s">
        <v>25</v>
      </c>
      <c r="P93" t="s">
        <v>178</v>
      </c>
      <c r="Q93" t="s">
        <v>69</v>
      </c>
      <c r="R93" t="s">
        <v>38</v>
      </c>
    </row>
    <row r="94" spans="1:18" x14ac:dyDescent="0.3">
      <c r="A94" t="s">
        <v>1422</v>
      </c>
      <c r="B94" s="13">
        <v>45641</v>
      </c>
      <c r="C94" t="s">
        <v>1423</v>
      </c>
      <c r="D94" t="s">
        <v>327</v>
      </c>
      <c r="E94" t="s">
        <v>324</v>
      </c>
      <c r="F94" t="s">
        <v>22</v>
      </c>
      <c r="G94" t="s">
        <v>198</v>
      </c>
      <c r="H94">
        <v>1</v>
      </c>
      <c r="I94">
        <v>278.83999999999997</v>
      </c>
      <c r="J94">
        <v>0.05</v>
      </c>
      <c r="K94">
        <v>13.24</v>
      </c>
      <c r="L94">
        <v>3.53</v>
      </c>
      <c r="M94">
        <v>281.67</v>
      </c>
      <c r="N94" t="s">
        <v>24</v>
      </c>
      <c r="O94" t="s">
        <v>25</v>
      </c>
      <c r="P94" t="s">
        <v>26</v>
      </c>
      <c r="Q94" t="s">
        <v>27</v>
      </c>
      <c r="R94" t="s">
        <v>38</v>
      </c>
    </row>
    <row r="95" spans="1:18" x14ac:dyDescent="0.3">
      <c r="A95" t="s">
        <v>1424</v>
      </c>
      <c r="B95" s="13">
        <v>45458</v>
      </c>
      <c r="C95" t="s">
        <v>1425</v>
      </c>
      <c r="D95" t="s">
        <v>525</v>
      </c>
      <c r="E95" t="s">
        <v>142</v>
      </c>
      <c r="F95" t="s">
        <v>22</v>
      </c>
      <c r="G95" t="s">
        <v>57</v>
      </c>
      <c r="H95">
        <v>2</v>
      </c>
      <c r="I95">
        <v>331.31</v>
      </c>
      <c r="J95">
        <v>0.15</v>
      </c>
      <c r="K95">
        <v>45.06</v>
      </c>
      <c r="L95">
        <v>13.05</v>
      </c>
      <c r="M95">
        <v>621.34</v>
      </c>
      <c r="N95" t="s">
        <v>24</v>
      </c>
      <c r="O95" t="s">
        <v>107</v>
      </c>
      <c r="P95" t="s">
        <v>145</v>
      </c>
      <c r="Q95" t="s">
        <v>146</v>
      </c>
      <c r="R95" t="s">
        <v>38</v>
      </c>
    </row>
    <row r="96" spans="1:18" x14ac:dyDescent="0.3">
      <c r="A96" t="s">
        <v>1450</v>
      </c>
      <c r="B96" s="13">
        <v>44343</v>
      </c>
      <c r="C96" t="s">
        <v>1451</v>
      </c>
      <c r="D96" t="s">
        <v>1377</v>
      </c>
      <c r="E96" t="s">
        <v>32</v>
      </c>
      <c r="F96" t="s">
        <v>22</v>
      </c>
      <c r="G96" t="s">
        <v>203</v>
      </c>
      <c r="H96">
        <v>4</v>
      </c>
      <c r="I96">
        <v>8.39</v>
      </c>
      <c r="J96">
        <v>0</v>
      </c>
      <c r="K96">
        <v>2.68</v>
      </c>
      <c r="L96">
        <v>4.5999999999999996</v>
      </c>
      <c r="M96">
        <v>40.840000000000003</v>
      </c>
      <c r="N96" t="s">
        <v>67</v>
      </c>
      <c r="O96" t="s">
        <v>25</v>
      </c>
      <c r="P96" t="s">
        <v>101</v>
      </c>
      <c r="Q96" t="s">
        <v>102</v>
      </c>
      <c r="R96" t="s">
        <v>28</v>
      </c>
    </row>
    <row r="97" spans="1:18" x14ac:dyDescent="0.3">
      <c r="A97" t="s">
        <v>1452</v>
      </c>
      <c r="B97" s="13">
        <v>45605</v>
      </c>
      <c r="C97" t="s">
        <v>1453</v>
      </c>
      <c r="D97" t="s">
        <v>613</v>
      </c>
      <c r="E97" t="s">
        <v>164</v>
      </c>
      <c r="F97" t="s">
        <v>22</v>
      </c>
      <c r="G97" t="s">
        <v>23</v>
      </c>
      <c r="H97">
        <v>3</v>
      </c>
      <c r="I97">
        <v>596.75</v>
      </c>
      <c r="J97">
        <v>0.05</v>
      </c>
      <c r="K97">
        <v>0</v>
      </c>
      <c r="L97">
        <v>11.38</v>
      </c>
      <c r="M97">
        <v>1712.12</v>
      </c>
      <c r="N97" t="s">
        <v>24</v>
      </c>
      <c r="O97" t="s">
        <v>25</v>
      </c>
      <c r="P97" t="s">
        <v>95</v>
      </c>
      <c r="Q97" t="s">
        <v>37</v>
      </c>
      <c r="R97" t="s">
        <v>28</v>
      </c>
    </row>
    <row r="98" spans="1:18" x14ac:dyDescent="0.3">
      <c r="A98" t="s">
        <v>1475</v>
      </c>
      <c r="B98" s="13">
        <v>44534</v>
      </c>
      <c r="C98" t="s">
        <v>1476</v>
      </c>
      <c r="D98" t="s">
        <v>276</v>
      </c>
      <c r="E98" t="s">
        <v>160</v>
      </c>
      <c r="F98" t="s">
        <v>22</v>
      </c>
      <c r="G98" t="s">
        <v>66</v>
      </c>
      <c r="H98">
        <v>2</v>
      </c>
      <c r="I98">
        <v>417.98</v>
      </c>
      <c r="J98">
        <v>0.05</v>
      </c>
      <c r="K98">
        <v>95.3</v>
      </c>
      <c r="L98">
        <v>8.52</v>
      </c>
      <c r="M98">
        <v>897.98</v>
      </c>
      <c r="N98" t="s">
        <v>24</v>
      </c>
      <c r="O98" t="s">
        <v>25</v>
      </c>
      <c r="P98" t="s">
        <v>145</v>
      </c>
      <c r="Q98" t="s">
        <v>146</v>
      </c>
      <c r="R98" t="s">
        <v>28</v>
      </c>
    </row>
    <row r="99" spans="1:18" x14ac:dyDescent="0.3">
      <c r="A99" t="s">
        <v>1491</v>
      </c>
      <c r="B99" s="13">
        <v>45510</v>
      </c>
      <c r="C99" t="s">
        <v>1492</v>
      </c>
      <c r="D99" t="s">
        <v>696</v>
      </c>
      <c r="E99" t="s">
        <v>577</v>
      </c>
      <c r="F99" t="s">
        <v>22</v>
      </c>
      <c r="G99" t="s">
        <v>198</v>
      </c>
      <c r="H99">
        <v>2</v>
      </c>
      <c r="I99">
        <v>181.28</v>
      </c>
      <c r="J99">
        <v>0</v>
      </c>
      <c r="K99">
        <v>18.13</v>
      </c>
      <c r="L99">
        <v>13.41</v>
      </c>
      <c r="M99">
        <v>394.1</v>
      </c>
      <c r="N99" t="s">
        <v>123</v>
      </c>
      <c r="O99" t="s">
        <v>144</v>
      </c>
      <c r="P99" t="s">
        <v>124</v>
      </c>
      <c r="Q99" t="s">
        <v>125</v>
      </c>
      <c r="R99" t="s">
        <v>38</v>
      </c>
    </row>
    <row r="100" spans="1:18" x14ac:dyDescent="0.3">
      <c r="A100" t="s">
        <v>1504</v>
      </c>
      <c r="B100" s="13">
        <v>45074</v>
      </c>
      <c r="C100" t="s">
        <v>1505</v>
      </c>
      <c r="D100" t="s">
        <v>266</v>
      </c>
      <c r="E100" t="s">
        <v>169</v>
      </c>
      <c r="F100" t="s">
        <v>22</v>
      </c>
      <c r="G100" t="s">
        <v>66</v>
      </c>
      <c r="H100">
        <v>4</v>
      </c>
      <c r="I100">
        <v>316.54000000000002</v>
      </c>
      <c r="J100">
        <v>0.25</v>
      </c>
      <c r="K100">
        <v>47.48</v>
      </c>
      <c r="L100">
        <v>10.84</v>
      </c>
      <c r="M100">
        <v>1007.94</v>
      </c>
      <c r="N100" t="s">
        <v>58</v>
      </c>
      <c r="O100" t="s">
        <v>25</v>
      </c>
      <c r="P100" t="s">
        <v>117</v>
      </c>
      <c r="Q100" t="s">
        <v>118</v>
      </c>
      <c r="R100" t="s">
        <v>28</v>
      </c>
    </row>
    <row r="101" spans="1:18" x14ac:dyDescent="0.3">
      <c r="A101" t="s">
        <v>1526</v>
      </c>
      <c r="B101" s="13">
        <v>44048</v>
      </c>
      <c r="C101" t="s">
        <v>1527</v>
      </c>
      <c r="D101" t="s">
        <v>569</v>
      </c>
      <c r="E101" t="s">
        <v>142</v>
      </c>
      <c r="F101" t="s">
        <v>22</v>
      </c>
      <c r="G101" t="s">
        <v>66</v>
      </c>
      <c r="H101">
        <v>2</v>
      </c>
      <c r="I101">
        <v>147.61000000000001</v>
      </c>
      <c r="J101">
        <v>0.1</v>
      </c>
      <c r="K101">
        <v>21.26</v>
      </c>
      <c r="L101">
        <v>10.4</v>
      </c>
      <c r="M101">
        <v>297.36</v>
      </c>
      <c r="N101" t="s">
        <v>24</v>
      </c>
      <c r="O101" t="s">
        <v>82</v>
      </c>
      <c r="P101" t="s">
        <v>133</v>
      </c>
      <c r="Q101" t="s">
        <v>134</v>
      </c>
      <c r="R101" t="s">
        <v>38</v>
      </c>
    </row>
    <row r="102" spans="1:18" x14ac:dyDescent="0.3">
      <c r="A102" t="s">
        <v>1556</v>
      </c>
      <c r="B102" s="13">
        <v>44954</v>
      </c>
      <c r="C102" t="s">
        <v>1557</v>
      </c>
      <c r="D102" t="s">
        <v>648</v>
      </c>
      <c r="E102" t="s">
        <v>80</v>
      </c>
      <c r="F102" t="s">
        <v>22</v>
      </c>
      <c r="G102" t="s">
        <v>66</v>
      </c>
      <c r="H102">
        <v>3</v>
      </c>
      <c r="I102">
        <v>563.21</v>
      </c>
      <c r="J102">
        <v>0.05</v>
      </c>
      <c r="K102">
        <v>192.62</v>
      </c>
      <c r="L102">
        <v>14.53</v>
      </c>
      <c r="M102">
        <v>1812.3</v>
      </c>
      <c r="N102" t="s">
        <v>24</v>
      </c>
      <c r="O102" t="s">
        <v>59</v>
      </c>
      <c r="P102" t="s">
        <v>83</v>
      </c>
      <c r="Q102" t="s">
        <v>84</v>
      </c>
      <c r="R102" t="s">
        <v>38</v>
      </c>
    </row>
    <row r="103" spans="1:18" x14ac:dyDescent="0.3">
      <c r="A103" t="s">
        <v>1564</v>
      </c>
      <c r="B103" s="13">
        <v>44592</v>
      </c>
      <c r="C103" t="s">
        <v>1565</v>
      </c>
      <c r="D103" t="s">
        <v>242</v>
      </c>
      <c r="E103" t="s">
        <v>271</v>
      </c>
      <c r="F103" t="s">
        <v>22</v>
      </c>
      <c r="G103" t="s">
        <v>100</v>
      </c>
      <c r="H103">
        <v>2</v>
      </c>
      <c r="I103">
        <v>548.88</v>
      </c>
      <c r="J103">
        <v>0</v>
      </c>
      <c r="K103">
        <v>54.89</v>
      </c>
      <c r="L103">
        <v>2.15</v>
      </c>
      <c r="M103">
        <v>1154.8</v>
      </c>
      <c r="N103" t="s">
        <v>35</v>
      </c>
      <c r="O103" t="s">
        <v>25</v>
      </c>
      <c r="P103" t="s">
        <v>257</v>
      </c>
      <c r="Q103" t="s">
        <v>69</v>
      </c>
      <c r="R103" t="s">
        <v>38</v>
      </c>
    </row>
    <row r="104" spans="1:18" x14ac:dyDescent="0.3">
      <c r="A104" t="s">
        <v>1566</v>
      </c>
      <c r="B104" s="13">
        <v>45513</v>
      </c>
      <c r="C104" t="s">
        <v>1567</v>
      </c>
      <c r="D104" t="s">
        <v>788</v>
      </c>
      <c r="E104" t="s">
        <v>111</v>
      </c>
      <c r="F104" t="s">
        <v>22</v>
      </c>
      <c r="G104" t="s">
        <v>100</v>
      </c>
      <c r="H104">
        <v>5</v>
      </c>
      <c r="I104">
        <v>16.8</v>
      </c>
      <c r="J104">
        <v>0</v>
      </c>
      <c r="K104">
        <v>4.2</v>
      </c>
      <c r="L104">
        <v>2.83</v>
      </c>
      <c r="M104">
        <v>91.03</v>
      </c>
      <c r="N104" t="s">
        <v>35</v>
      </c>
      <c r="O104" t="s">
        <v>25</v>
      </c>
      <c r="P104" t="s">
        <v>74</v>
      </c>
      <c r="Q104" t="s">
        <v>75</v>
      </c>
      <c r="R104" t="s">
        <v>38</v>
      </c>
    </row>
    <row r="105" spans="1:18" x14ac:dyDescent="0.3">
      <c r="A105" t="s">
        <v>1574</v>
      </c>
      <c r="B105" s="13">
        <v>44846</v>
      </c>
      <c r="C105" t="s">
        <v>1575</v>
      </c>
      <c r="D105" t="s">
        <v>219</v>
      </c>
      <c r="E105" t="s">
        <v>94</v>
      </c>
      <c r="F105" t="s">
        <v>22</v>
      </c>
      <c r="G105" t="s">
        <v>100</v>
      </c>
      <c r="H105">
        <v>3</v>
      </c>
      <c r="I105">
        <v>86.49</v>
      </c>
      <c r="J105">
        <v>0.15</v>
      </c>
      <c r="K105">
        <v>11.03</v>
      </c>
      <c r="L105">
        <v>13.31</v>
      </c>
      <c r="M105">
        <v>244.89</v>
      </c>
      <c r="N105" t="s">
        <v>58</v>
      </c>
      <c r="O105" t="s">
        <v>107</v>
      </c>
      <c r="P105" t="s">
        <v>112</v>
      </c>
      <c r="Q105" t="s">
        <v>113</v>
      </c>
      <c r="R105" t="s">
        <v>38</v>
      </c>
    </row>
    <row r="106" spans="1:18" x14ac:dyDescent="0.3">
      <c r="A106" t="s">
        <v>1606</v>
      </c>
      <c r="B106" s="13">
        <v>45529</v>
      </c>
      <c r="C106" t="s">
        <v>1607</v>
      </c>
      <c r="D106" t="s">
        <v>569</v>
      </c>
      <c r="E106" t="s">
        <v>349</v>
      </c>
      <c r="F106" t="s">
        <v>22</v>
      </c>
      <c r="G106" t="s">
        <v>57</v>
      </c>
      <c r="H106">
        <v>1</v>
      </c>
      <c r="I106">
        <v>422.22</v>
      </c>
      <c r="J106">
        <v>0.1</v>
      </c>
      <c r="K106">
        <v>45.6</v>
      </c>
      <c r="L106">
        <v>9.3800000000000008</v>
      </c>
      <c r="M106">
        <v>434.98</v>
      </c>
      <c r="N106" t="s">
        <v>35</v>
      </c>
      <c r="O106" t="s">
        <v>25</v>
      </c>
      <c r="P106" t="s">
        <v>173</v>
      </c>
      <c r="Q106" t="s">
        <v>174</v>
      </c>
      <c r="R106" t="s">
        <v>38</v>
      </c>
    </row>
    <row r="107" spans="1:18" x14ac:dyDescent="0.3">
      <c r="A107" t="s">
        <v>1608</v>
      </c>
      <c r="B107" s="13">
        <v>44210</v>
      </c>
      <c r="C107" t="s">
        <v>1609</v>
      </c>
      <c r="D107" t="s">
        <v>477</v>
      </c>
      <c r="E107" t="s">
        <v>132</v>
      </c>
      <c r="F107" t="s">
        <v>22</v>
      </c>
      <c r="G107" t="s">
        <v>34</v>
      </c>
      <c r="H107">
        <v>5</v>
      </c>
      <c r="I107">
        <v>243.42</v>
      </c>
      <c r="J107">
        <v>0.1</v>
      </c>
      <c r="K107">
        <v>131.44999999999999</v>
      </c>
      <c r="L107">
        <v>3.54</v>
      </c>
      <c r="M107">
        <v>1230.3800000000001</v>
      </c>
      <c r="N107" t="s">
        <v>123</v>
      </c>
      <c r="O107" t="s">
        <v>25</v>
      </c>
      <c r="P107" t="s">
        <v>60</v>
      </c>
      <c r="Q107" t="s">
        <v>37</v>
      </c>
      <c r="R107" t="s">
        <v>38</v>
      </c>
    </row>
    <row r="108" spans="1:18" x14ac:dyDescent="0.3">
      <c r="A108" t="s">
        <v>1610</v>
      </c>
      <c r="B108" s="13">
        <v>45399</v>
      </c>
      <c r="C108" t="s">
        <v>1611</v>
      </c>
      <c r="D108" t="s">
        <v>655</v>
      </c>
      <c r="E108" t="s">
        <v>190</v>
      </c>
      <c r="F108" t="s">
        <v>22</v>
      </c>
      <c r="G108" t="s">
        <v>90</v>
      </c>
      <c r="H108">
        <v>1</v>
      </c>
      <c r="I108">
        <v>445.19</v>
      </c>
      <c r="J108">
        <v>0.15</v>
      </c>
      <c r="K108">
        <v>45.41</v>
      </c>
      <c r="L108">
        <v>13.76</v>
      </c>
      <c r="M108">
        <v>437.58</v>
      </c>
      <c r="N108" t="s">
        <v>58</v>
      </c>
      <c r="O108" t="s">
        <v>25</v>
      </c>
      <c r="P108" t="s">
        <v>173</v>
      </c>
      <c r="Q108" t="s">
        <v>174</v>
      </c>
      <c r="R108" t="s">
        <v>76</v>
      </c>
    </row>
    <row r="109" spans="1:18" x14ac:dyDescent="0.3">
      <c r="A109" t="s">
        <v>1630</v>
      </c>
      <c r="B109" s="13">
        <v>45410</v>
      </c>
      <c r="C109" t="s">
        <v>1631</v>
      </c>
      <c r="D109" t="s">
        <v>1632</v>
      </c>
      <c r="E109" t="s">
        <v>42</v>
      </c>
      <c r="F109" t="s">
        <v>22</v>
      </c>
      <c r="G109" t="s">
        <v>34</v>
      </c>
      <c r="H109">
        <v>3</v>
      </c>
      <c r="I109">
        <v>362.92</v>
      </c>
      <c r="J109">
        <v>0.05</v>
      </c>
      <c r="K109">
        <v>82.75</v>
      </c>
      <c r="L109">
        <v>11.7</v>
      </c>
      <c r="M109">
        <v>1128.77</v>
      </c>
      <c r="N109" t="s">
        <v>50</v>
      </c>
      <c r="O109" t="s">
        <v>25</v>
      </c>
      <c r="P109" t="s">
        <v>150</v>
      </c>
      <c r="Q109" t="s">
        <v>69</v>
      </c>
      <c r="R109" t="s">
        <v>28</v>
      </c>
    </row>
    <row r="110" spans="1:18" x14ac:dyDescent="0.3">
      <c r="A110" t="s">
        <v>1637</v>
      </c>
      <c r="B110" s="13">
        <v>43842</v>
      </c>
      <c r="C110" t="s">
        <v>1638</v>
      </c>
      <c r="D110" t="s">
        <v>596</v>
      </c>
      <c r="E110" t="s">
        <v>216</v>
      </c>
      <c r="F110" t="s">
        <v>22</v>
      </c>
      <c r="G110" t="s">
        <v>268</v>
      </c>
      <c r="H110">
        <v>2</v>
      </c>
      <c r="I110">
        <v>109.98</v>
      </c>
      <c r="J110">
        <v>0</v>
      </c>
      <c r="K110">
        <v>17.600000000000001</v>
      </c>
      <c r="L110">
        <v>3.26</v>
      </c>
      <c r="M110">
        <v>240.82</v>
      </c>
      <c r="N110" t="s">
        <v>58</v>
      </c>
      <c r="O110" t="s">
        <v>25</v>
      </c>
      <c r="P110" t="s">
        <v>36</v>
      </c>
      <c r="Q110" t="s">
        <v>37</v>
      </c>
      <c r="R110" t="s">
        <v>38</v>
      </c>
    </row>
    <row r="111" spans="1:18" x14ac:dyDescent="0.3">
      <c r="A111" t="s">
        <v>1645</v>
      </c>
      <c r="B111" s="13">
        <v>44329</v>
      </c>
      <c r="C111" t="s">
        <v>1646</v>
      </c>
      <c r="D111" t="s">
        <v>574</v>
      </c>
      <c r="E111" t="s">
        <v>287</v>
      </c>
      <c r="F111" t="s">
        <v>22</v>
      </c>
      <c r="G111" t="s">
        <v>49</v>
      </c>
      <c r="H111">
        <v>1</v>
      </c>
      <c r="I111">
        <v>496</v>
      </c>
      <c r="J111">
        <v>0</v>
      </c>
      <c r="K111">
        <v>24.8</v>
      </c>
      <c r="L111">
        <v>5.95</v>
      </c>
      <c r="M111">
        <v>526.75</v>
      </c>
      <c r="N111" t="s">
        <v>58</v>
      </c>
      <c r="O111" t="s">
        <v>107</v>
      </c>
      <c r="P111" t="s">
        <v>74</v>
      </c>
      <c r="Q111" t="s">
        <v>75</v>
      </c>
      <c r="R111" t="s">
        <v>76</v>
      </c>
    </row>
    <row r="112" spans="1:18" x14ac:dyDescent="0.3">
      <c r="A112" t="s">
        <v>1649</v>
      </c>
      <c r="B112" s="13">
        <v>43865</v>
      </c>
      <c r="C112" t="s">
        <v>1650</v>
      </c>
      <c r="D112" t="s">
        <v>1020</v>
      </c>
      <c r="E112" t="s">
        <v>106</v>
      </c>
      <c r="F112" t="s">
        <v>22</v>
      </c>
      <c r="G112" t="s">
        <v>49</v>
      </c>
      <c r="H112">
        <v>3</v>
      </c>
      <c r="I112">
        <v>298.35000000000002</v>
      </c>
      <c r="J112">
        <v>0</v>
      </c>
      <c r="K112">
        <v>161.11000000000001</v>
      </c>
      <c r="L112">
        <v>14.15</v>
      </c>
      <c r="M112">
        <v>1070.31</v>
      </c>
      <c r="N112" t="s">
        <v>67</v>
      </c>
      <c r="O112" t="s">
        <v>107</v>
      </c>
      <c r="P112" t="s">
        <v>36</v>
      </c>
      <c r="Q112" t="s">
        <v>37</v>
      </c>
      <c r="R112" t="s">
        <v>61</v>
      </c>
    </row>
    <row r="113" spans="1:18" x14ac:dyDescent="0.3">
      <c r="A113" t="s">
        <v>1653</v>
      </c>
      <c r="B113" s="13">
        <v>44679</v>
      </c>
      <c r="C113" t="s">
        <v>1617</v>
      </c>
      <c r="D113" t="s">
        <v>219</v>
      </c>
      <c r="E113" t="s">
        <v>691</v>
      </c>
      <c r="F113" t="s">
        <v>22</v>
      </c>
      <c r="G113" t="s">
        <v>57</v>
      </c>
      <c r="H113">
        <v>4</v>
      </c>
      <c r="I113">
        <v>579.05999999999995</v>
      </c>
      <c r="J113">
        <v>0.2</v>
      </c>
      <c r="K113">
        <v>333.54</v>
      </c>
      <c r="L113">
        <v>11.53</v>
      </c>
      <c r="M113">
        <v>2198.06</v>
      </c>
      <c r="N113" t="s">
        <v>35</v>
      </c>
      <c r="O113" t="s">
        <v>25</v>
      </c>
      <c r="P113" t="s">
        <v>133</v>
      </c>
      <c r="Q113" t="s">
        <v>134</v>
      </c>
      <c r="R113" t="s">
        <v>38</v>
      </c>
    </row>
    <row r="114" spans="1:18" x14ac:dyDescent="0.3">
      <c r="A114" t="s">
        <v>1660</v>
      </c>
      <c r="B114" s="13">
        <v>44800</v>
      </c>
      <c r="C114" t="s">
        <v>1661</v>
      </c>
      <c r="D114" t="s">
        <v>971</v>
      </c>
      <c r="E114" t="s">
        <v>21</v>
      </c>
      <c r="F114" t="s">
        <v>22</v>
      </c>
      <c r="G114" t="s">
        <v>23</v>
      </c>
      <c r="H114">
        <v>5</v>
      </c>
      <c r="I114">
        <v>62.49</v>
      </c>
      <c r="J114">
        <v>0</v>
      </c>
      <c r="K114">
        <v>25</v>
      </c>
      <c r="L114">
        <v>8.91</v>
      </c>
      <c r="M114">
        <v>346.36</v>
      </c>
      <c r="N114" t="s">
        <v>24</v>
      </c>
      <c r="O114" t="s">
        <v>25</v>
      </c>
      <c r="P114" t="s">
        <v>74</v>
      </c>
      <c r="Q114" t="s">
        <v>75</v>
      </c>
      <c r="R114" t="s">
        <v>183</v>
      </c>
    </row>
    <row r="115" spans="1:18" x14ac:dyDescent="0.3">
      <c r="A115" t="s">
        <v>1674</v>
      </c>
      <c r="B115" s="13">
        <v>44656</v>
      </c>
      <c r="C115" t="s">
        <v>1675</v>
      </c>
      <c r="D115" t="s">
        <v>731</v>
      </c>
      <c r="E115" t="s">
        <v>300</v>
      </c>
      <c r="F115" t="s">
        <v>22</v>
      </c>
      <c r="G115" t="s">
        <v>203</v>
      </c>
      <c r="H115">
        <v>1</v>
      </c>
      <c r="I115">
        <v>54.04</v>
      </c>
      <c r="J115">
        <v>0</v>
      </c>
      <c r="K115">
        <v>9.73</v>
      </c>
      <c r="L115">
        <v>14.54</v>
      </c>
      <c r="M115">
        <v>78.31</v>
      </c>
      <c r="N115" t="s">
        <v>24</v>
      </c>
      <c r="O115" t="s">
        <v>82</v>
      </c>
      <c r="P115" t="s">
        <v>95</v>
      </c>
      <c r="Q115" t="s">
        <v>37</v>
      </c>
      <c r="R115" t="s">
        <v>38</v>
      </c>
    </row>
    <row r="116" spans="1:18" x14ac:dyDescent="0.3">
      <c r="A116" t="s">
        <v>1680</v>
      </c>
      <c r="B116" s="13">
        <v>45347</v>
      </c>
      <c r="C116" t="s">
        <v>1681</v>
      </c>
      <c r="D116" t="s">
        <v>397</v>
      </c>
      <c r="E116" t="s">
        <v>169</v>
      </c>
      <c r="F116" t="s">
        <v>22</v>
      </c>
      <c r="G116" t="s">
        <v>49</v>
      </c>
      <c r="H116">
        <v>4</v>
      </c>
      <c r="I116">
        <v>179.29</v>
      </c>
      <c r="J116">
        <v>0.1</v>
      </c>
      <c r="K116">
        <v>32.270000000000003</v>
      </c>
      <c r="L116">
        <v>0.96</v>
      </c>
      <c r="M116">
        <v>678.67</v>
      </c>
      <c r="N116" t="s">
        <v>67</v>
      </c>
      <c r="O116" t="s">
        <v>25</v>
      </c>
      <c r="P116" t="s">
        <v>44</v>
      </c>
      <c r="Q116" t="s">
        <v>37</v>
      </c>
      <c r="R116" t="s">
        <v>38</v>
      </c>
    </row>
    <row r="117" spans="1:18" x14ac:dyDescent="0.3">
      <c r="A117" t="s">
        <v>1713</v>
      </c>
      <c r="B117" s="13">
        <v>45402</v>
      </c>
      <c r="C117" t="s">
        <v>1714</v>
      </c>
      <c r="D117" t="s">
        <v>1087</v>
      </c>
      <c r="E117" t="s">
        <v>142</v>
      </c>
      <c r="F117" t="s">
        <v>22</v>
      </c>
      <c r="G117" t="s">
        <v>100</v>
      </c>
      <c r="H117">
        <v>2</v>
      </c>
      <c r="I117">
        <v>238.74</v>
      </c>
      <c r="J117">
        <v>0.3</v>
      </c>
      <c r="K117">
        <v>16.71</v>
      </c>
      <c r="L117">
        <v>2.2400000000000002</v>
      </c>
      <c r="M117">
        <v>353.19</v>
      </c>
      <c r="N117" t="s">
        <v>123</v>
      </c>
      <c r="O117" t="s">
        <v>25</v>
      </c>
      <c r="P117" t="s">
        <v>101</v>
      </c>
      <c r="Q117" t="s">
        <v>102</v>
      </c>
      <c r="R117" t="s">
        <v>38</v>
      </c>
    </row>
    <row r="118" spans="1:18" x14ac:dyDescent="0.3">
      <c r="A118" t="s">
        <v>1721</v>
      </c>
      <c r="B118" s="13">
        <v>45518</v>
      </c>
      <c r="C118" t="s">
        <v>1722</v>
      </c>
      <c r="D118" t="s">
        <v>1593</v>
      </c>
      <c r="E118" t="s">
        <v>597</v>
      </c>
      <c r="F118" t="s">
        <v>22</v>
      </c>
      <c r="G118" t="s">
        <v>203</v>
      </c>
      <c r="H118">
        <v>2</v>
      </c>
      <c r="I118">
        <v>491.81</v>
      </c>
      <c r="J118">
        <v>0</v>
      </c>
      <c r="K118">
        <v>118.03</v>
      </c>
      <c r="L118">
        <v>12.07</v>
      </c>
      <c r="M118">
        <v>1113.72</v>
      </c>
      <c r="N118" t="s">
        <v>58</v>
      </c>
      <c r="O118" t="s">
        <v>25</v>
      </c>
      <c r="P118" t="s">
        <v>101</v>
      </c>
      <c r="Q118" t="s">
        <v>102</v>
      </c>
      <c r="R118" t="s">
        <v>61</v>
      </c>
    </row>
    <row r="119" spans="1:18" x14ac:dyDescent="0.3">
      <c r="A119" t="s">
        <v>1737</v>
      </c>
      <c r="B119" s="13">
        <v>45379</v>
      </c>
      <c r="C119" t="s">
        <v>1738</v>
      </c>
      <c r="D119" t="s">
        <v>582</v>
      </c>
      <c r="E119" t="s">
        <v>73</v>
      </c>
      <c r="F119" t="s">
        <v>22</v>
      </c>
      <c r="G119" t="s">
        <v>203</v>
      </c>
      <c r="H119">
        <v>5</v>
      </c>
      <c r="I119">
        <v>220.11</v>
      </c>
      <c r="J119">
        <v>0.05</v>
      </c>
      <c r="K119">
        <v>83.64</v>
      </c>
      <c r="L119">
        <v>6.93</v>
      </c>
      <c r="M119">
        <v>1136.0899999999999</v>
      </c>
      <c r="N119" t="s">
        <v>35</v>
      </c>
      <c r="O119" t="s">
        <v>25</v>
      </c>
      <c r="P119" t="s">
        <v>44</v>
      </c>
      <c r="Q119" t="s">
        <v>37</v>
      </c>
      <c r="R119" t="s">
        <v>38</v>
      </c>
    </row>
    <row r="120" spans="1:18" x14ac:dyDescent="0.3">
      <c r="A120" t="s">
        <v>1750</v>
      </c>
      <c r="B120" s="13">
        <v>43892</v>
      </c>
      <c r="C120" t="s">
        <v>1751</v>
      </c>
      <c r="D120" t="s">
        <v>440</v>
      </c>
      <c r="E120" t="s">
        <v>231</v>
      </c>
      <c r="F120" t="s">
        <v>22</v>
      </c>
      <c r="G120" t="s">
        <v>49</v>
      </c>
      <c r="H120">
        <v>3</v>
      </c>
      <c r="I120">
        <v>35.159999999999997</v>
      </c>
      <c r="J120">
        <v>0.05</v>
      </c>
      <c r="K120">
        <v>5.01</v>
      </c>
      <c r="L120">
        <v>5.41</v>
      </c>
      <c r="M120">
        <v>110.63</v>
      </c>
      <c r="N120" t="s">
        <v>35</v>
      </c>
      <c r="O120" t="s">
        <v>25</v>
      </c>
      <c r="P120" t="s">
        <v>74</v>
      </c>
      <c r="Q120" t="s">
        <v>75</v>
      </c>
      <c r="R120" t="s">
        <v>38</v>
      </c>
    </row>
    <row r="121" spans="1:18" x14ac:dyDescent="0.3">
      <c r="A121" t="s">
        <v>1754</v>
      </c>
      <c r="B121" s="13">
        <v>44559</v>
      </c>
      <c r="C121" t="s">
        <v>1755</v>
      </c>
      <c r="D121" t="s">
        <v>618</v>
      </c>
      <c r="E121" t="s">
        <v>106</v>
      </c>
      <c r="F121" t="s">
        <v>22</v>
      </c>
      <c r="G121" t="s">
        <v>100</v>
      </c>
      <c r="H121">
        <v>2</v>
      </c>
      <c r="I121">
        <v>221.87</v>
      </c>
      <c r="J121">
        <v>0</v>
      </c>
      <c r="K121">
        <v>22.19</v>
      </c>
      <c r="L121">
        <v>1.1100000000000001</v>
      </c>
      <c r="M121">
        <v>467.04</v>
      </c>
      <c r="N121" t="s">
        <v>58</v>
      </c>
      <c r="O121" t="s">
        <v>25</v>
      </c>
      <c r="P121" t="s">
        <v>124</v>
      </c>
      <c r="Q121" t="s">
        <v>125</v>
      </c>
      <c r="R121" t="s">
        <v>38</v>
      </c>
    </row>
    <row r="122" spans="1:18" x14ac:dyDescent="0.3">
      <c r="A122" t="s">
        <v>1764</v>
      </c>
      <c r="B122" s="13">
        <v>44007</v>
      </c>
      <c r="C122" t="s">
        <v>1765</v>
      </c>
      <c r="D122" t="s">
        <v>368</v>
      </c>
      <c r="E122" t="s">
        <v>138</v>
      </c>
      <c r="F122" t="s">
        <v>22</v>
      </c>
      <c r="G122" t="s">
        <v>268</v>
      </c>
      <c r="H122">
        <v>1</v>
      </c>
      <c r="I122">
        <v>167.4</v>
      </c>
      <c r="J122">
        <v>0</v>
      </c>
      <c r="K122">
        <v>30.13</v>
      </c>
      <c r="L122">
        <v>7.61</v>
      </c>
      <c r="M122">
        <v>205.14</v>
      </c>
      <c r="N122" t="s">
        <v>58</v>
      </c>
      <c r="O122" t="s">
        <v>25</v>
      </c>
      <c r="P122" t="s">
        <v>26</v>
      </c>
      <c r="Q122" t="s">
        <v>27</v>
      </c>
      <c r="R122" t="s">
        <v>76</v>
      </c>
    </row>
    <row r="123" spans="1:18" x14ac:dyDescent="0.3">
      <c r="A123" t="s">
        <v>1766</v>
      </c>
      <c r="B123" s="13">
        <v>45466</v>
      </c>
      <c r="C123" t="s">
        <v>1767</v>
      </c>
      <c r="D123" t="s">
        <v>1096</v>
      </c>
      <c r="E123" t="s">
        <v>231</v>
      </c>
      <c r="F123" t="s">
        <v>22</v>
      </c>
      <c r="G123" t="s">
        <v>23</v>
      </c>
      <c r="H123">
        <v>4</v>
      </c>
      <c r="I123">
        <v>260.35000000000002</v>
      </c>
      <c r="J123">
        <v>0.2</v>
      </c>
      <c r="K123">
        <v>99.97</v>
      </c>
      <c r="L123">
        <v>2</v>
      </c>
      <c r="M123">
        <v>935.09</v>
      </c>
      <c r="N123" t="s">
        <v>58</v>
      </c>
      <c r="O123" t="s">
        <v>107</v>
      </c>
      <c r="P123" t="s">
        <v>133</v>
      </c>
      <c r="Q123" t="s">
        <v>134</v>
      </c>
      <c r="R123" t="s">
        <v>38</v>
      </c>
    </row>
    <row r="124" spans="1:18" x14ac:dyDescent="0.3">
      <c r="A124" t="s">
        <v>1787</v>
      </c>
      <c r="B124" s="13">
        <v>45238</v>
      </c>
      <c r="C124" t="s">
        <v>1788</v>
      </c>
      <c r="D124" t="s">
        <v>696</v>
      </c>
      <c r="E124" t="s">
        <v>386</v>
      </c>
      <c r="F124" t="s">
        <v>22</v>
      </c>
      <c r="G124" t="s">
        <v>23</v>
      </c>
      <c r="H124">
        <v>3</v>
      </c>
      <c r="I124">
        <v>129.66999999999999</v>
      </c>
      <c r="J124">
        <v>0</v>
      </c>
      <c r="K124">
        <v>31.12</v>
      </c>
      <c r="L124">
        <v>6.2</v>
      </c>
      <c r="M124">
        <v>426.33</v>
      </c>
      <c r="N124" t="s">
        <v>58</v>
      </c>
      <c r="O124" t="s">
        <v>107</v>
      </c>
      <c r="P124" t="s">
        <v>26</v>
      </c>
      <c r="Q124" t="s">
        <v>27</v>
      </c>
      <c r="R124" t="s">
        <v>38</v>
      </c>
    </row>
    <row r="125" spans="1:18" x14ac:dyDescent="0.3">
      <c r="A125" t="s">
        <v>1793</v>
      </c>
      <c r="B125" s="13">
        <v>45360</v>
      </c>
      <c r="C125" t="s">
        <v>1794</v>
      </c>
      <c r="D125" t="s">
        <v>141</v>
      </c>
      <c r="E125" t="s">
        <v>197</v>
      </c>
      <c r="F125" t="s">
        <v>22</v>
      </c>
      <c r="G125" t="s">
        <v>49</v>
      </c>
      <c r="H125">
        <v>5</v>
      </c>
      <c r="I125">
        <v>404.96</v>
      </c>
      <c r="J125">
        <v>0</v>
      </c>
      <c r="K125">
        <v>0</v>
      </c>
      <c r="L125">
        <v>9.1300000000000008</v>
      </c>
      <c r="M125">
        <v>2033.93</v>
      </c>
      <c r="N125" t="s">
        <v>58</v>
      </c>
      <c r="O125" t="s">
        <v>25</v>
      </c>
      <c r="P125" t="s">
        <v>51</v>
      </c>
      <c r="Q125" t="s">
        <v>52</v>
      </c>
      <c r="R125" t="s">
        <v>61</v>
      </c>
    </row>
    <row r="126" spans="1:18" x14ac:dyDescent="0.3">
      <c r="A126" t="s">
        <v>1797</v>
      </c>
      <c r="B126" s="13">
        <v>43974</v>
      </c>
      <c r="C126" t="s">
        <v>1798</v>
      </c>
      <c r="D126" t="s">
        <v>563</v>
      </c>
      <c r="E126" t="s">
        <v>287</v>
      </c>
      <c r="F126" t="s">
        <v>22</v>
      </c>
      <c r="G126" t="s">
        <v>268</v>
      </c>
      <c r="H126">
        <v>3</v>
      </c>
      <c r="I126">
        <v>171.95</v>
      </c>
      <c r="J126">
        <v>0</v>
      </c>
      <c r="K126">
        <v>41.27</v>
      </c>
      <c r="L126">
        <v>8.5</v>
      </c>
      <c r="M126">
        <v>565.62</v>
      </c>
      <c r="N126" t="s">
        <v>58</v>
      </c>
      <c r="O126" t="s">
        <v>107</v>
      </c>
      <c r="P126" t="s">
        <v>95</v>
      </c>
      <c r="Q126" t="s">
        <v>37</v>
      </c>
      <c r="R126" t="s">
        <v>38</v>
      </c>
    </row>
    <row r="127" spans="1:18" x14ac:dyDescent="0.3">
      <c r="A127" t="s">
        <v>1799</v>
      </c>
      <c r="B127" s="13">
        <v>44715</v>
      </c>
      <c r="C127" t="s">
        <v>1800</v>
      </c>
      <c r="D127" t="s">
        <v>1801</v>
      </c>
      <c r="E127" t="s">
        <v>202</v>
      </c>
      <c r="F127" t="s">
        <v>22</v>
      </c>
      <c r="G127" t="s">
        <v>90</v>
      </c>
      <c r="H127">
        <v>5</v>
      </c>
      <c r="I127">
        <v>587.98</v>
      </c>
      <c r="J127">
        <v>0.25</v>
      </c>
      <c r="K127">
        <v>396.89</v>
      </c>
      <c r="L127">
        <v>14.43</v>
      </c>
      <c r="M127">
        <v>2616.2399999999998</v>
      </c>
      <c r="N127" t="s">
        <v>35</v>
      </c>
      <c r="O127" t="s">
        <v>25</v>
      </c>
      <c r="P127" t="s">
        <v>74</v>
      </c>
      <c r="Q127" t="s">
        <v>75</v>
      </c>
      <c r="R127" t="s">
        <v>76</v>
      </c>
    </row>
    <row r="128" spans="1:18" x14ac:dyDescent="0.3">
      <c r="A128" t="s">
        <v>1813</v>
      </c>
      <c r="B128" s="13">
        <v>45323</v>
      </c>
      <c r="C128" t="s">
        <v>1814</v>
      </c>
      <c r="D128" t="s">
        <v>201</v>
      </c>
      <c r="E128" t="s">
        <v>291</v>
      </c>
      <c r="F128" t="s">
        <v>22</v>
      </c>
      <c r="G128" t="s">
        <v>203</v>
      </c>
      <c r="H128">
        <v>4</v>
      </c>
      <c r="I128">
        <v>198.26</v>
      </c>
      <c r="J128">
        <v>0.15</v>
      </c>
      <c r="K128">
        <v>33.700000000000003</v>
      </c>
      <c r="L128">
        <v>9.39</v>
      </c>
      <c r="M128">
        <v>717.17</v>
      </c>
      <c r="N128" t="s">
        <v>58</v>
      </c>
      <c r="O128" t="s">
        <v>25</v>
      </c>
      <c r="P128" t="s">
        <v>178</v>
      </c>
      <c r="Q128" t="s">
        <v>69</v>
      </c>
      <c r="R128" t="s">
        <v>61</v>
      </c>
    </row>
    <row r="129" spans="1:18" x14ac:dyDescent="0.3">
      <c r="A129" t="s">
        <v>1870</v>
      </c>
      <c r="B129" s="13">
        <v>45084</v>
      </c>
      <c r="C129" t="s">
        <v>1871</v>
      </c>
      <c r="D129" t="s">
        <v>767</v>
      </c>
      <c r="E129" t="s">
        <v>216</v>
      </c>
      <c r="F129" t="s">
        <v>22</v>
      </c>
      <c r="G129" t="s">
        <v>198</v>
      </c>
      <c r="H129">
        <v>4</v>
      </c>
      <c r="I129">
        <v>22.31</v>
      </c>
      <c r="J129">
        <v>0</v>
      </c>
      <c r="K129">
        <v>7.14</v>
      </c>
      <c r="L129">
        <v>11.55</v>
      </c>
      <c r="M129">
        <v>107.93</v>
      </c>
      <c r="N129" t="s">
        <v>50</v>
      </c>
      <c r="O129" t="s">
        <v>25</v>
      </c>
      <c r="P129" t="s">
        <v>60</v>
      </c>
      <c r="Q129" t="s">
        <v>37</v>
      </c>
      <c r="R129" t="s">
        <v>38</v>
      </c>
    </row>
    <row r="130" spans="1:18" x14ac:dyDescent="0.3">
      <c r="A130" t="s">
        <v>1874</v>
      </c>
      <c r="B130" s="13">
        <v>45028</v>
      </c>
      <c r="C130" t="s">
        <v>1875</v>
      </c>
      <c r="D130" t="s">
        <v>582</v>
      </c>
      <c r="E130" t="s">
        <v>498</v>
      </c>
      <c r="F130" t="s">
        <v>22</v>
      </c>
      <c r="G130" t="s">
        <v>66</v>
      </c>
      <c r="H130">
        <v>3</v>
      </c>
      <c r="I130">
        <v>205.45</v>
      </c>
      <c r="J130">
        <v>0</v>
      </c>
      <c r="K130">
        <v>110.94</v>
      </c>
      <c r="L130">
        <v>2.67</v>
      </c>
      <c r="M130">
        <v>729.96</v>
      </c>
      <c r="N130" t="s">
        <v>35</v>
      </c>
      <c r="O130" t="s">
        <v>107</v>
      </c>
      <c r="P130" t="s">
        <v>74</v>
      </c>
      <c r="Q130" t="s">
        <v>75</v>
      </c>
      <c r="R130" t="s">
        <v>28</v>
      </c>
    </row>
    <row r="131" spans="1:18" x14ac:dyDescent="0.3">
      <c r="A131" t="s">
        <v>1880</v>
      </c>
      <c r="B131" s="13">
        <v>44000</v>
      </c>
      <c r="C131" t="s">
        <v>1881</v>
      </c>
      <c r="D131" t="s">
        <v>1882</v>
      </c>
      <c r="E131" t="s">
        <v>283</v>
      </c>
      <c r="F131" t="s">
        <v>22</v>
      </c>
      <c r="G131" t="s">
        <v>203</v>
      </c>
      <c r="H131">
        <v>1</v>
      </c>
      <c r="I131">
        <v>353.27</v>
      </c>
      <c r="J131">
        <v>0.05</v>
      </c>
      <c r="K131">
        <v>16.78</v>
      </c>
      <c r="L131">
        <v>4.5</v>
      </c>
      <c r="M131">
        <v>356.89</v>
      </c>
      <c r="N131" t="s">
        <v>58</v>
      </c>
      <c r="O131" t="s">
        <v>25</v>
      </c>
      <c r="P131" t="s">
        <v>95</v>
      </c>
      <c r="Q131" t="s">
        <v>37</v>
      </c>
      <c r="R131" t="s">
        <v>28</v>
      </c>
    </row>
    <row r="132" spans="1:18" x14ac:dyDescent="0.3">
      <c r="A132" t="s">
        <v>1893</v>
      </c>
      <c r="B132" s="13">
        <v>45371</v>
      </c>
      <c r="C132" t="s">
        <v>1894</v>
      </c>
      <c r="D132" t="s">
        <v>320</v>
      </c>
      <c r="E132" t="s">
        <v>283</v>
      </c>
      <c r="F132" t="s">
        <v>22</v>
      </c>
      <c r="G132" t="s">
        <v>268</v>
      </c>
      <c r="H132">
        <v>2</v>
      </c>
      <c r="I132">
        <v>352.31</v>
      </c>
      <c r="J132">
        <v>0.05</v>
      </c>
      <c r="K132">
        <v>53.55</v>
      </c>
      <c r="L132">
        <v>4.53</v>
      </c>
      <c r="M132">
        <v>727.47</v>
      </c>
      <c r="N132" t="s">
        <v>123</v>
      </c>
      <c r="O132" t="s">
        <v>59</v>
      </c>
      <c r="P132" t="s">
        <v>133</v>
      </c>
      <c r="Q132" t="s">
        <v>134</v>
      </c>
      <c r="R132" t="s">
        <v>38</v>
      </c>
    </row>
    <row r="133" spans="1:18" x14ac:dyDescent="0.3">
      <c r="A133" t="s">
        <v>1897</v>
      </c>
      <c r="B133" s="13">
        <v>45019</v>
      </c>
      <c r="C133" t="s">
        <v>1898</v>
      </c>
      <c r="D133" t="s">
        <v>149</v>
      </c>
      <c r="E133" t="s">
        <v>291</v>
      </c>
      <c r="F133" t="s">
        <v>22</v>
      </c>
      <c r="G133" t="s">
        <v>49</v>
      </c>
      <c r="H133">
        <v>5</v>
      </c>
      <c r="I133">
        <v>436.19</v>
      </c>
      <c r="J133">
        <v>0</v>
      </c>
      <c r="K133">
        <v>174.48</v>
      </c>
      <c r="L133">
        <v>6.81</v>
      </c>
      <c r="M133">
        <v>2362.2399999999998</v>
      </c>
      <c r="N133" t="s">
        <v>58</v>
      </c>
      <c r="O133" t="s">
        <v>82</v>
      </c>
      <c r="P133" t="s">
        <v>101</v>
      </c>
      <c r="Q133" t="s">
        <v>102</v>
      </c>
      <c r="R133" t="s">
        <v>28</v>
      </c>
    </row>
    <row r="134" spans="1:18" x14ac:dyDescent="0.3">
      <c r="A134" t="s">
        <v>1908</v>
      </c>
      <c r="B134" s="13">
        <v>45196</v>
      </c>
      <c r="C134" t="s">
        <v>1909</v>
      </c>
      <c r="D134" t="s">
        <v>206</v>
      </c>
      <c r="E134" t="s">
        <v>169</v>
      </c>
      <c r="F134" t="s">
        <v>22</v>
      </c>
      <c r="G134" t="s">
        <v>57</v>
      </c>
      <c r="H134">
        <v>5</v>
      </c>
      <c r="I134">
        <v>206.18</v>
      </c>
      <c r="J134">
        <v>0.05</v>
      </c>
      <c r="K134">
        <v>48.97</v>
      </c>
      <c r="L134">
        <v>1.93</v>
      </c>
      <c r="M134">
        <v>1030.26</v>
      </c>
      <c r="N134" t="s">
        <v>24</v>
      </c>
      <c r="O134" t="s">
        <v>25</v>
      </c>
      <c r="P134" t="s">
        <v>44</v>
      </c>
      <c r="Q134" t="s">
        <v>37</v>
      </c>
      <c r="R134" t="s">
        <v>38</v>
      </c>
    </row>
    <row r="135" spans="1:18" x14ac:dyDescent="0.3">
      <c r="A135" t="s">
        <v>1918</v>
      </c>
      <c r="B135" s="13">
        <v>44047</v>
      </c>
      <c r="C135" t="s">
        <v>1919</v>
      </c>
      <c r="D135" t="s">
        <v>1801</v>
      </c>
      <c r="E135" t="s">
        <v>32</v>
      </c>
      <c r="F135" t="s">
        <v>22</v>
      </c>
      <c r="G135" t="s">
        <v>268</v>
      </c>
      <c r="H135">
        <v>5</v>
      </c>
      <c r="I135">
        <v>351.35</v>
      </c>
      <c r="J135">
        <v>0</v>
      </c>
      <c r="K135">
        <v>210.81</v>
      </c>
      <c r="L135">
        <v>14.46</v>
      </c>
      <c r="M135">
        <v>1982.02</v>
      </c>
      <c r="N135" t="s">
        <v>58</v>
      </c>
      <c r="O135" t="s">
        <v>107</v>
      </c>
      <c r="P135" t="s">
        <v>74</v>
      </c>
      <c r="Q135" t="s">
        <v>75</v>
      </c>
      <c r="R135" t="s">
        <v>28</v>
      </c>
    </row>
    <row r="136" spans="1:18" x14ac:dyDescent="0.3">
      <c r="A136" t="s">
        <v>1920</v>
      </c>
      <c r="B136" s="13">
        <v>45155</v>
      </c>
      <c r="C136" t="s">
        <v>1921</v>
      </c>
      <c r="D136" t="s">
        <v>47</v>
      </c>
      <c r="E136" t="s">
        <v>256</v>
      </c>
      <c r="F136" t="s">
        <v>22</v>
      </c>
      <c r="G136" t="s">
        <v>23</v>
      </c>
      <c r="H136">
        <v>4</v>
      </c>
      <c r="I136">
        <v>8.8000000000000007</v>
      </c>
      <c r="J136">
        <v>0.05</v>
      </c>
      <c r="K136">
        <v>4.01</v>
      </c>
      <c r="L136">
        <v>0.72</v>
      </c>
      <c r="M136">
        <v>38.17</v>
      </c>
      <c r="N136" t="s">
        <v>58</v>
      </c>
      <c r="O136" t="s">
        <v>25</v>
      </c>
      <c r="P136" t="s">
        <v>95</v>
      </c>
      <c r="Q136" t="s">
        <v>37</v>
      </c>
      <c r="R136" t="s">
        <v>38</v>
      </c>
    </row>
    <row r="137" spans="1:18" x14ac:dyDescent="0.3">
      <c r="A137" t="s">
        <v>1926</v>
      </c>
      <c r="B137" s="13">
        <v>45106</v>
      </c>
      <c r="C137" t="s">
        <v>1927</v>
      </c>
      <c r="D137" t="s">
        <v>333</v>
      </c>
      <c r="E137" t="s">
        <v>291</v>
      </c>
      <c r="F137" t="s">
        <v>22</v>
      </c>
      <c r="G137" t="s">
        <v>34</v>
      </c>
      <c r="H137">
        <v>5</v>
      </c>
      <c r="I137">
        <v>549.20000000000005</v>
      </c>
      <c r="J137">
        <v>0.05</v>
      </c>
      <c r="K137">
        <v>130.44</v>
      </c>
      <c r="L137">
        <v>5.0599999999999996</v>
      </c>
      <c r="M137">
        <v>2744.2</v>
      </c>
      <c r="N137" t="s">
        <v>24</v>
      </c>
      <c r="O137" t="s">
        <v>25</v>
      </c>
      <c r="P137" t="s">
        <v>95</v>
      </c>
      <c r="Q137" t="s">
        <v>37</v>
      </c>
      <c r="R137" t="s">
        <v>38</v>
      </c>
    </row>
    <row r="138" spans="1:18" x14ac:dyDescent="0.3">
      <c r="A138" t="s">
        <v>1928</v>
      </c>
      <c r="B138" s="13">
        <v>45269</v>
      </c>
      <c r="C138" t="s">
        <v>1929</v>
      </c>
      <c r="D138" t="s">
        <v>55</v>
      </c>
      <c r="E138" t="s">
        <v>32</v>
      </c>
      <c r="F138" t="s">
        <v>22</v>
      </c>
      <c r="G138" t="s">
        <v>90</v>
      </c>
      <c r="H138">
        <v>3</v>
      </c>
      <c r="I138">
        <v>590.82000000000005</v>
      </c>
      <c r="J138">
        <v>0.2</v>
      </c>
      <c r="K138">
        <v>0</v>
      </c>
      <c r="L138">
        <v>6.52</v>
      </c>
      <c r="M138">
        <v>1424.49</v>
      </c>
      <c r="N138" t="s">
        <v>24</v>
      </c>
      <c r="O138" t="s">
        <v>25</v>
      </c>
      <c r="P138" t="s">
        <v>44</v>
      </c>
      <c r="Q138" t="s">
        <v>37</v>
      </c>
      <c r="R138" t="s">
        <v>38</v>
      </c>
    </row>
    <row r="139" spans="1:18" x14ac:dyDescent="0.3">
      <c r="A139" t="s">
        <v>1939</v>
      </c>
      <c r="B139" s="13">
        <v>43921</v>
      </c>
      <c r="C139" t="s">
        <v>1940</v>
      </c>
      <c r="D139" t="s">
        <v>623</v>
      </c>
      <c r="E139" t="s">
        <v>498</v>
      </c>
      <c r="F139" t="s">
        <v>22</v>
      </c>
      <c r="G139" t="s">
        <v>34</v>
      </c>
      <c r="H139">
        <v>1</v>
      </c>
      <c r="I139">
        <v>233.08</v>
      </c>
      <c r="J139">
        <v>0.1</v>
      </c>
      <c r="K139">
        <v>10.49</v>
      </c>
      <c r="L139">
        <v>1.88</v>
      </c>
      <c r="M139">
        <v>222.14</v>
      </c>
      <c r="N139" t="s">
        <v>58</v>
      </c>
      <c r="O139" t="s">
        <v>25</v>
      </c>
      <c r="P139" t="s">
        <v>26</v>
      </c>
      <c r="Q139" t="s">
        <v>27</v>
      </c>
      <c r="R139" t="s">
        <v>183</v>
      </c>
    </row>
    <row r="140" spans="1:18" x14ac:dyDescent="0.3">
      <c r="A140" t="s">
        <v>1951</v>
      </c>
      <c r="B140" s="13">
        <v>44003</v>
      </c>
      <c r="C140" t="s">
        <v>1952</v>
      </c>
      <c r="D140" t="s">
        <v>828</v>
      </c>
      <c r="E140" t="s">
        <v>300</v>
      </c>
      <c r="F140" t="s">
        <v>22</v>
      </c>
      <c r="G140" t="s">
        <v>100</v>
      </c>
      <c r="H140">
        <v>5</v>
      </c>
      <c r="I140">
        <v>490.83</v>
      </c>
      <c r="J140">
        <v>0.05</v>
      </c>
      <c r="K140">
        <v>186.52</v>
      </c>
      <c r="L140">
        <v>3.81</v>
      </c>
      <c r="M140">
        <v>2521.77</v>
      </c>
      <c r="N140" t="s">
        <v>24</v>
      </c>
      <c r="O140" t="s">
        <v>25</v>
      </c>
      <c r="P140" t="s">
        <v>257</v>
      </c>
      <c r="Q140" t="s">
        <v>69</v>
      </c>
      <c r="R140" t="s">
        <v>38</v>
      </c>
    </row>
    <row r="141" spans="1:18" x14ac:dyDescent="0.3">
      <c r="A141" t="s">
        <v>1965</v>
      </c>
      <c r="B141" s="13">
        <v>44306</v>
      </c>
      <c r="C141" t="s">
        <v>1966</v>
      </c>
      <c r="D141" t="s">
        <v>215</v>
      </c>
      <c r="E141" t="s">
        <v>294</v>
      </c>
      <c r="F141" t="s">
        <v>22</v>
      </c>
      <c r="G141" t="s">
        <v>34</v>
      </c>
      <c r="H141">
        <v>3</v>
      </c>
      <c r="I141">
        <v>321.68</v>
      </c>
      <c r="J141">
        <v>0.1</v>
      </c>
      <c r="K141">
        <v>69.48</v>
      </c>
      <c r="L141">
        <v>5.88</v>
      </c>
      <c r="M141">
        <v>943.9</v>
      </c>
      <c r="N141" t="s">
        <v>24</v>
      </c>
      <c r="O141" t="s">
        <v>82</v>
      </c>
      <c r="P141" t="s">
        <v>44</v>
      </c>
      <c r="Q141" t="s">
        <v>37</v>
      </c>
      <c r="R141" t="s">
        <v>38</v>
      </c>
    </row>
    <row r="142" spans="1:18" x14ac:dyDescent="0.3">
      <c r="A142" t="s">
        <v>1973</v>
      </c>
      <c r="B142" s="13">
        <v>45215</v>
      </c>
      <c r="C142" t="s">
        <v>1974</v>
      </c>
      <c r="D142" t="s">
        <v>223</v>
      </c>
      <c r="E142" t="s">
        <v>56</v>
      </c>
      <c r="F142" t="s">
        <v>22</v>
      </c>
      <c r="G142" t="s">
        <v>23</v>
      </c>
      <c r="H142">
        <v>1</v>
      </c>
      <c r="I142">
        <v>387.08</v>
      </c>
      <c r="J142">
        <v>0</v>
      </c>
      <c r="K142">
        <v>19.350000000000001</v>
      </c>
      <c r="L142">
        <v>11.94</v>
      </c>
      <c r="M142">
        <v>418.37</v>
      </c>
      <c r="N142" t="s">
        <v>58</v>
      </c>
      <c r="O142" t="s">
        <v>25</v>
      </c>
      <c r="P142" t="s">
        <v>165</v>
      </c>
      <c r="Q142" t="s">
        <v>37</v>
      </c>
      <c r="R142" t="s">
        <v>38</v>
      </c>
    </row>
    <row r="143" spans="1:18" x14ac:dyDescent="0.3">
      <c r="A143" t="s">
        <v>1977</v>
      </c>
      <c r="B143" s="13">
        <v>44217</v>
      </c>
      <c r="C143" t="s">
        <v>1978</v>
      </c>
      <c r="D143" t="s">
        <v>209</v>
      </c>
      <c r="E143" t="s">
        <v>32</v>
      </c>
      <c r="F143" t="s">
        <v>22</v>
      </c>
      <c r="G143" t="s">
        <v>268</v>
      </c>
      <c r="H143">
        <v>3</v>
      </c>
      <c r="I143">
        <v>14.42</v>
      </c>
      <c r="J143">
        <v>0.15</v>
      </c>
      <c r="K143">
        <v>2.94</v>
      </c>
      <c r="L143">
        <v>5.73</v>
      </c>
      <c r="M143">
        <v>45.44</v>
      </c>
      <c r="N143" t="s">
        <v>24</v>
      </c>
      <c r="O143" t="s">
        <v>107</v>
      </c>
      <c r="P143" t="s">
        <v>60</v>
      </c>
      <c r="Q143" t="s">
        <v>37</v>
      </c>
      <c r="R143" t="s">
        <v>38</v>
      </c>
    </row>
    <row r="144" spans="1:18" x14ac:dyDescent="0.3">
      <c r="A144" t="s">
        <v>2003</v>
      </c>
      <c r="B144" s="13">
        <v>43888</v>
      </c>
      <c r="C144" t="s">
        <v>2004</v>
      </c>
      <c r="D144" t="s">
        <v>675</v>
      </c>
      <c r="E144" t="s">
        <v>202</v>
      </c>
      <c r="F144" t="s">
        <v>22</v>
      </c>
      <c r="G144" t="s">
        <v>90</v>
      </c>
      <c r="H144">
        <v>3</v>
      </c>
      <c r="I144">
        <v>570.24</v>
      </c>
      <c r="J144">
        <v>0</v>
      </c>
      <c r="K144">
        <v>85.54</v>
      </c>
      <c r="L144">
        <v>4.0599999999999996</v>
      </c>
      <c r="M144">
        <v>1800.32</v>
      </c>
      <c r="N144" t="s">
        <v>123</v>
      </c>
      <c r="O144" t="s">
        <v>25</v>
      </c>
      <c r="P144" t="s">
        <v>150</v>
      </c>
      <c r="Q144" t="s">
        <v>69</v>
      </c>
      <c r="R144" t="s">
        <v>61</v>
      </c>
    </row>
    <row r="145" spans="1:18" x14ac:dyDescent="0.3">
      <c r="A145" t="s">
        <v>2005</v>
      </c>
      <c r="B145" s="13">
        <v>45410</v>
      </c>
      <c r="C145" t="s">
        <v>2006</v>
      </c>
      <c r="D145" t="s">
        <v>655</v>
      </c>
      <c r="E145" t="s">
        <v>216</v>
      </c>
      <c r="F145" t="s">
        <v>22</v>
      </c>
      <c r="G145" t="s">
        <v>66</v>
      </c>
      <c r="H145">
        <v>1</v>
      </c>
      <c r="I145">
        <v>553.07000000000005</v>
      </c>
      <c r="J145">
        <v>0.1</v>
      </c>
      <c r="K145">
        <v>89.6</v>
      </c>
      <c r="L145">
        <v>3.26</v>
      </c>
      <c r="M145">
        <v>590.62</v>
      </c>
      <c r="N145" t="s">
        <v>50</v>
      </c>
      <c r="O145" t="s">
        <v>144</v>
      </c>
      <c r="P145" t="s">
        <v>165</v>
      </c>
      <c r="Q145" t="s">
        <v>37</v>
      </c>
      <c r="R145" t="s">
        <v>38</v>
      </c>
    </row>
    <row r="146" spans="1:18" x14ac:dyDescent="0.3">
      <c r="A146" t="s">
        <v>2015</v>
      </c>
      <c r="B146" s="13">
        <v>45003</v>
      </c>
      <c r="C146" t="s">
        <v>2016</v>
      </c>
      <c r="D146" t="s">
        <v>320</v>
      </c>
      <c r="E146" t="s">
        <v>197</v>
      </c>
      <c r="F146" t="s">
        <v>22</v>
      </c>
      <c r="G146" t="s">
        <v>57</v>
      </c>
      <c r="H146">
        <v>5</v>
      </c>
      <c r="I146">
        <v>550.62</v>
      </c>
      <c r="J146">
        <v>0.1</v>
      </c>
      <c r="K146">
        <v>198.22</v>
      </c>
      <c r="L146">
        <v>4.7300000000000004</v>
      </c>
      <c r="M146">
        <v>2680.74</v>
      </c>
      <c r="N146" t="s">
        <v>58</v>
      </c>
      <c r="O146" t="s">
        <v>25</v>
      </c>
      <c r="P146" t="s">
        <v>26</v>
      </c>
      <c r="Q146" t="s">
        <v>27</v>
      </c>
      <c r="R146" t="s">
        <v>61</v>
      </c>
    </row>
    <row r="147" spans="1:18" x14ac:dyDescent="0.3">
      <c r="A147" t="s">
        <v>2021</v>
      </c>
      <c r="B147" s="13">
        <v>45067</v>
      </c>
      <c r="C147" t="s">
        <v>2022</v>
      </c>
      <c r="D147" t="s">
        <v>648</v>
      </c>
      <c r="E147" t="s">
        <v>287</v>
      </c>
      <c r="F147" t="s">
        <v>22</v>
      </c>
      <c r="G147" t="s">
        <v>49</v>
      </c>
      <c r="H147">
        <v>5</v>
      </c>
      <c r="I147">
        <v>171.41</v>
      </c>
      <c r="J147">
        <v>0</v>
      </c>
      <c r="K147">
        <v>154.27000000000001</v>
      </c>
      <c r="L147">
        <v>0.28000000000000003</v>
      </c>
      <c r="M147">
        <v>1011.6</v>
      </c>
      <c r="N147" t="s">
        <v>50</v>
      </c>
      <c r="O147" t="s">
        <v>25</v>
      </c>
      <c r="P147" t="s">
        <v>36</v>
      </c>
      <c r="Q147" t="s">
        <v>37</v>
      </c>
      <c r="R147" t="s">
        <v>38</v>
      </c>
    </row>
    <row r="148" spans="1:18" x14ac:dyDescent="0.3">
      <c r="A148" t="s">
        <v>2031</v>
      </c>
      <c r="B148" s="13">
        <v>45081</v>
      </c>
      <c r="C148" t="s">
        <v>2032</v>
      </c>
      <c r="D148" t="s">
        <v>209</v>
      </c>
      <c r="E148" t="s">
        <v>94</v>
      </c>
      <c r="F148" t="s">
        <v>22</v>
      </c>
      <c r="G148" t="s">
        <v>23</v>
      </c>
      <c r="H148">
        <v>2</v>
      </c>
      <c r="I148">
        <v>6.49</v>
      </c>
      <c r="J148">
        <v>0.2</v>
      </c>
      <c r="K148">
        <v>0.52</v>
      </c>
      <c r="L148">
        <v>0.38</v>
      </c>
      <c r="M148">
        <v>11.28</v>
      </c>
      <c r="N148" t="s">
        <v>24</v>
      </c>
      <c r="O148" t="s">
        <v>107</v>
      </c>
      <c r="P148" t="s">
        <v>95</v>
      </c>
      <c r="Q148" t="s">
        <v>37</v>
      </c>
      <c r="R148" t="s">
        <v>38</v>
      </c>
    </row>
    <row r="149" spans="1:18" x14ac:dyDescent="0.3">
      <c r="A149" t="s">
        <v>2072</v>
      </c>
      <c r="B149" s="13">
        <v>44614</v>
      </c>
      <c r="C149" t="s">
        <v>2073</v>
      </c>
      <c r="D149" t="s">
        <v>720</v>
      </c>
      <c r="E149" t="s">
        <v>21</v>
      </c>
      <c r="F149" t="s">
        <v>22</v>
      </c>
      <c r="G149" t="s">
        <v>49</v>
      </c>
      <c r="H149">
        <v>2</v>
      </c>
      <c r="I149">
        <v>271.04000000000002</v>
      </c>
      <c r="J149">
        <v>0.2</v>
      </c>
      <c r="K149">
        <v>21.68</v>
      </c>
      <c r="L149">
        <v>7.82</v>
      </c>
      <c r="M149">
        <v>463.16</v>
      </c>
      <c r="N149" t="s">
        <v>35</v>
      </c>
      <c r="O149" t="s">
        <v>25</v>
      </c>
      <c r="P149" t="s">
        <v>26</v>
      </c>
      <c r="Q149" t="s">
        <v>27</v>
      </c>
      <c r="R149" t="s">
        <v>38</v>
      </c>
    </row>
    <row r="150" spans="1:18" x14ac:dyDescent="0.3">
      <c r="A150" t="s">
        <v>2090</v>
      </c>
      <c r="B150" s="13">
        <v>45202</v>
      </c>
      <c r="C150" t="s">
        <v>2091</v>
      </c>
      <c r="D150" t="s">
        <v>517</v>
      </c>
      <c r="E150" t="s">
        <v>111</v>
      </c>
      <c r="F150" t="s">
        <v>22</v>
      </c>
      <c r="G150" t="s">
        <v>203</v>
      </c>
      <c r="H150">
        <v>5</v>
      </c>
      <c r="I150">
        <v>444.17</v>
      </c>
      <c r="J150">
        <v>0.2</v>
      </c>
      <c r="K150">
        <v>88.83</v>
      </c>
      <c r="L150">
        <v>13.51</v>
      </c>
      <c r="M150">
        <v>1879.02</v>
      </c>
      <c r="N150" t="s">
        <v>24</v>
      </c>
      <c r="O150" t="s">
        <v>25</v>
      </c>
      <c r="P150" t="s">
        <v>173</v>
      </c>
      <c r="Q150" t="s">
        <v>174</v>
      </c>
      <c r="R150" t="s">
        <v>183</v>
      </c>
    </row>
    <row r="151" spans="1:18" x14ac:dyDescent="0.3">
      <c r="A151" t="s">
        <v>2094</v>
      </c>
      <c r="B151" s="13">
        <v>43920</v>
      </c>
      <c r="C151" t="s">
        <v>2095</v>
      </c>
      <c r="D151" t="s">
        <v>801</v>
      </c>
      <c r="E151" t="s">
        <v>132</v>
      </c>
      <c r="F151" t="s">
        <v>22</v>
      </c>
      <c r="G151" t="s">
        <v>268</v>
      </c>
      <c r="H151">
        <v>4</v>
      </c>
      <c r="I151">
        <v>195.49</v>
      </c>
      <c r="J151">
        <v>0</v>
      </c>
      <c r="K151">
        <v>93.84</v>
      </c>
      <c r="L151">
        <v>14.89</v>
      </c>
      <c r="M151">
        <v>890.69</v>
      </c>
      <c r="N151" t="s">
        <v>35</v>
      </c>
      <c r="O151" t="s">
        <v>25</v>
      </c>
      <c r="P151" t="s">
        <v>133</v>
      </c>
      <c r="Q151" t="s">
        <v>134</v>
      </c>
      <c r="R151" t="s">
        <v>38</v>
      </c>
    </row>
    <row r="152" spans="1:18" x14ac:dyDescent="0.3">
      <c r="A152" t="s">
        <v>2096</v>
      </c>
      <c r="B152" s="13">
        <v>45502</v>
      </c>
      <c r="C152" t="s">
        <v>2097</v>
      </c>
      <c r="D152" t="s">
        <v>445</v>
      </c>
      <c r="E152" t="s">
        <v>42</v>
      </c>
      <c r="F152" t="s">
        <v>22</v>
      </c>
      <c r="G152" t="s">
        <v>66</v>
      </c>
      <c r="H152">
        <v>3</v>
      </c>
      <c r="I152">
        <v>209.44</v>
      </c>
      <c r="J152">
        <v>0.25</v>
      </c>
      <c r="K152">
        <v>0</v>
      </c>
      <c r="L152">
        <v>1.46</v>
      </c>
      <c r="M152">
        <v>472.7</v>
      </c>
      <c r="N152" t="s">
        <v>67</v>
      </c>
      <c r="O152" t="s">
        <v>25</v>
      </c>
      <c r="P152" t="s">
        <v>117</v>
      </c>
      <c r="Q152" t="s">
        <v>118</v>
      </c>
      <c r="R152" t="s">
        <v>38</v>
      </c>
    </row>
    <row r="153" spans="1:18" x14ac:dyDescent="0.3">
      <c r="A153" t="s">
        <v>2115</v>
      </c>
      <c r="B153" s="13">
        <v>44332</v>
      </c>
      <c r="C153" t="s">
        <v>2116</v>
      </c>
      <c r="D153" t="s">
        <v>662</v>
      </c>
      <c r="E153" t="s">
        <v>577</v>
      </c>
      <c r="F153" t="s">
        <v>22</v>
      </c>
      <c r="G153" t="s">
        <v>90</v>
      </c>
      <c r="H153">
        <v>5</v>
      </c>
      <c r="I153">
        <v>214.19</v>
      </c>
      <c r="J153">
        <v>0.25</v>
      </c>
      <c r="K153">
        <v>40.159999999999997</v>
      </c>
      <c r="L153">
        <v>12.06</v>
      </c>
      <c r="M153">
        <v>855.43</v>
      </c>
      <c r="N153" t="s">
        <v>24</v>
      </c>
      <c r="O153" t="s">
        <v>107</v>
      </c>
      <c r="P153" t="s">
        <v>26</v>
      </c>
      <c r="Q153" t="s">
        <v>27</v>
      </c>
      <c r="R153" t="s">
        <v>38</v>
      </c>
    </row>
    <row r="154" spans="1:18" x14ac:dyDescent="0.3">
      <c r="A154" t="s">
        <v>2119</v>
      </c>
      <c r="B154" s="13">
        <v>44999</v>
      </c>
      <c r="C154" t="s">
        <v>2120</v>
      </c>
      <c r="D154" t="s">
        <v>645</v>
      </c>
      <c r="E154" t="s">
        <v>160</v>
      </c>
      <c r="F154" t="s">
        <v>22</v>
      </c>
      <c r="G154" t="s">
        <v>100</v>
      </c>
      <c r="H154">
        <v>4</v>
      </c>
      <c r="I154">
        <v>375.83</v>
      </c>
      <c r="J154">
        <v>0</v>
      </c>
      <c r="K154">
        <v>120.27</v>
      </c>
      <c r="L154">
        <v>12.07</v>
      </c>
      <c r="M154">
        <v>1635.66</v>
      </c>
      <c r="N154" t="s">
        <v>24</v>
      </c>
      <c r="O154" t="s">
        <v>25</v>
      </c>
      <c r="P154" t="s">
        <v>60</v>
      </c>
      <c r="Q154" t="s">
        <v>37</v>
      </c>
      <c r="R154" t="s">
        <v>38</v>
      </c>
    </row>
    <row r="155" spans="1:18" x14ac:dyDescent="0.3">
      <c r="A155" t="s">
        <v>2133</v>
      </c>
      <c r="B155" s="13">
        <v>44755</v>
      </c>
      <c r="C155" t="s">
        <v>2134</v>
      </c>
      <c r="D155" t="s">
        <v>501</v>
      </c>
      <c r="E155" t="s">
        <v>56</v>
      </c>
      <c r="F155" t="s">
        <v>22</v>
      </c>
      <c r="G155" t="s">
        <v>57</v>
      </c>
      <c r="H155">
        <v>1</v>
      </c>
      <c r="I155">
        <v>379.17</v>
      </c>
      <c r="J155">
        <v>0.15</v>
      </c>
      <c r="K155">
        <v>16.11</v>
      </c>
      <c r="L155">
        <v>13.58</v>
      </c>
      <c r="M155">
        <v>351.98</v>
      </c>
      <c r="N155" t="s">
        <v>35</v>
      </c>
      <c r="O155" t="s">
        <v>25</v>
      </c>
      <c r="P155" t="s">
        <v>145</v>
      </c>
      <c r="Q155" t="s">
        <v>146</v>
      </c>
      <c r="R155" t="s">
        <v>38</v>
      </c>
    </row>
    <row r="156" spans="1:18" x14ac:dyDescent="0.3">
      <c r="A156" t="s">
        <v>2144</v>
      </c>
      <c r="B156" s="13">
        <v>45448</v>
      </c>
      <c r="C156" t="s">
        <v>2145</v>
      </c>
      <c r="D156" t="s">
        <v>623</v>
      </c>
      <c r="E156" t="s">
        <v>94</v>
      </c>
      <c r="F156" t="s">
        <v>22</v>
      </c>
      <c r="G156" t="s">
        <v>90</v>
      </c>
      <c r="H156">
        <v>1</v>
      </c>
      <c r="I156">
        <v>540.33000000000004</v>
      </c>
      <c r="J156">
        <v>0</v>
      </c>
      <c r="K156">
        <v>43.23</v>
      </c>
      <c r="L156">
        <v>3.41</v>
      </c>
      <c r="M156">
        <v>586.97</v>
      </c>
      <c r="N156" t="s">
        <v>24</v>
      </c>
      <c r="O156" t="s">
        <v>25</v>
      </c>
      <c r="P156" t="s">
        <v>257</v>
      </c>
      <c r="Q156" t="s">
        <v>69</v>
      </c>
      <c r="R156" t="s">
        <v>183</v>
      </c>
    </row>
    <row r="157" spans="1:18" x14ac:dyDescent="0.3">
      <c r="A157" t="s">
        <v>2156</v>
      </c>
      <c r="B157" s="13">
        <v>44654</v>
      </c>
      <c r="C157" t="s">
        <v>2157</v>
      </c>
      <c r="D157" t="s">
        <v>336</v>
      </c>
      <c r="E157" t="s">
        <v>220</v>
      </c>
      <c r="F157" t="s">
        <v>22</v>
      </c>
      <c r="G157" t="s">
        <v>90</v>
      </c>
      <c r="H157">
        <v>5</v>
      </c>
      <c r="I157">
        <v>82.39</v>
      </c>
      <c r="J157">
        <v>0</v>
      </c>
      <c r="K157">
        <v>20.6</v>
      </c>
      <c r="L157">
        <v>12.4</v>
      </c>
      <c r="M157">
        <v>444.95</v>
      </c>
      <c r="N157" t="s">
        <v>35</v>
      </c>
      <c r="O157" t="s">
        <v>25</v>
      </c>
      <c r="P157" t="s">
        <v>95</v>
      </c>
      <c r="Q157" t="s">
        <v>37</v>
      </c>
      <c r="R157" t="s">
        <v>28</v>
      </c>
    </row>
    <row r="158" spans="1:18" x14ac:dyDescent="0.3">
      <c r="A158" t="s">
        <v>2166</v>
      </c>
      <c r="B158" s="13">
        <v>44859</v>
      </c>
      <c r="C158" t="s">
        <v>2167</v>
      </c>
      <c r="D158" t="s">
        <v>1020</v>
      </c>
      <c r="E158" t="s">
        <v>169</v>
      </c>
      <c r="F158" t="s">
        <v>22</v>
      </c>
      <c r="G158" t="s">
        <v>198</v>
      </c>
      <c r="H158">
        <v>3</v>
      </c>
      <c r="I158">
        <v>398.07</v>
      </c>
      <c r="J158">
        <v>0.25</v>
      </c>
      <c r="K158">
        <v>44.78</v>
      </c>
      <c r="L158">
        <v>5.64</v>
      </c>
      <c r="M158">
        <v>946.08</v>
      </c>
      <c r="N158" t="s">
        <v>58</v>
      </c>
      <c r="O158" t="s">
        <v>25</v>
      </c>
      <c r="P158" t="s">
        <v>83</v>
      </c>
      <c r="Q158" t="s">
        <v>84</v>
      </c>
      <c r="R158" t="s">
        <v>38</v>
      </c>
    </row>
    <row r="159" spans="1:18" x14ac:dyDescent="0.3">
      <c r="A159" t="s">
        <v>2174</v>
      </c>
      <c r="B159" s="13">
        <v>44204</v>
      </c>
      <c r="C159" t="s">
        <v>2175</v>
      </c>
      <c r="D159" t="s">
        <v>1020</v>
      </c>
      <c r="E159" t="s">
        <v>216</v>
      </c>
      <c r="F159" t="s">
        <v>22</v>
      </c>
      <c r="G159" t="s">
        <v>49</v>
      </c>
      <c r="H159">
        <v>1</v>
      </c>
      <c r="I159">
        <v>474.1</v>
      </c>
      <c r="J159">
        <v>0.2</v>
      </c>
      <c r="K159">
        <v>18.96</v>
      </c>
      <c r="L159">
        <v>12.15</v>
      </c>
      <c r="M159">
        <v>410.39</v>
      </c>
      <c r="N159" t="s">
        <v>58</v>
      </c>
      <c r="O159" t="s">
        <v>25</v>
      </c>
      <c r="P159" t="s">
        <v>68</v>
      </c>
      <c r="Q159" t="s">
        <v>69</v>
      </c>
      <c r="R159" t="s">
        <v>38</v>
      </c>
    </row>
    <row r="160" spans="1:18" x14ac:dyDescent="0.3">
      <c r="A160" t="s">
        <v>2176</v>
      </c>
      <c r="B160" s="13">
        <v>44919</v>
      </c>
      <c r="C160" t="s">
        <v>2177</v>
      </c>
      <c r="D160" t="s">
        <v>116</v>
      </c>
      <c r="E160" t="s">
        <v>48</v>
      </c>
      <c r="F160" t="s">
        <v>22</v>
      </c>
      <c r="G160" t="s">
        <v>57</v>
      </c>
      <c r="H160">
        <v>4</v>
      </c>
      <c r="I160">
        <v>95.55</v>
      </c>
      <c r="J160">
        <v>0.1</v>
      </c>
      <c r="K160">
        <v>17.2</v>
      </c>
      <c r="L160">
        <v>5.86</v>
      </c>
      <c r="M160">
        <v>367.04</v>
      </c>
      <c r="N160" t="s">
        <v>58</v>
      </c>
      <c r="O160" t="s">
        <v>25</v>
      </c>
      <c r="P160" t="s">
        <v>51</v>
      </c>
      <c r="Q160" t="s">
        <v>52</v>
      </c>
      <c r="R160" t="s">
        <v>28</v>
      </c>
    </row>
    <row r="161" spans="1:18" x14ac:dyDescent="0.3">
      <c r="A161" t="s">
        <v>2184</v>
      </c>
      <c r="B161" s="13">
        <v>44007</v>
      </c>
      <c r="C161" t="s">
        <v>2185</v>
      </c>
      <c r="D161" t="s">
        <v>904</v>
      </c>
      <c r="E161" t="s">
        <v>21</v>
      </c>
      <c r="F161" t="s">
        <v>22</v>
      </c>
      <c r="G161" t="s">
        <v>268</v>
      </c>
      <c r="H161">
        <v>1</v>
      </c>
      <c r="I161">
        <v>325.77</v>
      </c>
      <c r="J161">
        <v>0.15</v>
      </c>
      <c r="K161">
        <v>33.229999999999997</v>
      </c>
      <c r="L161">
        <v>6.01</v>
      </c>
      <c r="M161">
        <v>316.14</v>
      </c>
      <c r="N161" t="s">
        <v>58</v>
      </c>
      <c r="O161" t="s">
        <v>25</v>
      </c>
      <c r="P161" t="s">
        <v>257</v>
      </c>
      <c r="Q161" t="s">
        <v>69</v>
      </c>
      <c r="R161" t="s">
        <v>28</v>
      </c>
    </row>
    <row r="162" spans="1:18" x14ac:dyDescent="0.3">
      <c r="A162" t="s">
        <v>2186</v>
      </c>
      <c r="B162" s="13">
        <v>45633</v>
      </c>
      <c r="C162" t="s">
        <v>2187</v>
      </c>
      <c r="D162" t="s">
        <v>1268</v>
      </c>
      <c r="E162" t="s">
        <v>106</v>
      </c>
      <c r="F162" t="s">
        <v>22</v>
      </c>
      <c r="G162" t="s">
        <v>198</v>
      </c>
      <c r="H162">
        <v>3</v>
      </c>
      <c r="I162">
        <v>433.01</v>
      </c>
      <c r="J162">
        <v>0.15</v>
      </c>
      <c r="K162">
        <v>55.21</v>
      </c>
      <c r="L162">
        <v>3.77</v>
      </c>
      <c r="M162">
        <v>1163.1600000000001</v>
      </c>
      <c r="N162" t="s">
        <v>35</v>
      </c>
      <c r="O162" t="s">
        <v>25</v>
      </c>
      <c r="P162" t="s">
        <v>178</v>
      </c>
      <c r="Q162" t="s">
        <v>69</v>
      </c>
      <c r="R162" t="s">
        <v>38</v>
      </c>
    </row>
    <row r="163" spans="1:18" x14ac:dyDescent="0.3">
      <c r="A163" t="s">
        <v>2202</v>
      </c>
      <c r="B163" s="13">
        <v>45315</v>
      </c>
      <c r="C163" t="s">
        <v>2203</v>
      </c>
      <c r="D163" t="s">
        <v>55</v>
      </c>
      <c r="E163" t="s">
        <v>437</v>
      </c>
      <c r="F163" t="s">
        <v>22</v>
      </c>
      <c r="G163" t="s">
        <v>34</v>
      </c>
      <c r="H163">
        <v>5</v>
      </c>
      <c r="I163">
        <v>434.27</v>
      </c>
      <c r="J163">
        <v>0.2</v>
      </c>
      <c r="K163">
        <v>0</v>
      </c>
      <c r="L163">
        <v>9.69</v>
      </c>
      <c r="M163">
        <v>1746.77</v>
      </c>
      <c r="N163" t="s">
        <v>24</v>
      </c>
      <c r="O163" t="s">
        <v>25</v>
      </c>
      <c r="P163" t="s">
        <v>145</v>
      </c>
      <c r="Q163" t="s">
        <v>146</v>
      </c>
      <c r="R163" t="s">
        <v>183</v>
      </c>
    </row>
    <row r="164" spans="1:18" x14ac:dyDescent="0.3">
      <c r="A164" t="s">
        <v>2204</v>
      </c>
      <c r="B164" s="13">
        <v>45464</v>
      </c>
      <c r="C164" t="s">
        <v>2205</v>
      </c>
      <c r="D164" t="s">
        <v>276</v>
      </c>
      <c r="E164" t="s">
        <v>425</v>
      </c>
      <c r="F164" t="s">
        <v>22</v>
      </c>
      <c r="G164" t="s">
        <v>34</v>
      </c>
      <c r="H164">
        <v>5</v>
      </c>
      <c r="I164">
        <v>70.27</v>
      </c>
      <c r="J164">
        <v>0.1</v>
      </c>
      <c r="K164">
        <v>15.81</v>
      </c>
      <c r="L164">
        <v>6.23</v>
      </c>
      <c r="M164">
        <v>338.26</v>
      </c>
      <c r="N164" t="s">
        <v>58</v>
      </c>
      <c r="O164" t="s">
        <v>25</v>
      </c>
      <c r="P164" t="s">
        <v>26</v>
      </c>
      <c r="Q164" t="s">
        <v>27</v>
      </c>
      <c r="R164" t="s">
        <v>38</v>
      </c>
    </row>
    <row r="165" spans="1:18" x14ac:dyDescent="0.3">
      <c r="A165" t="s">
        <v>2214</v>
      </c>
      <c r="B165" s="13">
        <v>44235</v>
      </c>
      <c r="C165" t="s">
        <v>2215</v>
      </c>
      <c r="D165" t="s">
        <v>368</v>
      </c>
      <c r="E165" t="s">
        <v>597</v>
      </c>
      <c r="F165" t="s">
        <v>22</v>
      </c>
      <c r="G165" t="s">
        <v>198</v>
      </c>
      <c r="H165">
        <v>5</v>
      </c>
      <c r="I165">
        <v>104.94</v>
      </c>
      <c r="J165">
        <v>0</v>
      </c>
      <c r="K165">
        <v>26.24</v>
      </c>
      <c r="L165">
        <v>7.71</v>
      </c>
      <c r="M165">
        <v>558.65</v>
      </c>
      <c r="N165" t="s">
        <v>24</v>
      </c>
      <c r="O165" t="s">
        <v>59</v>
      </c>
      <c r="P165" t="s">
        <v>26</v>
      </c>
      <c r="Q165" t="s">
        <v>27</v>
      </c>
      <c r="R165" t="s">
        <v>28</v>
      </c>
    </row>
    <row r="166" spans="1:18" x14ac:dyDescent="0.3">
      <c r="A166" t="s">
        <v>2216</v>
      </c>
      <c r="B166" s="13">
        <v>44653</v>
      </c>
      <c r="C166" t="s">
        <v>2217</v>
      </c>
      <c r="D166" t="s">
        <v>696</v>
      </c>
      <c r="E166" t="s">
        <v>597</v>
      </c>
      <c r="F166" t="s">
        <v>22</v>
      </c>
      <c r="G166" t="s">
        <v>23</v>
      </c>
      <c r="H166">
        <v>3</v>
      </c>
      <c r="I166">
        <v>469.04</v>
      </c>
      <c r="J166">
        <v>0.1</v>
      </c>
      <c r="K166">
        <v>63.32</v>
      </c>
      <c r="L166">
        <v>7.86</v>
      </c>
      <c r="M166">
        <v>1337.59</v>
      </c>
      <c r="N166" t="s">
        <v>24</v>
      </c>
      <c r="O166" t="s">
        <v>25</v>
      </c>
      <c r="P166" t="s">
        <v>124</v>
      </c>
      <c r="Q166" t="s">
        <v>125</v>
      </c>
      <c r="R166" t="s">
        <v>38</v>
      </c>
    </row>
    <row r="167" spans="1:18" x14ac:dyDescent="0.3">
      <c r="A167" t="s">
        <v>2218</v>
      </c>
      <c r="B167" s="13">
        <v>44348</v>
      </c>
      <c r="C167" t="s">
        <v>2219</v>
      </c>
      <c r="D167" t="s">
        <v>701</v>
      </c>
      <c r="E167" t="s">
        <v>106</v>
      </c>
      <c r="F167" t="s">
        <v>22</v>
      </c>
      <c r="G167" t="s">
        <v>49</v>
      </c>
      <c r="H167">
        <v>1</v>
      </c>
      <c r="I167">
        <v>499.05</v>
      </c>
      <c r="J167">
        <v>0.3</v>
      </c>
      <c r="K167">
        <v>62.88</v>
      </c>
      <c r="L167">
        <v>6.73</v>
      </c>
      <c r="M167">
        <v>418.94</v>
      </c>
      <c r="N167" t="s">
        <v>24</v>
      </c>
      <c r="O167" t="s">
        <v>25</v>
      </c>
      <c r="P167" t="s">
        <v>83</v>
      </c>
      <c r="Q167" t="s">
        <v>84</v>
      </c>
      <c r="R167" t="s">
        <v>38</v>
      </c>
    </row>
    <row r="168" spans="1:18" x14ac:dyDescent="0.3">
      <c r="A168" t="s">
        <v>2232</v>
      </c>
      <c r="B168" s="13">
        <v>44827</v>
      </c>
      <c r="C168" t="s">
        <v>2233</v>
      </c>
      <c r="D168" t="s">
        <v>1176</v>
      </c>
      <c r="E168" t="s">
        <v>177</v>
      </c>
      <c r="F168" t="s">
        <v>22</v>
      </c>
      <c r="G168" t="s">
        <v>203</v>
      </c>
      <c r="H168">
        <v>3</v>
      </c>
      <c r="I168">
        <v>151.82</v>
      </c>
      <c r="J168">
        <v>0.15</v>
      </c>
      <c r="K168">
        <v>0</v>
      </c>
      <c r="L168">
        <v>5.61</v>
      </c>
      <c r="M168">
        <v>392.75</v>
      </c>
      <c r="N168" t="s">
        <v>58</v>
      </c>
      <c r="O168" t="s">
        <v>25</v>
      </c>
      <c r="P168" t="s">
        <v>112</v>
      </c>
      <c r="Q168" t="s">
        <v>113</v>
      </c>
      <c r="R168" t="s">
        <v>38</v>
      </c>
    </row>
    <row r="169" spans="1:18" x14ac:dyDescent="0.3">
      <c r="A169" t="s">
        <v>2236</v>
      </c>
      <c r="B169" s="13">
        <v>44507</v>
      </c>
      <c r="C169" t="s">
        <v>2237</v>
      </c>
      <c r="D169" t="s">
        <v>168</v>
      </c>
      <c r="E169" t="s">
        <v>164</v>
      </c>
      <c r="F169" t="s">
        <v>22</v>
      </c>
      <c r="G169" t="s">
        <v>198</v>
      </c>
      <c r="H169">
        <v>4</v>
      </c>
      <c r="I169">
        <v>31.14</v>
      </c>
      <c r="J169">
        <v>0</v>
      </c>
      <c r="K169">
        <v>0</v>
      </c>
      <c r="L169">
        <v>10.01</v>
      </c>
      <c r="M169">
        <v>134.57</v>
      </c>
      <c r="N169" t="s">
        <v>58</v>
      </c>
      <c r="O169" t="s">
        <v>144</v>
      </c>
      <c r="P169" t="s">
        <v>178</v>
      </c>
      <c r="Q169" t="s">
        <v>69</v>
      </c>
      <c r="R169" t="s">
        <v>38</v>
      </c>
    </row>
    <row r="170" spans="1:18" x14ac:dyDescent="0.3">
      <c r="A170" t="s">
        <v>2255</v>
      </c>
      <c r="B170" s="13">
        <v>43881</v>
      </c>
      <c r="C170" t="s">
        <v>2256</v>
      </c>
      <c r="D170" t="s">
        <v>1349</v>
      </c>
      <c r="E170" t="s">
        <v>437</v>
      </c>
      <c r="F170" t="s">
        <v>22</v>
      </c>
      <c r="G170" t="s">
        <v>268</v>
      </c>
      <c r="H170">
        <v>4</v>
      </c>
      <c r="I170">
        <v>278</v>
      </c>
      <c r="J170">
        <v>0.2</v>
      </c>
      <c r="K170">
        <v>71.17</v>
      </c>
      <c r="L170">
        <v>13.7</v>
      </c>
      <c r="M170">
        <v>974.47</v>
      </c>
      <c r="N170" t="s">
        <v>67</v>
      </c>
      <c r="O170" t="s">
        <v>107</v>
      </c>
      <c r="P170" t="s">
        <v>68</v>
      </c>
      <c r="Q170" t="s">
        <v>69</v>
      </c>
      <c r="R170" t="s">
        <v>38</v>
      </c>
    </row>
    <row r="171" spans="1:18" x14ac:dyDescent="0.3">
      <c r="A171" t="s">
        <v>2259</v>
      </c>
      <c r="B171" s="13">
        <v>44547</v>
      </c>
      <c r="C171" t="s">
        <v>2260</v>
      </c>
      <c r="D171" t="s">
        <v>904</v>
      </c>
      <c r="E171" t="s">
        <v>111</v>
      </c>
      <c r="F171" t="s">
        <v>22</v>
      </c>
      <c r="G171" t="s">
        <v>268</v>
      </c>
      <c r="H171">
        <v>3</v>
      </c>
      <c r="I171">
        <v>198.44</v>
      </c>
      <c r="J171">
        <v>0</v>
      </c>
      <c r="K171">
        <v>47.63</v>
      </c>
      <c r="L171">
        <v>10.1</v>
      </c>
      <c r="M171">
        <v>653.04999999999995</v>
      </c>
      <c r="N171" t="s">
        <v>58</v>
      </c>
      <c r="O171" t="s">
        <v>25</v>
      </c>
      <c r="P171" t="s">
        <v>68</v>
      </c>
      <c r="Q171" t="s">
        <v>69</v>
      </c>
      <c r="R171" t="s">
        <v>183</v>
      </c>
    </row>
    <row r="172" spans="1:18" x14ac:dyDescent="0.3">
      <c r="A172" t="s">
        <v>2300</v>
      </c>
      <c r="B172" s="13">
        <v>44066</v>
      </c>
      <c r="C172" t="s">
        <v>2301</v>
      </c>
      <c r="D172" t="s">
        <v>255</v>
      </c>
      <c r="E172" t="s">
        <v>132</v>
      </c>
      <c r="F172" t="s">
        <v>22</v>
      </c>
      <c r="G172" t="s">
        <v>203</v>
      </c>
      <c r="H172">
        <v>5</v>
      </c>
      <c r="I172">
        <v>240.73</v>
      </c>
      <c r="J172">
        <v>0.15</v>
      </c>
      <c r="K172">
        <v>81.849999999999994</v>
      </c>
      <c r="L172">
        <v>6.73</v>
      </c>
      <c r="M172">
        <v>1111.68</v>
      </c>
      <c r="N172" t="s">
        <v>35</v>
      </c>
      <c r="O172" t="s">
        <v>25</v>
      </c>
      <c r="P172" t="s">
        <v>178</v>
      </c>
      <c r="Q172" t="s">
        <v>69</v>
      </c>
      <c r="R172" t="s">
        <v>38</v>
      </c>
    </row>
    <row r="173" spans="1:18" x14ac:dyDescent="0.3">
      <c r="A173" t="s">
        <v>39</v>
      </c>
      <c r="B173" s="13">
        <v>44691</v>
      </c>
      <c r="C173" t="s">
        <v>40</v>
      </c>
      <c r="D173" t="s">
        <v>41</v>
      </c>
      <c r="E173" t="s">
        <v>42</v>
      </c>
      <c r="F173" t="s">
        <v>43</v>
      </c>
      <c r="G173" t="s">
        <v>34</v>
      </c>
      <c r="H173">
        <v>3</v>
      </c>
      <c r="I173">
        <v>35.03</v>
      </c>
      <c r="J173">
        <v>0.1</v>
      </c>
      <c r="K173">
        <v>7.57</v>
      </c>
      <c r="L173">
        <v>5.91</v>
      </c>
      <c r="M173">
        <v>108.06</v>
      </c>
      <c r="N173" t="s">
        <v>24</v>
      </c>
      <c r="O173" t="s">
        <v>25</v>
      </c>
      <c r="P173" t="s">
        <v>44</v>
      </c>
      <c r="Q173" t="s">
        <v>37</v>
      </c>
      <c r="R173" t="s">
        <v>38</v>
      </c>
    </row>
    <row r="174" spans="1:18" x14ac:dyDescent="0.3">
      <c r="A174" t="s">
        <v>53</v>
      </c>
      <c r="B174" s="13">
        <v>44961</v>
      </c>
      <c r="C174" t="s">
        <v>54</v>
      </c>
      <c r="D174" t="s">
        <v>55</v>
      </c>
      <c r="E174" t="s">
        <v>56</v>
      </c>
      <c r="F174" t="s">
        <v>43</v>
      </c>
      <c r="G174" t="s">
        <v>57</v>
      </c>
      <c r="H174">
        <v>2</v>
      </c>
      <c r="I174">
        <v>515.64</v>
      </c>
      <c r="J174">
        <v>0.25</v>
      </c>
      <c r="K174">
        <v>38.67</v>
      </c>
      <c r="L174">
        <v>9.23</v>
      </c>
      <c r="M174">
        <v>821.36</v>
      </c>
      <c r="N174" t="s">
        <v>58</v>
      </c>
      <c r="O174" t="s">
        <v>59</v>
      </c>
      <c r="P174" t="s">
        <v>60</v>
      </c>
      <c r="Q174" t="s">
        <v>37</v>
      </c>
      <c r="R174" t="s">
        <v>61</v>
      </c>
    </row>
    <row r="175" spans="1:18" x14ac:dyDescent="0.3">
      <c r="A175" t="s">
        <v>70</v>
      </c>
      <c r="B175" s="13">
        <v>45555</v>
      </c>
      <c r="C175" t="s">
        <v>71</v>
      </c>
      <c r="D175" t="s">
        <v>72</v>
      </c>
      <c r="E175" t="s">
        <v>73</v>
      </c>
      <c r="F175" t="s">
        <v>43</v>
      </c>
      <c r="G175" t="s">
        <v>34</v>
      </c>
      <c r="H175">
        <v>2</v>
      </c>
      <c r="I175">
        <v>219.81</v>
      </c>
      <c r="J175">
        <v>0.2</v>
      </c>
      <c r="K175">
        <v>28.14</v>
      </c>
      <c r="L175">
        <v>14.97</v>
      </c>
      <c r="M175">
        <v>394.81</v>
      </c>
      <c r="N175" t="s">
        <v>67</v>
      </c>
      <c r="O175" t="s">
        <v>25</v>
      </c>
      <c r="P175" t="s">
        <v>74</v>
      </c>
      <c r="Q175" t="s">
        <v>75</v>
      </c>
      <c r="R175" t="s">
        <v>76</v>
      </c>
    </row>
    <row r="176" spans="1:18" x14ac:dyDescent="0.3">
      <c r="A176" t="s">
        <v>91</v>
      </c>
      <c r="B176" s="13">
        <v>43952</v>
      </c>
      <c r="C176" t="s">
        <v>92</v>
      </c>
      <c r="D176" t="s">
        <v>93</v>
      </c>
      <c r="E176" t="s">
        <v>94</v>
      </c>
      <c r="F176" t="s">
        <v>43</v>
      </c>
      <c r="G176" t="s">
        <v>90</v>
      </c>
      <c r="H176">
        <v>2</v>
      </c>
      <c r="I176">
        <v>278.20999999999998</v>
      </c>
      <c r="J176">
        <v>0.1</v>
      </c>
      <c r="K176">
        <v>60.09</v>
      </c>
      <c r="L176">
        <v>4.88</v>
      </c>
      <c r="M176">
        <v>565.75</v>
      </c>
      <c r="N176" t="s">
        <v>58</v>
      </c>
      <c r="O176" t="s">
        <v>25</v>
      </c>
      <c r="P176" t="s">
        <v>95</v>
      </c>
      <c r="Q176" t="s">
        <v>37</v>
      </c>
      <c r="R176" t="s">
        <v>38</v>
      </c>
    </row>
    <row r="177" spans="1:18" x14ac:dyDescent="0.3">
      <c r="A177" t="s">
        <v>170</v>
      </c>
      <c r="B177" s="13">
        <v>45268</v>
      </c>
      <c r="C177" t="s">
        <v>171</v>
      </c>
      <c r="D177" t="s">
        <v>172</v>
      </c>
      <c r="E177" t="s">
        <v>73</v>
      </c>
      <c r="F177" t="s">
        <v>43</v>
      </c>
      <c r="G177" t="s">
        <v>90</v>
      </c>
      <c r="H177">
        <v>4</v>
      </c>
      <c r="I177">
        <v>380.23</v>
      </c>
      <c r="J177">
        <v>0.2</v>
      </c>
      <c r="K177">
        <v>60.84</v>
      </c>
      <c r="L177">
        <v>9.2799999999999994</v>
      </c>
      <c r="M177">
        <v>1286.8599999999999</v>
      </c>
      <c r="N177" t="s">
        <v>35</v>
      </c>
      <c r="O177" t="s">
        <v>82</v>
      </c>
      <c r="P177" t="s">
        <v>173</v>
      </c>
      <c r="Q177" t="s">
        <v>174</v>
      </c>
      <c r="R177" t="s">
        <v>61</v>
      </c>
    </row>
    <row r="178" spans="1:18" x14ac:dyDescent="0.3">
      <c r="A178" t="s">
        <v>204</v>
      </c>
      <c r="B178" s="13">
        <v>45168</v>
      </c>
      <c r="C178" t="s">
        <v>205</v>
      </c>
      <c r="D178" t="s">
        <v>206</v>
      </c>
      <c r="E178" t="s">
        <v>99</v>
      </c>
      <c r="F178" t="s">
        <v>43</v>
      </c>
      <c r="G178" t="s">
        <v>100</v>
      </c>
      <c r="H178">
        <v>1</v>
      </c>
      <c r="I178">
        <v>218.74</v>
      </c>
      <c r="J178">
        <v>0</v>
      </c>
      <c r="K178">
        <v>10.94</v>
      </c>
      <c r="L178">
        <v>12.22</v>
      </c>
      <c r="M178">
        <v>241.9</v>
      </c>
      <c r="N178" t="s">
        <v>58</v>
      </c>
      <c r="O178" t="s">
        <v>25</v>
      </c>
      <c r="P178" t="s">
        <v>44</v>
      </c>
      <c r="Q178" t="s">
        <v>37</v>
      </c>
      <c r="R178" t="s">
        <v>38</v>
      </c>
    </row>
    <row r="179" spans="1:18" x14ac:dyDescent="0.3">
      <c r="A179" t="s">
        <v>280</v>
      </c>
      <c r="B179" s="13">
        <v>45339</v>
      </c>
      <c r="C179" t="s">
        <v>281</v>
      </c>
      <c r="D179" t="s">
        <v>282</v>
      </c>
      <c r="E179" t="s">
        <v>283</v>
      </c>
      <c r="F179" t="s">
        <v>43</v>
      </c>
      <c r="G179" t="s">
        <v>34</v>
      </c>
      <c r="H179">
        <v>5</v>
      </c>
      <c r="I179">
        <v>182.55</v>
      </c>
      <c r="J179">
        <v>0</v>
      </c>
      <c r="K179">
        <v>45.64</v>
      </c>
      <c r="L179">
        <v>12.08</v>
      </c>
      <c r="M179">
        <v>970.47</v>
      </c>
      <c r="N179" t="s">
        <v>67</v>
      </c>
      <c r="O179" t="s">
        <v>25</v>
      </c>
      <c r="P179" t="s">
        <v>150</v>
      </c>
      <c r="Q179" t="s">
        <v>69</v>
      </c>
      <c r="R179" t="s">
        <v>61</v>
      </c>
    </row>
    <row r="180" spans="1:18" x14ac:dyDescent="0.3">
      <c r="A180" t="s">
        <v>310</v>
      </c>
      <c r="B180" s="13">
        <v>44072</v>
      </c>
      <c r="C180" t="s">
        <v>311</v>
      </c>
      <c r="D180" t="s">
        <v>312</v>
      </c>
      <c r="E180" t="s">
        <v>169</v>
      </c>
      <c r="F180" t="s">
        <v>43</v>
      </c>
      <c r="G180" t="s">
        <v>49</v>
      </c>
      <c r="H180">
        <v>4</v>
      </c>
      <c r="I180">
        <v>129.9</v>
      </c>
      <c r="J180">
        <v>0.05</v>
      </c>
      <c r="K180">
        <v>59.23</v>
      </c>
      <c r="L180">
        <v>9.1300000000000008</v>
      </c>
      <c r="M180">
        <v>561.98</v>
      </c>
      <c r="N180" t="s">
        <v>123</v>
      </c>
      <c r="O180" t="s">
        <v>25</v>
      </c>
      <c r="P180" t="s">
        <v>124</v>
      </c>
      <c r="Q180" t="s">
        <v>125</v>
      </c>
      <c r="R180" t="s">
        <v>38</v>
      </c>
    </row>
    <row r="181" spans="1:18" x14ac:dyDescent="0.3">
      <c r="A181" t="s">
        <v>334</v>
      </c>
      <c r="B181" s="13">
        <v>44786</v>
      </c>
      <c r="C181" t="s">
        <v>335</v>
      </c>
      <c r="D181" t="s">
        <v>336</v>
      </c>
      <c r="E181" t="s">
        <v>156</v>
      </c>
      <c r="F181" t="s">
        <v>43</v>
      </c>
      <c r="G181" t="s">
        <v>203</v>
      </c>
      <c r="H181">
        <v>4</v>
      </c>
      <c r="I181">
        <v>437.47</v>
      </c>
      <c r="J181">
        <v>0</v>
      </c>
      <c r="K181">
        <v>314.98</v>
      </c>
      <c r="L181">
        <v>8.82</v>
      </c>
      <c r="M181">
        <v>2073.6799999999998</v>
      </c>
      <c r="N181" t="s">
        <v>58</v>
      </c>
      <c r="O181" t="s">
        <v>107</v>
      </c>
      <c r="P181" t="s">
        <v>133</v>
      </c>
      <c r="Q181" t="s">
        <v>134</v>
      </c>
      <c r="R181" t="s">
        <v>61</v>
      </c>
    </row>
    <row r="182" spans="1:18" x14ac:dyDescent="0.3">
      <c r="A182" t="s">
        <v>376</v>
      </c>
      <c r="B182" s="13">
        <v>45626</v>
      </c>
      <c r="C182" t="s">
        <v>377</v>
      </c>
      <c r="D182" t="s">
        <v>219</v>
      </c>
      <c r="E182" t="s">
        <v>287</v>
      </c>
      <c r="F182" t="s">
        <v>43</v>
      </c>
      <c r="G182" t="s">
        <v>268</v>
      </c>
      <c r="H182">
        <v>5</v>
      </c>
      <c r="I182">
        <v>201.16</v>
      </c>
      <c r="J182">
        <v>0.2</v>
      </c>
      <c r="K182">
        <v>64.37</v>
      </c>
      <c r="L182">
        <v>9.3800000000000008</v>
      </c>
      <c r="M182">
        <v>878.39</v>
      </c>
      <c r="N182" t="s">
        <v>67</v>
      </c>
      <c r="O182" t="s">
        <v>25</v>
      </c>
      <c r="P182" t="s">
        <v>83</v>
      </c>
      <c r="Q182" t="s">
        <v>84</v>
      </c>
      <c r="R182" t="s">
        <v>38</v>
      </c>
    </row>
    <row r="183" spans="1:18" x14ac:dyDescent="0.3">
      <c r="A183" t="s">
        <v>383</v>
      </c>
      <c r="B183" s="13">
        <v>44232</v>
      </c>
      <c r="C183" t="s">
        <v>384</v>
      </c>
      <c r="D183" t="s">
        <v>385</v>
      </c>
      <c r="E183" t="s">
        <v>386</v>
      </c>
      <c r="F183" t="s">
        <v>43</v>
      </c>
      <c r="G183" t="s">
        <v>100</v>
      </c>
      <c r="H183">
        <v>4</v>
      </c>
      <c r="I183">
        <v>409.78</v>
      </c>
      <c r="J183">
        <v>0</v>
      </c>
      <c r="K183">
        <v>295.04000000000002</v>
      </c>
      <c r="L183">
        <v>14.29</v>
      </c>
      <c r="M183">
        <v>1948.45</v>
      </c>
      <c r="N183" t="s">
        <v>67</v>
      </c>
      <c r="O183" t="s">
        <v>107</v>
      </c>
      <c r="P183" t="s">
        <v>165</v>
      </c>
      <c r="Q183" t="s">
        <v>37</v>
      </c>
      <c r="R183" t="s">
        <v>38</v>
      </c>
    </row>
    <row r="184" spans="1:18" x14ac:dyDescent="0.3">
      <c r="A184" t="s">
        <v>422</v>
      </c>
      <c r="B184" s="13">
        <v>45556</v>
      </c>
      <c r="C184" t="s">
        <v>423</v>
      </c>
      <c r="D184" t="s">
        <v>424</v>
      </c>
      <c r="E184" t="s">
        <v>425</v>
      </c>
      <c r="F184" t="s">
        <v>43</v>
      </c>
      <c r="G184" t="s">
        <v>100</v>
      </c>
      <c r="H184">
        <v>1</v>
      </c>
      <c r="I184">
        <v>483.5</v>
      </c>
      <c r="J184">
        <v>0</v>
      </c>
      <c r="K184">
        <v>38.68</v>
      </c>
      <c r="L184">
        <v>4.62</v>
      </c>
      <c r="M184">
        <v>526.79999999999995</v>
      </c>
      <c r="N184" t="s">
        <v>24</v>
      </c>
      <c r="O184" t="s">
        <v>25</v>
      </c>
      <c r="P184" t="s">
        <v>68</v>
      </c>
      <c r="Q184" t="s">
        <v>69</v>
      </c>
      <c r="R184" t="s">
        <v>38</v>
      </c>
    </row>
    <row r="185" spans="1:18" x14ac:dyDescent="0.3">
      <c r="A185" t="s">
        <v>430</v>
      </c>
      <c r="B185" s="13">
        <v>44550</v>
      </c>
      <c r="C185" t="s">
        <v>431</v>
      </c>
      <c r="D185" t="s">
        <v>181</v>
      </c>
      <c r="E185" t="s">
        <v>56</v>
      </c>
      <c r="F185" t="s">
        <v>43</v>
      </c>
      <c r="G185" t="s">
        <v>23</v>
      </c>
      <c r="H185">
        <v>5</v>
      </c>
      <c r="I185">
        <v>61.48</v>
      </c>
      <c r="J185">
        <v>0</v>
      </c>
      <c r="K185">
        <v>55.33</v>
      </c>
      <c r="L185">
        <v>2.64</v>
      </c>
      <c r="M185">
        <v>365.37</v>
      </c>
      <c r="N185" t="s">
        <v>35</v>
      </c>
      <c r="O185" t="s">
        <v>25</v>
      </c>
      <c r="P185" t="s">
        <v>60</v>
      </c>
      <c r="Q185" t="s">
        <v>37</v>
      </c>
      <c r="R185" t="s">
        <v>38</v>
      </c>
    </row>
    <row r="186" spans="1:18" x14ac:dyDescent="0.3">
      <c r="A186" t="s">
        <v>438</v>
      </c>
      <c r="B186" s="13">
        <v>44709</v>
      </c>
      <c r="C186" t="s">
        <v>439</v>
      </c>
      <c r="D186" t="s">
        <v>440</v>
      </c>
      <c r="E186" t="s">
        <v>177</v>
      </c>
      <c r="F186" t="s">
        <v>43</v>
      </c>
      <c r="G186" t="s">
        <v>100</v>
      </c>
      <c r="H186">
        <v>2</v>
      </c>
      <c r="I186">
        <v>103.29</v>
      </c>
      <c r="J186">
        <v>0.2</v>
      </c>
      <c r="K186">
        <v>0</v>
      </c>
      <c r="L186">
        <v>0.55000000000000004</v>
      </c>
      <c r="M186">
        <v>165.81</v>
      </c>
      <c r="N186" t="s">
        <v>35</v>
      </c>
      <c r="O186" t="s">
        <v>107</v>
      </c>
      <c r="P186" t="s">
        <v>60</v>
      </c>
      <c r="Q186" t="s">
        <v>37</v>
      </c>
      <c r="R186" t="s">
        <v>38</v>
      </c>
    </row>
    <row r="187" spans="1:18" x14ac:dyDescent="0.3">
      <c r="A187" t="s">
        <v>446</v>
      </c>
      <c r="B187" s="13">
        <v>44047</v>
      </c>
      <c r="C187" t="s">
        <v>447</v>
      </c>
      <c r="D187" t="s">
        <v>137</v>
      </c>
      <c r="E187" t="s">
        <v>106</v>
      </c>
      <c r="F187" t="s">
        <v>43</v>
      </c>
      <c r="G187" t="s">
        <v>100</v>
      </c>
      <c r="H187">
        <v>2</v>
      </c>
      <c r="I187">
        <v>25.31</v>
      </c>
      <c r="J187">
        <v>0</v>
      </c>
      <c r="K187">
        <v>0</v>
      </c>
      <c r="L187">
        <v>14.69</v>
      </c>
      <c r="M187">
        <v>65.31</v>
      </c>
      <c r="N187" t="s">
        <v>24</v>
      </c>
      <c r="O187" t="s">
        <v>107</v>
      </c>
      <c r="P187" t="s">
        <v>36</v>
      </c>
      <c r="Q187" t="s">
        <v>37</v>
      </c>
      <c r="R187" t="s">
        <v>38</v>
      </c>
    </row>
    <row r="188" spans="1:18" x14ac:dyDescent="0.3">
      <c r="A188" t="s">
        <v>463</v>
      </c>
      <c r="B188" s="13">
        <v>43845</v>
      </c>
      <c r="C188" t="s">
        <v>464</v>
      </c>
      <c r="D188" t="s">
        <v>159</v>
      </c>
      <c r="E188" t="s">
        <v>392</v>
      </c>
      <c r="F188" t="s">
        <v>43</v>
      </c>
      <c r="G188" t="s">
        <v>100</v>
      </c>
      <c r="H188">
        <v>2</v>
      </c>
      <c r="I188">
        <v>48.99</v>
      </c>
      <c r="J188">
        <v>0.25</v>
      </c>
      <c r="K188">
        <v>3.67</v>
      </c>
      <c r="L188">
        <v>1.59</v>
      </c>
      <c r="M188">
        <v>78.739999999999995</v>
      </c>
      <c r="N188" t="s">
        <v>35</v>
      </c>
      <c r="O188" t="s">
        <v>25</v>
      </c>
      <c r="P188" t="s">
        <v>257</v>
      </c>
      <c r="Q188" t="s">
        <v>69</v>
      </c>
      <c r="R188" t="s">
        <v>38</v>
      </c>
    </row>
    <row r="189" spans="1:18" x14ac:dyDescent="0.3">
      <c r="A189" t="s">
        <v>484</v>
      </c>
      <c r="B189" s="13">
        <v>44993</v>
      </c>
      <c r="C189" t="s">
        <v>485</v>
      </c>
      <c r="D189" t="s">
        <v>486</v>
      </c>
      <c r="E189" t="s">
        <v>80</v>
      </c>
      <c r="F189" t="s">
        <v>43</v>
      </c>
      <c r="G189" t="s">
        <v>49</v>
      </c>
      <c r="H189">
        <v>3</v>
      </c>
      <c r="I189">
        <v>496.12</v>
      </c>
      <c r="J189">
        <v>0</v>
      </c>
      <c r="K189">
        <v>74.42</v>
      </c>
      <c r="L189">
        <v>5.91</v>
      </c>
      <c r="M189">
        <v>1568.69</v>
      </c>
      <c r="N189" t="s">
        <v>123</v>
      </c>
      <c r="O189" t="s">
        <v>144</v>
      </c>
      <c r="P189" t="s">
        <v>51</v>
      </c>
      <c r="Q189" t="s">
        <v>52</v>
      </c>
      <c r="R189" t="s">
        <v>76</v>
      </c>
    </row>
    <row r="190" spans="1:18" x14ac:dyDescent="0.3">
      <c r="A190" t="s">
        <v>487</v>
      </c>
      <c r="B190" s="13">
        <v>45353</v>
      </c>
      <c r="C190" t="s">
        <v>488</v>
      </c>
      <c r="D190" t="s">
        <v>196</v>
      </c>
      <c r="E190" t="s">
        <v>340</v>
      </c>
      <c r="F190" t="s">
        <v>43</v>
      </c>
      <c r="G190" t="s">
        <v>57</v>
      </c>
      <c r="H190">
        <v>3</v>
      </c>
      <c r="I190">
        <v>497.74</v>
      </c>
      <c r="J190">
        <v>0</v>
      </c>
      <c r="K190">
        <v>179.19</v>
      </c>
      <c r="L190">
        <v>7.58</v>
      </c>
      <c r="M190">
        <v>1679.99</v>
      </c>
      <c r="N190" t="s">
        <v>58</v>
      </c>
      <c r="O190" t="s">
        <v>25</v>
      </c>
      <c r="P190" t="s">
        <v>117</v>
      </c>
      <c r="Q190" t="s">
        <v>118</v>
      </c>
      <c r="R190" t="s">
        <v>38</v>
      </c>
    </row>
    <row r="191" spans="1:18" x14ac:dyDescent="0.3">
      <c r="A191" t="s">
        <v>502</v>
      </c>
      <c r="B191" s="13">
        <v>44119</v>
      </c>
      <c r="C191" t="s">
        <v>503</v>
      </c>
      <c r="D191" t="s">
        <v>504</v>
      </c>
      <c r="E191" t="s">
        <v>73</v>
      </c>
      <c r="F191" t="s">
        <v>43</v>
      </c>
      <c r="G191" t="s">
        <v>66</v>
      </c>
      <c r="H191">
        <v>2</v>
      </c>
      <c r="I191">
        <v>333.88</v>
      </c>
      <c r="J191">
        <v>0.05</v>
      </c>
      <c r="K191">
        <v>0</v>
      </c>
      <c r="L191">
        <v>10.61</v>
      </c>
      <c r="M191">
        <v>644.98</v>
      </c>
      <c r="N191" t="s">
        <v>58</v>
      </c>
      <c r="O191" t="s">
        <v>107</v>
      </c>
      <c r="P191" t="s">
        <v>101</v>
      </c>
      <c r="Q191" t="s">
        <v>102</v>
      </c>
      <c r="R191" t="s">
        <v>28</v>
      </c>
    </row>
    <row r="192" spans="1:18" x14ac:dyDescent="0.3">
      <c r="A192" t="s">
        <v>529</v>
      </c>
      <c r="B192" s="13">
        <v>44610</v>
      </c>
      <c r="C192" t="s">
        <v>530</v>
      </c>
      <c r="D192" t="s">
        <v>531</v>
      </c>
      <c r="E192" t="s">
        <v>291</v>
      </c>
      <c r="F192" t="s">
        <v>43</v>
      </c>
      <c r="G192" t="s">
        <v>203</v>
      </c>
      <c r="H192">
        <v>2</v>
      </c>
      <c r="I192">
        <v>42.52</v>
      </c>
      <c r="J192">
        <v>0.05</v>
      </c>
      <c r="K192">
        <v>4.04</v>
      </c>
      <c r="L192">
        <v>11.11</v>
      </c>
      <c r="M192">
        <v>95.94</v>
      </c>
      <c r="N192" t="s">
        <v>58</v>
      </c>
      <c r="O192" t="s">
        <v>25</v>
      </c>
      <c r="P192" t="s">
        <v>74</v>
      </c>
      <c r="Q192" t="s">
        <v>75</v>
      </c>
      <c r="R192" t="s">
        <v>38</v>
      </c>
    </row>
    <row r="193" spans="1:18" x14ac:dyDescent="0.3">
      <c r="A193" t="s">
        <v>537</v>
      </c>
      <c r="B193" s="13">
        <v>44902</v>
      </c>
      <c r="C193" t="s">
        <v>538</v>
      </c>
      <c r="D193" t="s">
        <v>539</v>
      </c>
      <c r="E193" t="s">
        <v>220</v>
      </c>
      <c r="F193" t="s">
        <v>43</v>
      </c>
      <c r="G193" t="s">
        <v>66</v>
      </c>
      <c r="H193">
        <v>4</v>
      </c>
      <c r="I193">
        <v>306.01</v>
      </c>
      <c r="J193">
        <v>0.3</v>
      </c>
      <c r="K193">
        <v>42.84</v>
      </c>
      <c r="L193">
        <v>9.24</v>
      </c>
      <c r="M193">
        <v>908.91</v>
      </c>
      <c r="N193" t="s">
        <v>24</v>
      </c>
      <c r="O193" t="s">
        <v>25</v>
      </c>
      <c r="P193" t="s">
        <v>44</v>
      </c>
      <c r="Q193" t="s">
        <v>37</v>
      </c>
      <c r="R193" t="s">
        <v>183</v>
      </c>
    </row>
    <row r="194" spans="1:18" x14ac:dyDescent="0.3">
      <c r="A194" t="s">
        <v>546</v>
      </c>
      <c r="B194" s="13">
        <v>45582</v>
      </c>
      <c r="C194" t="s">
        <v>547</v>
      </c>
      <c r="D194" t="s">
        <v>128</v>
      </c>
      <c r="E194" t="s">
        <v>132</v>
      </c>
      <c r="F194" t="s">
        <v>43</v>
      </c>
      <c r="G194" t="s">
        <v>90</v>
      </c>
      <c r="H194">
        <v>3</v>
      </c>
      <c r="I194">
        <v>414.46</v>
      </c>
      <c r="J194">
        <v>0.25</v>
      </c>
      <c r="K194">
        <v>111.9</v>
      </c>
      <c r="L194">
        <v>4.6900000000000004</v>
      </c>
      <c r="M194">
        <v>1049.1199999999999</v>
      </c>
      <c r="N194" t="s">
        <v>35</v>
      </c>
      <c r="O194" t="s">
        <v>25</v>
      </c>
      <c r="P194" t="s">
        <v>133</v>
      </c>
      <c r="Q194" t="s">
        <v>134</v>
      </c>
      <c r="R194" t="s">
        <v>38</v>
      </c>
    </row>
    <row r="195" spans="1:18" x14ac:dyDescent="0.3">
      <c r="A195" t="s">
        <v>585</v>
      </c>
      <c r="B195" s="13">
        <v>44597</v>
      </c>
      <c r="C195" t="s">
        <v>586</v>
      </c>
      <c r="D195" t="s">
        <v>263</v>
      </c>
      <c r="E195" t="s">
        <v>392</v>
      </c>
      <c r="F195" t="s">
        <v>43</v>
      </c>
      <c r="G195" t="s">
        <v>23</v>
      </c>
      <c r="H195">
        <v>4</v>
      </c>
      <c r="I195">
        <v>497.42</v>
      </c>
      <c r="J195">
        <v>0.05</v>
      </c>
      <c r="K195">
        <v>226.82</v>
      </c>
      <c r="L195">
        <v>12.34</v>
      </c>
      <c r="M195">
        <v>2129.36</v>
      </c>
      <c r="N195" t="s">
        <v>24</v>
      </c>
      <c r="O195" t="s">
        <v>25</v>
      </c>
      <c r="P195" t="s">
        <v>101</v>
      </c>
      <c r="Q195" t="s">
        <v>102</v>
      </c>
      <c r="R195" t="s">
        <v>61</v>
      </c>
    </row>
    <row r="196" spans="1:18" x14ac:dyDescent="0.3">
      <c r="A196" t="s">
        <v>587</v>
      </c>
      <c r="B196" s="13">
        <v>44228</v>
      </c>
      <c r="C196" t="s">
        <v>588</v>
      </c>
      <c r="D196" t="s">
        <v>589</v>
      </c>
      <c r="E196" t="s">
        <v>267</v>
      </c>
      <c r="F196" t="s">
        <v>43</v>
      </c>
      <c r="G196" t="s">
        <v>57</v>
      </c>
      <c r="H196">
        <v>1</v>
      </c>
      <c r="I196">
        <v>154.24</v>
      </c>
      <c r="J196">
        <v>0.05</v>
      </c>
      <c r="K196">
        <v>17.579999999999998</v>
      </c>
      <c r="L196">
        <v>9.86</v>
      </c>
      <c r="M196">
        <v>173.97</v>
      </c>
      <c r="N196" t="s">
        <v>67</v>
      </c>
      <c r="O196" t="s">
        <v>25</v>
      </c>
      <c r="P196" t="s">
        <v>83</v>
      </c>
      <c r="Q196" t="s">
        <v>84</v>
      </c>
      <c r="R196" t="s">
        <v>38</v>
      </c>
    </row>
    <row r="197" spans="1:18" x14ac:dyDescent="0.3">
      <c r="A197" t="s">
        <v>598</v>
      </c>
      <c r="B197" s="13">
        <v>44037</v>
      </c>
      <c r="C197" t="s">
        <v>599</v>
      </c>
      <c r="D197" t="s">
        <v>569</v>
      </c>
      <c r="E197" t="s">
        <v>220</v>
      </c>
      <c r="F197" t="s">
        <v>43</v>
      </c>
      <c r="G197" t="s">
        <v>268</v>
      </c>
      <c r="H197">
        <v>4</v>
      </c>
      <c r="I197">
        <v>155.87</v>
      </c>
      <c r="J197">
        <v>0.1</v>
      </c>
      <c r="K197">
        <v>28.06</v>
      </c>
      <c r="L197">
        <v>7.79</v>
      </c>
      <c r="M197">
        <v>596.98</v>
      </c>
      <c r="N197" t="s">
        <v>58</v>
      </c>
      <c r="O197" t="s">
        <v>25</v>
      </c>
      <c r="P197" t="s">
        <v>68</v>
      </c>
      <c r="Q197" t="s">
        <v>69</v>
      </c>
      <c r="R197" t="s">
        <v>38</v>
      </c>
    </row>
    <row r="198" spans="1:18" x14ac:dyDescent="0.3">
      <c r="A198" t="s">
        <v>600</v>
      </c>
      <c r="B198" s="13">
        <v>44869</v>
      </c>
      <c r="C198" t="s">
        <v>601</v>
      </c>
      <c r="D198" t="s">
        <v>421</v>
      </c>
      <c r="E198" t="s">
        <v>300</v>
      </c>
      <c r="F198" t="s">
        <v>43</v>
      </c>
      <c r="G198" t="s">
        <v>203</v>
      </c>
      <c r="H198">
        <v>1</v>
      </c>
      <c r="I198">
        <v>598.75</v>
      </c>
      <c r="J198">
        <v>0.1</v>
      </c>
      <c r="K198">
        <v>26.94</v>
      </c>
      <c r="L198">
        <v>3.35</v>
      </c>
      <c r="M198">
        <v>569.16999999999996</v>
      </c>
      <c r="N198" t="s">
        <v>58</v>
      </c>
      <c r="O198" t="s">
        <v>144</v>
      </c>
      <c r="P198" t="s">
        <v>83</v>
      </c>
      <c r="Q198" t="s">
        <v>84</v>
      </c>
      <c r="R198" t="s">
        <v>183</v>
      </c>
    </row>
    <row r="199" spans="1:18" x14ac:dyDescent="0.3">
      <c r="A199" t="s">
        <v>658</v>
      </c>
      <c r="B199" s="13">
        <v>44940</v>
      </c>
      <c r="C199" t="s">
        <v>659</v>
      </c>
      <c r="D199" t="s">
        <v>131</v>
      </c>
      <c r="E199" t="s">
        <v>88</v>
      </c>
      <c r="F199" t="s">
        <v>43</v>
      </c>
      <c r="G199" t="s">
        <v>100</v>
      </c>
      <c r="H199">
        <v>4</v>
      </c>
      <c r="I199">
        <v>575.92999999999995</v>
      </c>
      <c r="J199">
        <v>0</v>
      </c>
      <c r="K199">
        <v>0</v>
      </c>
      <c r="L199">
        <v>14.5</v>
      </c>
      <c r="M199">
        <v>2318.2199999999998</v>
      </c>
      <c r="N199" t="s">
        <v>58</v>
      </c>
      <c r="O199" t="s">
        <v>25</v>
      </c>
      <c r="P199" t="s">
        <v>165</v>
      </c>
      <c r="Q199" t="s">
        <v>37</v>
      </c>
      <c r="R199" t="s">
        <v>28</v>
      </c>
    </row>
    <row r="200" spans="1:18" x14ac:dyDescent="0.3">
      <c r="A200" t="s">
        <v>686</v>
      </c>
      <c r="B200" s="13">
        <v>45652</v>
      </c>
      <c r="C200" t="s">
        <v>687</v>
      </c>
      <c r="D200" t="s">
        <v>128</v>
      </c>
      <c r="E200" t="s">
        <v>365</v>
      </c>
      <c r="F200" t="s">
        <v>43</v>
      </c>
      <c r="G200" t="s">
        <v>90</v>
      </c>
      <c r="H200">
        <v>3</v>
      </c>
      <c r="I200">
        <v>83.31</v>
      </c>
      <c r="J200">
        <v>0</v>
      </c>
      <c r="K200">
        <v>19.989999999999998</v>
      </c>
      <c r="L200">
        <v>3.48</v>
      </c>
      <c r="M200">
        <v>273.39999999999998</v>
      </c>
      <c r="N200" t="s">
        <v>67</v>
      </c>
      <c r="O200" t="s">
        <v>25</v>
      </c>
      <c r="P200" t="s">
        <v>36</v>
      </c>
      <c r="Q200" t="s">
        <v>37</v>
      </c>
      <c r="R200" t="s">
        <v>38</v>
      </c>
    </row>
    <row r="201" spans="1:18" x14ac:dyDescent="0.3">
      <c r="A201" t="s">
        <v>702</v>
      </c>
      <c r="B201" s="13">
        <v>45085</v>
      </c>
      <c r="C201" t="s">
        <v>703</v>
      </c>
      <c r="D201" t="s">
        <v>704</v>
      </c>
      <c r="E201" t="s">
        <v>132</v>
      </c>
      <c r="F201" t="s">
        <v>43</v>
      </c>
      <c r="G201" t="s">
        <v>268</v>
      </c>
      <c r="H201">
        <v>4</v>
      </c>
      <c r="I201">
        <v>485.32</v>
      </c>
      <c r="J201">
        <v>0.15</v>
      </c>
      <c r="K201">
        <v>132.01</v>
      </c>
      <c r="L201">
        <v>8.34</v>
      </c>
      <c r="M201">
        <v>1790.44</v>
      </c>
      <c r="N201" t="s">
        <v>35</v>
      </c>
      <c r="O201" t="s">
        <v>25</v>
      </c>
      <c r="P201" t="s">
        <v>165</v>
      </c>
      <c r="Q201" t="s">
        <v>37</v>
      </c>
      <c r="R201" t="s">
        <v>38</v>
      </c>
    </row>
    <row r="202" spans="1:18" x14ac:dyDescent="0.3">
      <c r="A202" t="s">
        <v>705</v>
      </c>
      <c r="B202" s="13">
        <v>44020</v>
      </c>
      <c r="C202" t="s">
        <v>706</v>
      </c>
      <c r="D202" t="s">
        <v>116</v>
      </c>
      <c r="E202" t="s">
        <v>80</v>
      </c>
      <c r="F202" t="s">
        <v>43</v>
      </c>
      <c r="G202" t="s">
        <v>90</v>
      </c>
      <c r="H202">
        <v>1</v>
      </c>
      <c r="I202">
        <v>49.31</v>
      </c>
      <c r="J202">
        <v>0</v>
      </c>
      <c r="K202">
        <v>2.4700000000000002</v>
      </c>
      <c r="L202">
        <v>0.69</v>
      </c>
      <c r="M202">
        <v>52.47</v>
      </c>
      <c r="N202" t="s">
        <v>24</v>
      </c>
      <c r="O202" t="s">
        <v>25</v>
      </c>
      <c r="P202" t="s">
        <v>51</v>
      </c>
      <c r="Q202" t="s">
        <v>52</v>
      </c>
      <c r="R202" t="s">
        <v>38</v>
      </c>
    </row>
    <row r="203" spans="1:18" x14ac:dyDescent="0.3">
      <c r="A203" t="s">
        <v>737</v>
      </c>
      <c r="B203" s="13">
        <v>44479</v>
      </c>
      <c r="C203" t="s">
        <v>738</v>
      </c>
      <c r="D203" t="s">
        <v>327</v>
      </c>
      <c r="E203" t="s">
        <v>425</v>
      </c>
      <c r="F203" t="s">
        <v>43</v>
      </c>
      <c r="G203" t="s">
        <v>49</v>
      </c>
      <c r="H203">
        <v>2</v>
      </c>
      <c r="I203">
        <v>130.46</v>
      </c>
      <c r="J203">
        <v>0.1</v>
      </c>
      <c r="K203">
        <v>18.79</v>
      </c>
      <c r="L203">
        <v>0.38</v>
      </c>
      <c r="M203">
        <v>254</v>
      </c>
      <c r="N203" t="s">
        <v>24</v>
      </c>
      <c r="O203" t="s">
        <v>25</v>
      </c>
      <c r="P203" t="s">
        <v>83</v>
      </c>
      <c r="Q203" t="s">
        <v>84</v>
      </c>
      <c r="R203" t="s">
        <v>38</v>
      </c>
    </row>
    <row r="204" spans="1:18" x14ac:dyDescent="0.3">
      <c r="A204" t="s">
        <v>741</v>
      </c>
      <c r="B204" s="13">
        <v>45531</v>
      </c>
      <c r="C204" t="s">
        <v>742</v>
      </c>
      <c r="D204" t="s">
        <v>237</v>
      </c>
      <c r="E204" t="s">
        <v>202</v>
      </c>
      <c r="F204" t="s">
        <v>43</v>
      </c>
      <c r="G204" t="s">
        <v>57</v>
      </c>
      <c r="H204">
        <v>1</v>
      </c>
      <c r="I204">
        <v>432.72</v>
      </c>
      <c r="J204">
        <v>0.2</v>
      </c>
      <c r="K204">
        <v>62.31</v>
      </c>
      <c r="L204">
        <v>14.85</v>
      </c>
      <c r="M204">
        <v>423.34</v>
      </c>
      <c r="N204" t="s">
        <v>50</v>
      </c>
      <c r="O204" t="s">
        <v>25</v>
      </c>
      <c r="P204" t="s">
        <v>68</v>
      </c>
      <c r="Q204" t="s">
        <v>69</v>
      </c>
      <c r="R204" t="s">
        <v>28</v>
      </c>
    </row>
    <row r="205" spans="1:18" x14ac:dyDescent="0.3">
      <c r="A205" t="s">
        <v>747</v>
      </c>
      <c r="B205" s="13">
        <v>44514</v>
      </c>
      <c r="C205" t="s">
        <v>748</v>
      </c>
      <c r="D205" t="s">
        <v>749</v>
      </c>
      <c r="E205" t="s">
        <v>267</v>
      </c>
      <c r="F205" t="s">
        <v>43</v>
      </c>
      <c r="G205" t="s">
        <v>198</v>
      </c>
      <c r="H205">
        <v>5</v>
      </c>
      <c r="I205">
        <v>338.76</v>
      </c>
      <c r="J205">
        <v>0.05</v>
      </c>
      <c r="K205">
        <v>193.09</v>
      </c>
      <c r="L205">
        <v>12.46</v>
      </c>
      <c r="M205">
        <v>1814.66</v>
      </c>
      <c r="N205" t="s">
        <v>67</v>
      </c>
      <c r="O205" t="s">
        <v>25</v>
      </c>
      <c r="P205" t="s">
        <v>36</v>
      </c>
      <c r="Q205" t="s">
        <v>37</v>
      </c>
      <c r="R205" t="s">
        <v>28</v>
      </c>
    </row>
    <row r="206" spans="1:18" x14ac:dyDescent="0.3">
      <c r="A206" t="s">
        <v>759</v>
      </c>
      <c r="B206" s="13">
        <v>45326</v>
      </c>
      <c r="C206" t="s">
        <v>760</v>
      </c>
      <c r="D206" t="s">
        <v>352</v>
      </c>
      <c r="E206" t="s">
        <v>300</v>
      </c>
      <c r="F206" t="s">
        <v>43</v>
      </c>
      <c r="G206" t="s">
        <v>23</v>
      </c>
      <c r="H206">
        <v>5</v>
      </c>
      <c r="I206">
        <v>45.49</v>
      </c>
      <c r="J206">
        <v>0.2</v>
      </c>
      <c r="K206">
        <v>32.75</v>
      </c>
      <c r="L206">
        <v>0.02</v>
      </c>
      <c r="M206">
        <v>214.73</v>
      </c>
      <c r="N206" t="s">
        <v>24</v>
      </c>
      <c r="O206" t="s">
        <v>25</v>
      </c>
      <c r="P206" t="s">
        <v>117</v>
      </c>
      <c r="Q206" t="s">
        <v>118</v>
      </c>
      <c r="R206" t="s">
        <v>28</v>
      </c>
    </row>
    <row r="207" spans="1:18" x14ac:dyDescent="0.3">
      <c r="A207" t="s">
        <v>761</v>
      </c>
      <c r="B207" s="13">
        <v>45087</v>
      </c>
      <c r="C207" t="s">
        <v>762</v>
      </c>
      <c r="D207" t="s">
        <v>290</v>
      </c>
      <c r="E207" t="s">
        <v>21</v>
      </c>
      <c r="F207" t="s">
        <v>43</v>
      </c>
      <c r="G207" t="s">
        <v>90</v>
      </c>
      <c r="H207">
        <v>3</v>
      </c>
      <c r="I207">
        <v>116.12</v>
      </c>
      <c r="J207">
        <v>0</v>
      </c>
      <c r="K207">
        <v>62.7</v>
      </c>
      <c r="L207">
        <v>5.45</v>
      </c>
      <c r="M207">
        <v>416.51</v>
      </c>
      <c r="N207" t="s">
        <v>58</v>
      </c>
      <c r="O207" t="s">
        <v>25</v>
      </c>
      <c r="P207" t="s">
        <v>117</v>
      </c>
      <c r="Q207" t="s">
        <v>118</v>
      </c>
      <c r="R207" t="s">
        <v>28</v>
      </c>
    </row>
    <row r="208" spans="1:18" x14ac:dyDescent="0.3">
      <c r="A208" t="s">
        <v>775</v>
      </c>
      <c r="B208" s="13">
        <v>45122</v>
      </c>
      <c r="C208" t="s">
        <v>776</v>
      </c>
      <c r="D208" t="s">
        <v>327</v>
      </c>
      <c r="E208" t="s">
        <v>21</v>
      </c>
      <c r="F208" t="s">
        <v>43</v>
      </c>
      <c r="G208" t="s">
        <v>90</v>
      </c>
      <c r="H208">
        <v>5</v>
      </c>
      <c r="I208">
        <v>274.55</v>
      </c>
      <c r="J208">
        <v>0.3</v>
      </c>
      <c r="K208">
        <v>48.05</v>
      </c>
      <c r="L208">
        <v>5.27</v>
      </c>
      <c r="M208">
        <v>1014.24</v>
      </c>
      <c r="N208" t="s">
        <v>24</v>
      </c>
      <c r="O208" t="s">
        <v>82</v>
      </c>
      <c r="P208" t="s">
        <v>26</v>
      </c>
      <c r="Q208" t="s">
        <v>27</v>
      </c>
      <c r="R208" t="s">
        <v>38</v>
      </c>
    </row>
    <row r="209" spans="1:18" x14ac:dyDescent="0.3">
      <c r="A209" t="s">
        <v>789</v>
      </c>
      <c r="B209" s="13">
        <v>45479</v>
      </c>
      <c r="C209" t="s">
        <v>790</v>
      </c>
      <c r="D209" t="s">
        <v>791</v>
      </c>
      <c r="E209" t="s">
        <v>65</v>
      </c>
      <c r="F209" t="s">
        <v>43</v>
      </c>
      <c r="G209" t="s">
        <v>49</v>
      </c>
      <c r="H209">
        <v>5</v>
      </c>
      <c r="I209">
        <v>101.42</v>
      </c>
      <c r="J209">
        <v>0</v>
      </c>
      <c r="K209">
        <v>60.85</v>
      </c>
      <c r="L209">
        <v>0.03</v>
      </c>
      <c r="M209">
        <v>567.98</v>
      </c>
      <c r="N209" t="s">
        <v>24</v>
      </c>
      <c r="O209" t="s">
        <v>25</v>
      </c>
      <c r="P209" t="s">
        <v>257</v>
      </c>
      <c r="Q209" t="s">
        <v>69</v>
      </c>
      <c r="R209" t="s">
        <v>28</v>
      </c>
    </row>
    <row r="210" spans="1:18" x14ac:dyDescent="0.3">
      <c r="A210" t="s">
        <v>826</v>
      </c>
      <c r="B210" s="13">
        <v>44984</v>
      </c>
      <c r="C210" t="s">
        <v>827</v>
      </c>
      <c r="D210" t="s">
        <v>828</v>
      </c>
      <c r="E210" t="s">
        <v>349</v>
      </c>
      <c r="F210" t="s">
        <v>43</v>
      </c>
      <c r="G210" t="s">
        <v>203</v>
      </c>
      <c r="H210">
        <v>3</v>
      </c>
      <c r="I210">
        <v>85.54</v>
      </c>
      <c r="J210">
        <v>0</v>
      </c>
      <c r="K210">
        <v>12.83</v>
      </c>
      <c r="L210">
        <v>13.79</v>
      </c>
      <c r="M210">
        <v>283.24</v>
      </c>
      <c r="N210" t="s">
        <v>50</v>
      </c>
      <c r="O210" t="s">
        <v>25</v>
      </c>
      <c r="P210" t="s">
        <v>133</v>
      </c>
      <c r="Q210" t="s">
        <v>134</v>
      </c>
      <c r="R210" t="s">
        <v>38</v>
      </c>
    </row>
    <row r="211" spans="1:18" x14ac:dyDescent="0.3">
      <c r="A211" t="s">
        <v>883</v>
      </c>
      <c r="B211" s="13">
        <v>45055</v>
      </c>
      <c r="C211" t="s">
        <v>884</v>
      </c>
      <c r="D211" t="s">
        <v>312</v>
      </c>
      <c r="E211" t="s">
        <v>691</v>
      </c>
      <c r="F211" t="s">
        <v>43</v>
      </c>
      <c r="G211" t="s">
        <v>49</v>
      </c>
      <c r="H211">
        <v>4</v>
      </c>
      <c r="I211">
        <v>97.45</v>
      </c>
      <c r="J211">
        <v>0.1</v>
      </c>
      <c r="K211">
        <v>17.54</v>
      </c>
      <c r="L211">
        <v>0.02</v>
      </c>
      <c r="M211">
        <v>368.38</v>
      </c>
      <c r="N211" t="s">
        <v>35</v>
      </c>
      <c r="O211" t="s">
        <v>25</v>
      </c>
      <c r="P211" t="s">
        <v>173</v>
      </c>
      <c r="Q211" t="s">
        <v>174</v>
      </c>
      <c r="R211" t="s">
        <v>38</v>
      </c>
    </row>
    <row r="212" spans="1:18" x14ac:dyDescent="0.3">
      <c r="A212" t="s">
        <v>902</v>
      </c>
      <c r="B212" s="13">
        <v>44785</v>
      </c>
      <c r="C212" t="s">
        <v>903</v>
      </c>
      <c r="D212" t="s">
        <v>904</v>
      </c>
      <c r="E212" t="s">
        <v>73</v>
      </c>
      <c r="F212" t="s">
        <v>43</v>
      </c>
      <c r="G212" t="s">
        <v>90</v>
      </c>
      <c r="H212">
        <v>1</v>
      </c>
      <c r="I212">
        <v>560.82000000000005</v>
      </c>
      <c r="J212">
        <v>0.05</v>
      </c>
      <c r="K212">
        <v>63.93</v>
      </c>
      <c r="L212">
        <v>1.48</v>
      </c>
      <c r="M212">
        <v>598.19000000000005</v>
      </c>
      <c r="N212" t="s">
        <v>123</v>
      </c>
      <c r="O212" t="s">
        <v>25</v>
      </c>
      <c r="P212" t="s">
        <v>112</v>
      </c>
      <c r="Q212" t="s">
        <v>113</v>
      </c>
      <c r="R212" t="s">
        <v>38</v>
      </c>
    </row>
    <row r="213" spans="1:18" x14ac:dyDescent="0.3">
      <c r="A213" t="s">
        <v>926</v>
      </c>
      <c r="B213" s="13">
        <v>45494</v>
      </c>
      <c r="C213" t="s">
        <v>927</v>
      </c>
      <c r="D213" t="s">
        <v>237</v>
      </c>
      <c r="E213" t="s">
        <v>65</v>
      </c>
      <c r="F213" t="s">
        <v>43</v>
      </c>
      <c r="G213" t="s">
        <v>66</v>
      </c>
      <c r="H213">
        <v>4</v>
      </c>
      <c r="I213">
        <v>155.41</v>
      </c>
      <c r="J213">
        <v>0</v>
      </c>
      <c r="K213">
        <v>31.08</v>
      </c>
      <c r="L213">
        <v>6.79</v>
      </c>
      <c r="M213">
        <v>659.51</v>
      </c>
      <c r="N213" t="s">
        <v>24</v>
      </c>
      <c r="O213" t="s">
        <v>107</v>
      </c>
      <c r="P213" t="s">
        <v>145</v>
      </c>
      <c r="Q213" t="s">
        <v>146</v>
      </c>
      <c r="R213" t="s">
        <v>38</v>
      </c>
    </row>
    <row r="214" spans="1:18" x14ac:dyDescent="0.3">
      <c r="A214" t="s">
        <v>969</v>
      </c>
      <c r="B214" s="13">
        <v>44727</v>
      </c>
      <c r="C214" t="s">
        <v>970</v>
      </c>
      <c r="D214" t="s">
        <v>971</v>
      </c>
      <c r="E214" t="s">
        <v>132</v>
      </c>
      <c r="F214" t="s">
        <v>43</v>
      </c>
      <c r="G214" t="s">
        <v>34</v>
      </c>
      <c r="H214">
        <v>1</v>
      </c>
      <c r="I214">
        <v>296.93</v>
      </c>
      <c r="J214">
        <v>0.05</v>
      </c>
      <c r="K214">
        <v>33.85</v>
      </c>
      <c r="L214">
        <v>5.35</v>
      </c>
      <c r="M214">
        <v>321.27999999999997</v>
      </c>
      <c r="N214" t="s">
        <v>35</v>
      </c>
      <c r="O214" t="s">
        <v>25</v>
      </c>
      <c r="P214" t="s">
        <v>95</v>
      </c>
      <c r="Q214" t="s">
        <v>37</v>
      </c>
      <c r="R214" t="s">
        <v>38</v>
      </c>
    </row>
    <row r="215" spans="1:18" x14ac:dyDescent="0.3">
      <c r="A215" t="s">
        <v>1012</v>
      </c>
      <c r="B215" s="13">
        <v>44458</v>
      </c>
      <c r="C215" t="s">
        <v>1013</v>
      </c>
      <c r="D215" t="s">
        <v>690</v>
      </c>
      <c r="E215" t="s">
        <v>386</v>
      </c>
      <c r="F215" t="s">
        <v>43</v>
      </c>
      <c r="G215" t="s">
        <v>34</v>
      </c>
      <c r="H215">
        <v>5</v>
      </c>
      <c r="I215">
        <v>453.11</v>
      </c>
      <c r="J215">
        <v>0.15</v>
      </c>
      <c r="K215">
        <v>96.29</v>
      </c>
      <c r="L215">
        <v>14.15</v>
      </c>
      <c r="M215">
        <v>2036.16</v>
      </c>
      <c r="N215" t="s">
        <v>24</v>
      </c>
      <c r="O215" t="s">
        <v>25</v>
      </c>
      <c r="P215" t="s">
        <v>112</v>
      </c>
      <c r="Q215" t="s">
        <v>113</v>
      </c>
      <c r="R215" t="s">
        <v>38</v>
      </c>
    </row>
    <row r="216" spans="1:18" x14ac:dyDescent="0.3">
      <c r="A216" t="s">
        <v>1023</v>
      </c>
      <c r="B216" s="13">
        <v>43934</v>
      </c>
      <c r="C216" t="s">
        <v>1024</v>
      </c>
      <c r="D216" t="s">
        <v>1025</v>
      </c>
      <c r="E216" t="s">
        <v>256</v>
      </c>
      <c r="F216" t="s">
        <v>43</v>
      </c>
      <c r="G216" t="s">
        <v>23</v>
      </c>
      <c r="H216">
        <v>5</v>
      </c>
      <c r="I216">
        <v>530.30999999999995</v>
      </c>
      <c r="J216">
        <v>0</v>
      </c>
      <c r="K216">
        <v>212.12</v>
      </c>
      <c r="L216">
        <v>14.86</v>
      </c>
      <c r="M216">
        <v>2878.53</v>
      </c>
      <c r="N216" t="s">
        <v>58</v>
      </c>
      <c r="O216" t="s">
        <v>59</v>
      </c>
      <c r="P216" t="s">
        <v>178</v>
      </c>
      <c r="Q216" t="s">
        <v>69</v>
      </c>
      <c r="R216" t="s">
        <v>76</v>
      </c>
    </row>
    <row r="217" spans="1:18" x14ac:dyDescent="0.3">
      <c r="A217" t="s">
        <v>1043</v>
      </c>
      <c r="B217" s="13">
        <v>44708</v>
      </c>
      <c r="C217" t="s">
        <v>1044</v>
      </c>
      <c r="D217" t="s">
        <v>368</v>
      </c>
      <c r="E217" t="s">
        <v>365</v>
      </c>
      <c r="F217" t="s">
        <v>43</v>
      </c>
      <c r="G217" t="s">
        <v>34</v>
      </c>
      <c r="H217">
        <v>3</v>
      </c>
      <c r="I217">
        <v>156.91999999999999</v>
      </c>
      <c r="J217">
        <v>0.15</v>
      </c>
      <c r="K217">
        <v>20.010000000000002</v>
      </c>
      <c r="L217">
        <v>10.53</v>
      </c>
      <c r="M217">
        <v>430.69</v>
      </c>
      <c r="N217" t="s">
        <v>24</v>
      </c>
      <c r="O217" t="s">
        <v>25</v>
      </c>
      <c r="P217" t="s">
        <v>101</v>
      </c>
      <c r="Q217" t="s">
        <v>102</v>
      </c>
      <c r="R217" t="s">
        <v>38</v>
      </c>
    </row>
    <row r="218" spans="1:18" x14ac:dyDescent="0.3">
      <c r="A218" t="s">
        <v>1051</v>
      </c>
      <c r="B218" s="13">
        <v>45017</v>
      </c>
      <c r="C218" t="s">
        <v>1052</v>
      </c>
      <c r="D218" t="s">
        <v>352</v>
      </c>
      <c r="E218" t="s">
        <v>216</v>
      </c>
      <c r="F218" t="s">
        <v>43</v>
      </c>
      <c r="G218" t="s">
        <v>57</v>
      </c>
      <c r="H218">
        <v>3</v>
      </c>
      <c r="I218">
        <v>426.35</v>
      </c>
      <c r="J218">
        <v>0.25</v>
      </c>
      <c r="K218">
        <v>47.96</v>
      </c>
      <c r="L218">
        <v>2.41</v>
      </c>
      <c r="M218">
        <v>1009.66</v>
      </c>
      <c r="N218" t="s">
        <v>67</v>
      </c>
      <c r="O218" t="s">
        <v>25</v>
      </c>
      <c r="P218" t="s">
        <v>26</v>
      </c>
      <c r="Q218" t="s">
        <v>27</v>
      </c>
      <c r="R218" t="s">
        <v>38</v>
      </c>
    </row>
    <row r="219" spans="1:18" x14ac:dyDescent="0.3">
      <c r="A219" t="s">
        <v>1069</v>
      </c>
      <c r="B219" s="13">
        <v>45131</v>
      </c>
      <c r="C219" t="s">
        <v>1070</v>
      </c>
      <c r="D219" t="s">
        <v>604</v>
      </c>
      <c r="E219" t="s">
        <v>256</v>
      </c>
      <c r="F219" t="s">
        <v>43</v>
      </c>
      <c r="G219" t="s">
        <v>268</v>
      </c>
      <c r="H219">
        <v>2</v>
      </c>
      <c r="I219">
        <v>281.89</v>
      </c>
      <c r="J219">
        <v>0</v>
      </c>
      <c r="K219">
        <v>28.19</v>
      </c>
      <c r="L219">
        <v>7.13</v>
      </c>
      <c r="M219">
        <v>599.1</v>
      </c>
      <c r="N219" t="s">
        <v>50</v>
      </c>
      <c r="O219" t="s">
        <v>144</v>
      </c>
      <c r="P219" t="s">
        <v>145</v>
      </c>
      <c r="Q219" t="s">
        <v>146</v>
      </c>
      <c r="R219" t="s">
        <v>28</v>
      </c>
    </row>
    <row r="220" spans="1:18" x14ac:dyDescent="0.3">
      <c r="A220" t="s">
        <v>1101</v>
      </c>
      <c r="B220" s="13">
        <v>44580</v>
      </c>
      <c r="C220" t="s">
        <v>1102</v>
      </c>
      <c r="D220" t="s">
        <v>816</v>
      </c>
      <c r="E220" t="s">
        <v>48</v>
      </c>
      <c r="F220" t="s">
        <v>43</v>
      </c>
      <c r="G220" t="s">
        <v>49</v>
      </c>
      <c r="H220">
        <v>3</v>
      </c>
      <c r="I220">
        <v>236.65</v>
      </c>
      <c r="J220">
        <v>0</v>
      </c>
      <c r="K220">
        <v>56.8</v>
      </c>
      <c r="L220">
        <v>3.2</v>
      </c>
      <c r="M220">
        <v>769.95</v>
      </c>
      <c r="N220" t="s">
        <v>123</v>
      </c>
      <c r="O220" t="s">
        <v>25</v>
      </c>
      <c r="P220" t="s">
        <v>95</v>
      </c>
      <c r="Q220" t="s">
        <v>37</v>
      </c>
      <c r="R220" t="s">
        <v>28</v>
      </c>
    </row>
    <row r="221" spans="1:18" x14ac:dyDescent="0.3">
      <c r="A221" t="s">
        <v>1130</v>
      </c>
      <c r="B221" s="13">
        <v>44114</v>
      </c>
      <c r="C221" t="s">
        <v>1131</v>
      </c>
      <c r="D221" t="s">
        <v>472</v>
      </c>
      <c r="E221" t="s">
        <v>287</v>
      </c>
      <c r="F221" t="s">
        <v>43</v>
      </c>
      <c r="G221" t="s">
        <v>268</v>
      </c>
      <c r="H221">
        <v>5</v>
      </c>
      <c r="I221">
        <v>187.2</v>
      </c>
      <c r="J221">
        <v>0.25</v>
      </c>
      <c r="K221">
        <v>35.1</v>
      </c>
      <c r="L221">
        <v>9.8699999999999992</v>
      </c>
      <c r="M221">
        <v>746.97</v>
      </c>
      <c r="N221" t="s">
        <v>58</v>
      </c>
      <c r="O221" t="s">
        <v>25</v>
      </c>
      <c r="P221" t="s">
        <v>60</v>
      </c>
      <c r="Q221" t="s">
        <v>37</v>
      </c>
      <c r="R221" t="s">
        <v>38</v>
      </c>
    </row>
    <row r="222" spans="1:18" x14ac:dyDescent="0.3">
      <c r="A222" t="s">
        <v>1132</v>
      </c>
      <c r="B222" s="13">
        <v>44709</v>
      </c>
      <c r="C222" t="s">
        <v>1133</v>
      </c>
      <c r="D222" t="s">
        <v>47</v>
      </c>
      <c r="E222" t="s">
        <v>48</v>
      </c>
      <c r="F222" t="s">
        <v>43</v>
      </c>
      <c r="G222" t="s">
        <v>203</v>
      </c>
      <c r="H222">
        <v>1</v>
      </c>
      <c r="I222">
        <v>52.83</v>
      </c>
      <c r="J222">
        <v>0</v>
      </c>
      <c r="K222">
        <v>2.64</v>
      </c>
      <c r="L222">
        <v>5.48</v>
      </c>
      <c r="M222">
        <v>60.95</v>
      </c>
      <c r="N222" t="s">
        <v>58</v>
      </c>
      <c r="O222" t="s">
        <v>25</v>
      </c>
      <c r="P222" t="s">
        <v>101</v>
      </c>
      <c r="Q222" t="s">
        <v>102</v>
      </c>
      <c r="R222" t="s">
        <v>28</v>
      </c>
    </row>
    <row r="223" spans="1:18" x14ac:dyDescent="0.3">
      <c r="A223" t="s">
        <v>1138</v>
      </c>
      <c r="B223" s="13">
        <v>44283</v>
      </c>
      <c r="C223" t="s">
        <v>1139</v>
      </c>
      <c r="D223" t="s">
        <v>260</v>
      </c>
      <c r="E223" t="s">
        <v>220</v>
      </c>
      <c r="F223" t="s">
        <v>43</v>
      </c>
      <c r="G223" t="s">
        <v>34</v>
      </c>
      <c r="H223">
        <v>1</v>
      </c>
      <c r="I223">
        <v>52.02</v>
      </c>
      <c r="J223">
        <v>0</v>
      </c>
      <c r="K223">
        <v>9.36</v>
      </c>
      <c r="L223">
        <v>11.07</v>
      </c>
      <c r="M223">
        <v>72.45</v>
      </c>
      <c r="N223" t="s">
        <v>24</v>
      </c>
      <c r="O223" t="s">
        <v>25</v>
      </c>
      <c r="P223" t="s">
        <v>178</v>
      </c>
      <c r="Q223" t="s">
        <v>69</v>
      </c>
      <c r="R223" t="s">
        <v>38</v>
      </c>
    </row>
    <row r="224" spans="1:18" x14ac:dyDescent="0.3">
      <c r="A224" t="s">
        <v>1185</v>
      </c>
      <c r="B224" s="13">
        <v>44327</v>
      </c>
      <c r="C224" t="s">
        <v>1186</v>
      </c>
      <c r="D224" t="s">
        <v>596</v>
      </c>
      <c r="E224" t="s">
        <v>300</v>
      </c>
      <c r="F224" t="s">
        <v>43</v>
      </c>
      <c r="G224" t="s">
        <v>66</v>
      </c>
      <c r="H224">
        <v>5</v>
      </c>
      <c r="I224">
        <v>589.23</v>
      </c>
      <c r="J224">
        <v>0.15</v>
      </c>
      <c r="K224">
        <v>0</v>
      </c>
      <c r="L224">
        <v>0.03</v>
      </c>
      <c r="M224">
        <v>2504.2600000000002</v>
      </c>
      <c r="N224" t="s">
        <v>67</v>
      </c>
      <c r="O224" t="s">
        <v>25</v>
      </c>
      <c r="P224" t="s">
        <v>145</v>
      </c>
      <c r="Q224" t="s">
        <v>146</v>
      </c>
      <c r="R224" t="s">
        <v>183</v>
      </c>
    </row>
    <row r="225" spans="1:18" x14ac:dyDescent="0.3">
      <c r="A225" t="s">
        <v>1194</v>
      </c>
      <c r="B225" s="13">
        <v>44953</v>
      </c>
      <c r="C225" t="s">
        <v>1195</v>
      </c>
      <c r="D225" t="s">
        <v>754</v>
      </c>
      <c r="E225" t="s">
        <v>425</v>
      </c>
      <c r="F225" t="s">
        <v>43</v>
      </c>
      <c r="G225" t="s">
        <v>66</v>
      </c>
      <c r="H225">
        <v>4</v>
      </c>
      <c r="I225">
        <v>225.16</v>
      </c>
      <c r="J225">
        <v>0</v>
      </c>
      <c r="K225">
        <v>72.05</v>
      </c>
      <c r="L225">
        <v>0.92</v>
      </c>
      <c r="M225">
        <v>973.61</v>
      </c>
      <c r="N225" t="s">
        <v>58</v>
      </c>
      <c r="O225" t="s">
        <v>25</v>
      </c>
      <c r="P225" t="s">
        <v>173</v>
      </c>
      <c r="Q225" t="s">
        <v>174</v>
      </c>
      <c r="R225" t="s">
        <v>38</v>
      </c>
    </row>
    <row r="226" spans="1:18" x14ac:dyDescent="0.3">
      <c r="A226" t="s">
        <v>1224</v>
      </c>
      <c r="B226" s="13">
        <v>44396</v>
      </c>
      <c r="C226" t="s">
        <v>1225</v>
      </c>
      <c r="D226" t="s">
        <v>385</v>
      </c>
      <c r="E226" t="s">
        <v>498</v>
      </c>
      <c r="F226" t="s">
        <v>43</v>
      </c>
      <c r="G226" t="s">
        <v>23</v>
      </c>
      <c r="H226">
        <v>4</v>
      </c>
      <c r="I226">
        <v>436.19</v>
      </c>
      <c r="J226">
        <v>0.2</v>
      </c>
      <c r="K226">
        <v>111.66</v>
      </c>
      <c r="L226">
        <v>9.43</v>
      </c>
      <c r="M226">
        <v>1516.9</v>
      </c>
      <c r="N226" t="s">
        <v>58</v>
      </c>
      <c r="O226" t="s">
        <v>25</v>
      </c>
      <c r="P226" t="s">
        <v>36</v>
      </c>
      <c r="Q226" t="s">
        <v>37</v>
      </c>
      <c r="R226" t="s">
        <v>76</v>
      </c>
    </row>
    <row r="227" spans="1:18" x14ac:dyDescent="0.3">
      <c r="A227" t="s">
        <v>1240</v>
      </c>
      <c r="B227" s="13">
        <v>45517</v>
      </c>
      <c r="C227" t="s">
        <v>1241</v>
      </c>
      <c r="D227" t="s">
        <v>440</v>
      </c>
      <c r="E227" t="s">
        <v>32</v>
      </c>
      <c r="F227" t="s">
        <v>43</v>
      </c>
      <c r="G227" t="s">
        <v>90</v>
      </c>
      <c r="H227">
        <v>4</v>
      </c>
      <c r="I227">
        <v>220.98</v>
      </c>
      <c r="J227">
        <v>0</v>
      </c>
      <c r="K227">
        <v>44.2</v>
      </c>
      <c r="L227">
        <v>9.39</v>
      </c>
      <c r="M227">
        <v>937.51</v>
      </c>
      <c r="N227" t="s">
        <v>35</v>
      </c>
      <c r="O227" t="s">
        <v>25</v>
      </c>
      <c r="P227" t="s">
        <v>117</v>
      </c>
      <c r="Q227" t="s">
        <v>118</v>
      </c>
      <c r="R227" t="s">
        <v>38</v>
      </c>
    </row>
    <row r="228" spans="1:18" x14ac:dyDescent="0.3">
      <c r="A228" t="s">
        <v>1263</v>
      </c>
      <c r="B228" s="13">
        <v>44893</v>
      </c>
      <c r="C228" t="s">
        <v>1264</v>
      </c>
      <c r="D228" t="s">
        <v>1265</v>
      </c>
      <c r="E228" t="s">
        <v>498</v>
      </c>
      <c r="F228" t="s">
        <v>43</v>
      </c>
      <c r="G228" t="s">
        <v>57</v>
      </c>
      <c r="H228">
        <v>2</v>
      </c>
      <c r="I228">
        <v>595.48</v>
      </c>
      <c r="J228">
        <v>0.2</v>
      </c>
      <c r="K228">
        <v>47.64</v>
      </c>
      <c r="L228">
        <v>5.69</v>
      </c>
      <c r="M228">
        <v>1006.1</v>
      </c>
      <c r="N228" t="s">
        <v>67</v>
      </c>
      <c r="O228" t="s">
        <v>25</v>
      </c>
      <c r="P228" t="s">
        <v>83</v>
      </c>
      <c r="Q228" t="s">
        <v>84</v>
      </c>
      <c r="R228" t="s">
        <v>38</v>
      </c>
    </row>
    <row r="229" spans="1:18" x14ac:dyDescent="0.3">
      <c r="A229" t="s">
        <v>1294</v>
      </c>
      <c r="B229" s="13">
        <v>45630</v>
      </c>
      <c r="C229" t="s">
        <v>1295</v>
      </c>
      <c r="D229" t="s">
        <v>921</v>
      </c>
      <c r="E229" t="s">
        <v>182</v>
      </c>
      <c r="F229" t="s">
        <v>43</v>
      </c>
      <c r="G229" t="s">
        <v>198</v>
      </c>
      <c r="H229">
        <v>5</v>
      </c>
      <c r="I229">
        <v>475.22</v>
      </c>
      <c r="J229">
        <v>0.1</v>
      </c>
      <c r="K229">
        <v>256.62</v>
      </c>
      <c r="L229">
        <v>11.58</v>
      </c>
      <c r="M229">
        <v>2406.69</v>
      </c>
      <c r="N229" t="s">
        <v>58</v>
      </c>
      <c r="O229" t="s">
        <v>107</v>
      </c>
      <c r="P229" t="s">
        <v>133</v>
      </c>
      <c r="Q229" t="s">
        <v>134</v>
      </c>
      <c r="R229" t="s">
        <v>76</v>
      </c>
    </row>
    <row r="230" spans="1:18" x14ac:dyDescent="0.3">
      <c r="A230" t="s">
        <v>1323</v>
      </c>
      <c r="B230" s="13">
        <v>45519</v>
      </c>
      <c r="C230" t="s">
        <v>1324</v>
      </c>
      <c r="D230" t="s">
        <v>1025</v>
      </c>
      <c r="E230" t="s">
        <v>169</v>
      </c>
      <c r="F230" t="s">
        <v>43</v>
      </c>
      <c r="G230" t="s">
        <v>100</v>
      </c>
      <c r="H230">
        <v>4</v>
      </c>
      <c r="I230">
        <v>95.35</v>
      </c>
      <c r="J230">
        <v>0</v>
      </c>
      <c r="K230">
        <v>19.07</v>
      </c>
      <c r="L230">
        <v>9.8000000000000007</v>
      </c>
      <c r="M230">
        <v>410.27</v>
      </c>
      <c r="N230" t="s">
        <v>24</v>
      </c>
      <c r="O230" t="s">
        <v>25</v>
      </c>
      <c r="P230" t="s">
        <v>117</v>
      </c>
      <c r="Q230" t="s">
        <v>118</v>
      </c>
      <c r="R230" t="s">
        <v>76</v>
      </c>
    </row>
    <row r="231" spans="1:18" x14ac:dyDescent="0.3">
      <c r="A231" t="s">
        <v>1330</v>
      </c>
      <c r="B231" s="13">
        <v>45044</v>
      </c>
      <c r="C231" t="s">
        <v>444</v>
      </c>
      <c r="D231" t="s">
        <v>201</v>
      </c>
      <c r="E231" t="s">
        <v>142</v>
      </c>
      <c r="F231" t="s">
        <v>43</v>
      </c>
      <c r="G231" t="s">
        <v>100</v>
      </c>
      <c r="H231">
        <v>1</v>
      </c>
      <c r="I231">
        <v>478.42</v>
      </c>
      <c r="J231">
        <v>0</v>
      </c>
      <c r="K231">
        <v>57.41</v>
      </c>
      <c r="L231">
        <v>3.92</v>
      </c>
      <c r="M231">
        <v>539.75</v>
      </c>
      <c r="N231" t="s">
        <v>35</v>
      </c>
      <c r="O231" t="s">
        <v>25</v>
      </c>
      <c r="P231" t="s">
        <v>44</v>
      </c>
      <c r="Q231" t="s">
        <v>37</v>
      </c>
      <c r="R231" t="s">
        <v>38</v>
      </c>
    </row>
    <row r="232" spans="1:18" x14ac:dyDescent="0.3">
      <c r="A232" t="s">
        <v>1341</v>
      </c>
      <c r="B232" s="13">
        <v>44135</v>
      </c>
      <c r="C232" t="s">
        <v>1342</v>
      </c>
      <c r="D232" t="s">
        <v>555</v>
      </c>
      <c r="E232" t="s">
        <v>132</v>
      </c>
      <c r="F232" t="s">
        <v>43</v>
      </c>
      <c r="G232" t="s">
        <v>268</v>
      </c>
      <c r="H232">
        <v>3</v>
      </c>
      <c r="I232">
        <v>313.08</v>
      </c>
      <c r="J232">
        <v>0</v>
      </c>
      <c r="K232">
        <v>46.96</v>
      </c>
      <c r="L232">
        <v>2.29</v>
      </c>
      <c r="M232">
        <v>988.49</v>
      </c>
      <c r="N232" t="s">
        <v>67</v>
      </c>
      <c r="O232" t="s">
        <v>107</v>
      </c>
      <c r="P232" t="s">
        <v>68</v>
      </c>
      <c r="Q232" t="s">
        <v>69</v>
      </c>
      <c r="R232" t="s">
        <v>38</v>
      </c>
    </row>
    <row r="233" spans="1:18" x14ac:dyDescent="0.3">
      <c r="A233" t="s">
        <v>1355</v>
      </c>
      <c r="B233" s="13">
        <v>44833</v>
      </c>
      <c r="C233" t="s">
        <v>1356</v>
      </c>
      <c r="D233" t="s">
        <v>1268</v>
      </c>
      <c r="E233" t="s">
        <v>142</v>
      </c>
      <c r="F233" t="s">
        <v>43</v>
      </c>
      <c r="G233" t="s">
        <v>57</v>
      </c>
      <c r="H233">
        <v>4</v>
      </c>
      <c r="I233">
        <v>452.96</v>
      </c>
      <c r="J233">
        <v>0.3</v>
      </c>
      <c r="K233">
        <v>63.41</v>
      </c>
      <c r="L233">
        <v>7.04</v>
      </c>
      <c r="M233">
        <v>1338.74</v>
      </c>
      <c r="N233" t="s">
        <v>24</v>
      </c>
      <c r="O233" t="s">
        <v>25</v>
      </c>
      <c r="P233" t="s">
        <v>173</v>
      </c>
      <c r="Q233" t="s">
        <v>174</v>
      </c>
      <c r="R233" t="s">
        <v>38</v>
      </c>
    </row>
    <row r="234" spans="1:18" x14ac:dyDescent="0.3">
      <c r="A234" t="s">
        <v>1363</v>
      </c>
      <c r="B234" s="13">
        <v>44094</v>
      </c>
      <c r="C234" t="s">
        <v>1364</v>
      </c>
      <c r="D234" t="s">
        <v>734</v>
      </c>
      <c r="E234" t="s">
        <v>32</v>
      </c>
      <c r="F234" t="s">
        <v>43</v>
      </c>
      <c r="G234" t="s">
        <v>203</v>
      </c>
      <c r="H234">
        <v>2</v>
      </c>
      <c r="I234">
        <v>226.3</v>
      </c>
      <c r="J234">
        <v>0</v>
      </c>
      <c r="K234">
        <v>36.21</v>
      </c>
      <c r="L234">
        <v>14.7</v>
      </c>
      <c r="M234">
        <v>503.51</v>
      </c>
      <c r="N234" t="s">
        <v>35</v>
      </c>
      <c r="O234" t="s">
        <v>144</v>
      </c>
      <c r="P234" t="s">
        <v>178</v>
      </c>
      <c r="Q234" t="s">
        <v>69</v>
      </c>
      <c r="R234" t="s">
        <v>38</v>
      </c>
    </row>
    <row r="235" spans="1:18" x14ac:dyDescent="0.3">
      <c r="A235" t="s">
        <v>1373</v>
      </c>
      <c r="B235" s="13">
        <v>45474</v>
      </c>
      <c r="C235" t="s">
        <v>1374</v>
      </c>
      <c r="D235" t="s">
        <v>368</v>
      </c>
      <c r="E235" t="s">
        <v>122</v>
      </c>
      <c r="F235" t="s">
        <v>43</v>
      </c>
      <c r="G235" t="s">
        <v>268</v>
      </c>
      <c r="H235">
        <v>5</v>
      </c>
      <c r="I235">
        <v>9.07</v>
      </c>
      <c r="J235">
        <v>0.1</v>
      </c>
      <c r="K235">
        <v>4.9000000000000004</v>
      </c>
      <c r="L235">
        <v>2.42</v>
      </c>
      <c r="M235">
        <v>48.14</v>
      </c>
      <c r="N235" t="s">
        <v>35</v>
      </c>
      <c r="O235" t="s">
        <v>107</v>
      </c>
      <c r="P235" t="s">
        <v>36</v>
      </c>
      <c r="Q235" t="s">
        <v>37</v>
      </c>
      <c r="R235" t="s">
        <v>38</v>
      </c>
    </row>
    <row r="236" spans="1:18" x14ac:dyDescent="0.3">
      <c r="A236" t="s">
        <v>1380</v>
      </c>
      <c r="B236" s="13">
        <v>45050</v>
      </c>
      <c r="C236" t="s">
        <v>1381</v>
      </c>
      <c r="D236" t="s">
        <v>352</v>
      </c>
      <c r="E236" t="s">
        <v>392</v>
      </c>
      <c r="F236" t="s">
        <v>43</v>
      </c>
      <c r="G236" t="s">
        <v>100</v>
      </c>
      <c r="H236">
        <v>1</v>
      </c>
      <c r="I236">
        <v>430.27</v>
      </c>
      <c r="J236">
        <v>0.2</v>
      </c>
      <c r="K236">
        <v>27.54</v>
      </c>
      <c r="L236">
        <v>3.66</v>
      </c>
      <c r="M236">
        <v>375.42</v>
      </c>
      <c r="N236" t="s">
        <v>67</v>
      </c>
      <c r="O236" t="s">
        <v>107</v>
      </c>
      <c r="P236" t="s">
        <v>257</v>
      </c>
      <c r="Q236" t="s">
        <v>69</v>
      </c>
      <c r="R236" t="s">
        <v>38</v>
      </c>
    </row>
    <row r="237" spans="1:18" x14ac:dyDescent="0.3">
      <c r="A237" t="s">
        <v>1409</v>
      </c>
      <c r="B237" s="13">
        <v>44960</v>
      </c>
      <c r="C237" t="s">
        <v>1410</v>
      </c>
      <c r="D237" t="s">
        <v>330</v>
      </c>
      <c r="E237" t="s">
        <v>88</v>
      </c>
      <c r="F237" t="s">
        <v>43</v>
      </c>
      <c r="G237" t="s">
        <v>57</v>
      </c>
      <c r="H237">
        <v>1</v>
      </c>
      <c r="I237">
        <v>597.54</v>
      </c>
      <c r="J237">
        <v>0.25</v>
      </c>
      <c r="K237">
        <v>35.85</v>
      </c>
      <c r="L237">
        <v>9.35</v>
      </c>
      <c r="M237">
        <v>493.36</v>
      </c>
      <c r="N237" t="s">
        <v>24</v>
      </c>
      <c r="O237" t="s">
        <v>25</v>
      </c>
      <c r="P237" t="s">
        <v>44</v>
      </c>
      <c r="Q237" t="s">
        <v>37</v>
      </c>
      <c r="R237" t="s">
        <v>38</v>
      </c>
    </row>
    <row r="238" spans="1:18" x14ac:dyDescent="0.3">
      <c r="A238" t="s">
        <v>1438</v>
      </c>
      <c r="B238" s="13">
        <v>44981</v>
      </c>
      <c r="C238" t="s">
        <v>1439</v>
      </c>
      <c r="D238" t="s">
        <v>531</v>
      </c>
      <c r="E238" t="s">
        <v>88</v>
      </c>
      <c r="F238" t="s">
        <v>43</v>
      </c>
      <c r="G238" t="s">
        <v>23</v>
      </c>
      <c r="H238">
        <v>1</v>
      </c>
      <c r="I238">
        <v>486.08</v>
      </c>
      <c r="J238">
        <v>0.05</v>
      </c>
      <c r="K238">
        <v>36.94</v>
      </c>
      <c r="L238">
        <v>3.69</v>
      </c>
      <c r="M238">
        <v>502.41</v>
      </c>
      <c r="N238" t="s">
        <v>35</v>
      </c>
      <c r="O238" t="s">
        <v>59</v>
      </c>
      <c r="P238" t="s">
        <v>74</v>
      </c>
      <c r="Q238" t="s">
        <v>75</v>
      </c>
      <c r="R238" t="s">
        <v>38</v>
      </c>
    </row>
    <row r="239" spans="1:18" x14ac:dyDescent="0.3">
      <c r="A239" t="s">
        <v>1442</v>
      </c>
      <c r="B239" s="13">
        <v>44843</v>
      </c>
      <c r="C239" t="s">
        <v>1443</v>
      </c>
      <c r="D239" t="s">
        <v>754</v>
      </c>
      <c r="E239" t="s">
        <v>691</v>
      </c>
      <c r="F239" t="s">
        <v>43</v>
      </c>
      <c r="G239" t="s">
        <v>34</v>
      </c>
      <c r="H239">
        <v>4</v>
      </c>
      <c r="I239">
        <v>134.34</v>
      </c>
      <c r="J239">
        <v>0.15</v>
      </c>
      <c r="K239">
        <v>36.54</v>
      </c>
      <c r="L239">
        <v>14.11</v>
      </c>
      <c r="M239">
        <v>507.41</v>
      </c>
      <c r="N239" t="s">
        <v>24</v>
      </c>
      <c r="O239" t="s">
        <v>25</v>
      </c>
      <c r="P239" t="s">
        <v>257</v>
      </c>
      <c r="Q239" t="s">
        <v>69</v>
      </c>
      <c r="R239" t="s">
        <v>38</v>
      </c>
    </row>
    <row r="240" spans="1:18" x14ac:dyDescent="0.3">
      <c r="A240" t="s">
        <v>1446</v>
      </c>
      <c r="B240" s="13">
        <v>44912</v>
      </c>
      <c r="C240" t="s">
        <v>1447</v>
      </c>
      <c r="D240" t="s">
        <v>196</v>
      </c>
      <c r="E240" t="s">
        <v>94</v>
      </c>
      <c r="F240" t="s">
        <v>43</v>
      </c>
      <c r="G240" t="s">
        <v>66</v>
      </c>
      <c r="H240">
        <v>3</v>
      </c>
      <c r="I240">
        <v>326.22000000000003</v>
      </c>
      <c r="J240">
        <v>0.3</v>
      </c>
      <c r="K240">
        <v>0</v>
      </c>
      <c r="L240">
        <v>12.96</v>
      </c>
      <c r="M240">
        <v>698.02</v>
      </c>
      <c r="N240" t="s">
        <v>67</v>
      </c>
      <c r="O240" t="s">
        <v>107</v>
      </c>
      <c r="P240" t="s">
        <v>112</v>
      </c>
      <c r="Q240" t="s">
        <v>113</v>
      </c>
      <c r="R240" t="s">
        <v>38</v>
      </c>
    </row>
    <row r="241" spans="1:18" x14ac:dyDescent="0.3">
      <c r="A241" t="s">
        <v>1473</v>
      </c>
      <c r="B241" s="13">
        <v>45043</v>
      </c>
      <c r="C241" t="s">
        <v>1474</v>
      </c>
      <c r="D241" t="s">
        <v>1158</v>
      </c>
      <c r="E241" t="s">
        <v>243</v>
      </c>
      <c r="F241" t="s">
        <v>43</v>
      </c>
      <c r="G241" t="s">
        <v>34</v>
      </c>
      <c r="H241">
        <v>3</v>
      </c>
      <c r="I241">
        <v>326.83999999999997</v>
      </c>
      <c r="J241">
        <v>0.05</v>
      </c>
      <c r="K241">
        <v>46.57</v>
      </c>
      <c r="L241">
        <v>8.4700000000000006</v>
      </c>
      <c r="M241">
        <v>986.53</v>
      </c>
      <c r="N241" t="s">
        <v>24</v>
      </c>
      <c r="O241" t="s">
        <v>25</v>
      </c>
      <c r="P241" t="s">
        <v>95</v>
      </c>
      <c r="Q241" t="s">
        <v>37</v>
      </c>
      <c r="R241" t="s">
        <v>38</v>
      </c>
    </row>
    <row r="242" spans="1:18" x14ac:dyDescent="0.3">
      <c r="A242" t="s">
        <v>1483</v>
      </c>
      <c r="B242" s="13">
        <v>44691</v>
      </c>
      <c r="C242" t="s">
        <v>1484</v>
      </c>
      <c r="D242" t="s">
        <v>613</v>
      </c>
      <c r="E242" t="s">
        <v>267</v>
      </c>
      <c r="F242" t="s">
        <v>43</v>
      </c>
      <c r="G242" t="s">
        <v>203</v>
      </c>
      <c r="H242">
        <v>3</v>
      </c>
      <c r="I242">
        <v>499.02</v>
      </c>
      <c r="J242">
        <v>0</v>
      </c>
      <c r="K242">
        <v>0</v>
      </c>
      <c r="L242">
        <v>12.59</v>
      </c>
      <c r="M242">
        <v>1509.65</v>
      </c>
      <c r="N242" t="s">
        <v>24</v>
      </c>
      <c r="O242" t="s">
        <v>25</v>
      </c>
      <c r="P242" t="s">
        <v>145</v>
      </c>
      <c r="Q242" t="s">
        <v>146</v>
      </c>
      <c r="R242" t="s">
        <v>38</v>
      </c>
    </row>
    <row r="243" spans="1:18" x14ac:dyDescent="0.3">
      <c r="A243" t="s">
        <v>1485</v>
      </c>
      <c r="B243" s="13">
        <v>44077</v>
      </c>
      <c r="C243" t="s">
        <v>1486</v>
      </c>
      <c r="D243" t="s">
        <v>137</v>
      </c>
      <c r="E243" t="s">
        <v>182</v>
      </c>
      <c r="F243" t="s">
        <v>43</v>
      </c>
      <c r="G243" t="s">
        <v>90</v>
      </c>
      <c r="H243">
        <v>2</v>
      </c>
      <c r="I243">
        <v>77.94</v>
      </c>
      <c r="J243">
        <v>0.05</v>
      </c>
      <c r="K243">
        <v>17.77</v>
      </c>
      <c r="L243">
        <v>9.49</v>
      </c>
      <c r="M243">
        <v>175.35</v>
      </c>
      <c r="N243" t="s">
        <v>24</v>
      </c>
      <c r="O243" t="s">
        <v>25</v>
      </c>
      <c r="P243" t="s">
        <v>150</v>
      </c>
      <c r="Q243" t="s">
        <v>69</v>
      </c>
      <c r="R243" t="s">
        <v>28</v>
      </c>
    </row>
    <row r="244" spans="1:18" x14ac:dyDescent="0.3">
      <c r="A244" t="s">
        <v>1489</v>
      </c>
      <c r="B244" s="13">
        <v>43984</v>
      </c>
      <c r="C244" t="s">
        <v>1490</v>
      </c>
      <c r="D244" t="s">
        <v>131</v>
      </c>
      <c r="E244" t="s">
        <v>88</v>
      </c>
      <c r="F244" t="s">
        <v>43</v>
      </c>
      <c r="G244" t="s">
        <v>268</v>
      </c>
      <c r="H244">
        <v>2</v>
      </c>
      <c r="I244">
        <v>447.53</v>
      </c>
      <c r="J244">
        <v>0</v>
      </c>
      <c r="K244">
        <v>44.75</v>
      </c>
      <c r="L244">
        <v>0.73</v>
      </c>
      <c r="M244">
        <v>940.54</v>
      </c>
      <c r="N244" t="s">
        <v>123</v>
      </c>
      <c r="O244" t="s">
        <v>25</v>
      </c>
      <c r="P244" t="s">
        <v>101</v>
      </c>
      <c r="Q244" t="s">
        <v>102</v>
      </c>
      <c r="R244" t="s">
        <v>61</v>
      </c>
    </row>
    <row r="245" spans="1:18" x14ac:dyDescent="0.3">
      <c r="A245" t="s">
        <v>1514</v>
      </c>
      <c r="B245" s="13">
        <v>45604</v>
      </c>
      <c r="C245" t="s">
        <v>1515</v>
      </c>
      <c r="D245" t="s">
        <v>330</v>
      </c>
      <c r="E245" t="s">
        <v>349</v>
      </c>
      <c r="F245" t="s">
        <v>43</v>
      </c>
      <c r="G245" t="s">
        <v>57</v>
      </c>
      <c r="H245">
        <v>3</v>
      </c>
      <c r="I245">
        <v>143.79</v>
      </c>
      <c r="J245">
        <v>0</v>
      </c>
      <c r="K245">
        <v>34.51</v>
      </c>
      <c r="L245">
        <v>7.39</v>
      </c>
      <c r="M245">
        <v>473.27</v>
      </c>
      <c r="N245" t="s">
        <v>58</v>
      </c>
      <c r="O245" t="s">
        <v>144</v>
      </c>
      <c r="P245" t="s">
        <v>150</v>
      </c>
      <c r="Q245" t="s">
        <v>69</v>
      </c>
      <c r="R245" t="s">
        <v>38</v>
      </c>
    </row>
    <row r="246" spans="1:18" x14ac:dyDescent="0.3">
      <c r="A246" t="s">
        <v>1530</v>
      </c>
      <c r="B246" s="13">
        <v>44262</v>
      </c>
      <c r="C246" t="s">
        <v>1531</v>
      </c>
      <c r="D246" t="s">
        <v>998</v>
      </c>
      <c r="E246" t="s">
        <v>283</v>
      </c>
      <c r="F246" t="s">
        <v>43</v>
      </c>
      <c r="G246" t="s">
        <v>57</v>
      </c>
      <c r="H246">
        <v>5</v>
      </c>
      <c r="I246">
        <v>357.16</v>
      </c>
      <c r="J246">
        <v>0.15</v>
      </c>
      <c r="K246">
        <v>75.900000000000006</v>
      </c>
      <c r="L246">
        <v>3.35</v>
      </c>
      <c r="M246">
        <v>1597.18</v>
      </c>
      <c r="N246" t="s">
        <v>67</v>
      </c>
      <c r="O246" t="s">
        <v>25</v>
      </c>
      <c r="P246" t="s">
        <v>26</v>
      </c>
      <c r="Q246" t="s">
        <v>27</v>
      </c>
      <c r="R246" t="s">
        <v>183</v>
      </c>
    </row>
    <row r="247" spans="1:18" x14ac:dyDescent="0.3">
      <c r="A247" t="s">
        <v>1536</v>
      </c>
      <c r="B247" s="13">
        <v>45466</v>
      </c>
      <c r="C247" t="s">
        <v>1537</v>
      </c>
      <c r="D247" t="s">
        <v>1538</v>
      </c>
      <c r="E247" t="s">
        <v>21</v>
      </c>
      <c r="F247" t="s">
        <v>43</v>
      </c>
      <c r="G247" t="s">
        <v>57</v>
      </c>
      <c r="H247">
        <v>4</v>
      </c>
      <c r="I247">
        <v>229.15</v>
      </c>
      <c r="J247">
        <v>0.1</v>
      </c>
      <c r="K247">
        <v>98.99</v>
      </c>
      <c r="L247">
        <v>1.3</v>
      </c>
      <c r="M247">
        <v>925.23</v>
      </c>
      <c r="N247" t="s">
        <v>67</v>
      </c>
      <c r="O247" t="s">
        <v>25</v>
      </c>
      <c r="P247" t="s">
        <v>83</v>
      </c>
      <c r="Q247" t="s">
        <v>84</v>
      </c>
      <c r="R247" t="s">
        <v>28</v>
      </c>
    </row>
    <row r="248" spans="1:18" x14ac:dyDescent="0.3">
      <c r="A248" t="s">
        <v>1545</v>
      </c>
      <c r="B248" s="13">
        <v>44187</v>
      </c>
      <c r="C248" t="s">
        <v>1546</v>
      </c>
      <c r="D248" t="s">
        <v>410</v>
      </c>
      <c r="E248" t="s">
        <v>287</v>
      </c>
      <c r="F248" t="s">
        <v>43</v>
      </c>
      <c r="G248" t="s">
        <v>90</v>
      </c>
      <c r="H248">
        <v>5</v>
      </c>
      <c r="I248">
        <v>367.29</v>
      </c>
      <c r="J248">
        <v>0.1</v>
      </c>
      <c r="K248">
        <v>132.22</v>
      </c>
      <c r="L248">
        <v>2.54</v>
      </c>
      <c r="M248">
        <v>1787.56</v>
      </c>
      <c r="N248" t="s">
        <v>58</v>
      </c>
      <c r="O248" t="s">
        <v>25</v>
      </c>
      <c r="P248" t="s">
        <v>150</v>
      </c>
      <c r="Q248" t="s">
        <v>69</v>
      </c>
      <c r="R248" t="s">
        <v>38</v>
      </c>
    </row>
    <row r="249" spans="1:18" x14ac:dyDescent="0.3">
      <c r="A249" t="s">
        <v>1547</v>
      </c>
      <c r="B249" s="13">
        <v>43853</v>
      </c>
      <c r="C249" t="s">
        <v>1548</v>
      </c>
      <c r="D249" t="s">
        <v>1549</v>
      </c>
      <c r="E249" t="s">
        <v>243</v>
      </c>
      <c r="F249" t="s">
        <v>43</v>
      </c>
      <c r="G249" t="s">
        <v>198</v>
      </c>
      <c r="H249">
        <v>3</v>
      </c>
      <c r="I249">
        <v>287.18</v>
      </c>
      <c r="J249">
        <v>0</v>
      </c>
      <c r="K249">
        <v>103.38</v>
      </c>
      <c r="L249">
        <v>7.76</v>
      </c>
      <c r="M249">
        <v>972.68</v>
      </c>
      <c r="N249" t="s">
        <v>58</v>
      </c>
      <c r="O249" t="s">
        <v>82</v>
      </c>
      <c r="P249" t="s">
        <v>117</v>
      </c>
      <c r="Q249" t="s">
        <v>118</v>
      </c>
      <c r="R249" t="s">
        <v>38</v>
      </c>
    </row>
    <row r="250" spans="1:18" x14ac:dyDescent="0.3">
      <c r="A250" t="s">
        <v>1550</v>
      </c>
      <c r="B250" s="13">
        <v>45616</v>
      </c>
      <c r="C250" t="s">
        <v>1551</v>
      </c>
      <c r="D250" t="s">
        <v>770</v>
      </c>
      <c r="E250" t="s">
        <v>291</v>
      </c>
      <c r="F250" t="s">
        <v>43</v>
      </c>
      <c r="G250" t="s">
        <v>100</v>
      </c>
      <c r="H250">
        <v>2</v>
      </c>
      <c r="I250">
        <v>190.23</v>
      </c>
      <c r="J250">
        <v>0</v>
      </c>
      <c r="K250">
        <v>30.44</v>
      </c>
      <c r="L250">
        <v>9.0500000000000007</v>
      </c>
      <c r="M250">
        <v>419.95</v>
      </c>
      <c r="N250" t="s">
        <v>50</v>
      </c>
      <c r="O250" t="s">
        <v>25</v>
      </c>
      <c r="P250" t="s">
        <v>257</v>
      </c>
      <c r="Q250" t="s">
        <v>69</v>
      </c>
      <c r="R250" t="s">
        <v>38</v>
      </c>
    </row>
    <row r="251" spans="1:18" x14ac:dyDescent="0.3">
      <c r="A251" t="s">
        <v>1560</v>
      </c>
      <c r="B251" s="13">
        <v>45034</v>
      </c>
      <c r="C251" t="s">
        <v>1561</v>
      </c>
      <c r="D251" t="s">
        <v>181</v>
      </c>
      <c r="E251" t="s">
        <v>220</v>
      </c>
      <c r="F251" t="s">
        <v>43</v>
      </c>
      <c r="G251" t="s">
        <v>57</v>
      </c>
      <c r="H251">
        <v>1</v>
      </c>
      <c r="I251">
        <v>333.22</v>
      </c>
      <c r="J251">
        <v>0</v>
      </c>
      <c r="K251">
        <v>16.66</v>
      </c>
      <c r="L251">
        <v>6.52</v>
      </c>
      <c r="M251">
        <v>356.4</v>
      </c>
      <c r="N251" t="s">
        <v>35</v>
      </c>
      <c r="O251" t="s">
        <v>107</v>
      </c>
      <c r="P251" t="s">
        <v>95</v>
      </c>
      <c r="Q251" t="s">
        <v>37</v>
      </c>
      <c r="R251" t="s">
        <v>38</v>
      </c>
    </row>
    <row r="252" spans="1:18" x14ac:dyDescent="0.3">
      <c r="A252" t="s">
        <v>1562</v>
      </c>
      <c r="B252" s="13">
        <v>45077</v>
      </c>
      <c r="C252" t="s">
        <v>1563</v>
      </c>
      <c r="D252" t="s">
        <v>1176</v>
      </c>
      <c r="E252" t="s">
        <v>56</v>
      </c>
      <c r="F252" t="s">
        <v>43</v>
      </c>
      <c r="G252" t="s">
        <v>57</v>
      </c>
      <c r="H252">
        <v>5</v>
      </c>
      <c r="I252">
        <v>409.28</v>
      </c>
      <c r="J252">
        <v>0.05</v>
      </c>
      <c r="K252">
        <v>97.2</v>
      </c>
      <c r="L252">
        <v>0.68</v>
      </c>
      <c r="M252">
        <v>2041.96</v>
      </c>
      <c r="N252" t="s">
        <v>58</v>
      </c>
      <c r="O252" t="s">
        <v>25</v>
      </c>
      <c r="P252" t="s">
        <v>257</v>
      </c>
      <c r="Q252" t="s">
        <v>69</v>
      </c>
      <c r="R252" t="s">
        <v>28</v>
      </c>
    </row>
    <row r="253" spans="1:18" x14ac:dyDescent="0.3">
      <c r="A253" t="s">
        <v>1581</v>
      </c>
      <c r="B253" s="13">
        <v>44870</v>
      </c>
      <c r="C253" t="s">
        <v>1582</v>
      </c>
      <c r="D253" t="s">
        <v>904</v>
      </c>
      <c r="E253" t="s">
        <v>392</v>
      </c>
      <c r="F253" t="s">
        <v>43</v>
      </c>
      <c r="G253" t="s">
        <v>268</v>
      </c>
      <c r="H253">
        <v>3</v>
      </c>
      <c r="I253">
        <v>592.04</v>
      </c>
      <c r="J253">
        <v>0.25</v>
      </c>
      <c r="K253">
        <v>106.57</v>
      </c>
      <c r="L253">
        <v>9.9700000000000006</v>
      </c>
      <c r="M253">
        <v>1448.63</v>
      </c>
      <c r="N253" t="s">
        <v>58</v>
      </c>
      <c r="O253" t="s">
        <v>25</v>
      </c>
      <c r="P253" t="s">
        <v>60</v>
      </c>
      <c r="Q253" t="s">
        <v>37</v>
      </c>
      <c r="R253" t="s">
        <v>38</v>
      </c>
    </row>
    <row r="254" spans="1:18" x14ac:dyDescent="0.3">
      <c r="A254" t="s">
        <v>1594</v>
      </c>
      <c r="B254" s="13">
        <v>44726</v>
      </c>
      <c r="C254" t="s">
        <v>1595</v>
      </c>
      <c r="D254" t="s">
        <v>882</v>
      </c>
      <c r="E254" t="s">
        <v>99</v>
      </c>
      <c r="F254" t="s">
        <v>43</v>
      </c>
      <c r="G254" t="s">
        <v>90</v>
      </c>
      <c r="H254">
        <v>3</v>
      </c>
      <c r="I254">
        <v>211.25</v>
      </c>
      <c r="J254">
        <v>0.2</v>
      </c>
      <c r="K254">
        <v>60.84</v>
      </c>
      <c r="L254">
        <v>6.1</v>
      </c>
      <c r="M254">
        <v>573.94000000000005</v>
      </c>
      <c r="N254" t="s">
        <v>58</v>
      </c>
      <c r="O254" t="s">
        <v>25</v>
      </c>
      <c r="P254" t="s">
        <v>124</v>
      </c>
      <c r="Q254" t="s">
        <v>125</v>
      </c>
      <c r="R254" t="s">
        <v>38</v>
      </c>
    </row>
    <row r="255" spans="1:18" x14ac:dyDescent="0.3">
      <c r="A255" t="s">
        <v>1604</v>
      </c>
      <c r="B255" s="13">
        <v>44520</v>
      </c>
      <c r="C255" t="s">
        <v>1605</v>
      </c>
      <c r="D255" t="s">
        <v>494</v>
      </c>
      <c r="E255" t="s">
        <v>386</v>
      </c>
      <c r="F255" t="s">
        <v>43</v>
      </c>
      <c r="G255" t="s">
        <v>66</v>
      </c>
      <c r="H255">
        <v>1</v>
      </c>
      <c r="I255">
        <v>449.57</v>
      </c>
      <c r="J255">
        <v>0.2</v>
      </c>
      <c r="K255">
        <v>43.16</v>
      </c>
      <c r="L255">
        <v>3.18</v>
      </c>
      <c r="M255">
        <v>406</v>
      </c>
      <c r="N255" t="s">
        <v>24</v>
      </c>
      <c r="O255" t="s">
        <v>25</v>
      </c>
      <c r="P255" t="s">
        <v>68</v>
      </c>
      <c r="Q255" t="s">
        <v>69</v>
      </c>
      <c r="R255" t="s">
        <v>38</v>
      </c>
    </row>
    <row r="256" spans="1:18" x14ac:dyDescent="0.3">
      <c r="A256" t="s">
        <v>1614</v>
      </c>
      <c r="B256" s="13">
        <v>44521</v>
      </c>
      <c r="C256" t="s">
        <v>1615</v>
      </c>
      <c r="D256" t="s">
        <v>159</v>
      </c>
      <c r="E256" t="s">
        <v>169</v>
      </c>
      <c r="F256" t="s">
        <v>43</v>
      </c>
      <c r="G256" t="s">
        <v>203</v>
      </c>
      <c r="H256">
        <v>3</v>
      </c>
      <c r="I256">
        <v>268.82</v>
      </c>
      <c r="J256">
        <v>0.05</v>
      </c>
      <c r="K256">
        <v>91.94</v>
      </c>
      <c r="L256">
        <v>2.19</v>
      </c>
      <c r="M256">
        <v>860.27</v>
      </c>
      <c r="N256" t="s">
        <v>67</v>
      </c>
      <c r="O256" t="s">
        <v>25</v>
      </c>
      <c r="P256" t="s">
        <v>150</v>
      </c>
      <c r="Q256" t="s">
        <v>69</v>
      </c>
      <c r="R256" t="s">
        <v>38</v>
      </c>
    </row>
    <row r="257" spans="1:18" x14ac:dyDescent="0.3">
      <c r="A257" t="s">
        <v>1635</v>
      </c>
      <c r="B257" s="13">
        <v>44227</v>
      </c>
      <c r="C257" t="s">
        <v>1636</v>
      </c>
      <c r="D257" t="s">
        <v>1189</v>
      </c>
      <c r="E257" t="s">
        <v>392</v>
      </c>
      <c r="F257" t="s">
        <v>43</v>
      </c>
      <c r="G257" t="s">
        <v>268</v>
      </c>
      <c r="H257">
        <v>1</v>
      </c>
      <c r="I257">
        <v>104.92</v>
      </c>
      <c r="J257">
        <v>0.15</v>
      </c>
      <c r="K257">
        <v>7.13</v>
      </c>
      <c r="L257">
        <v>12.53</v>
      </c>
      <c r="M257">
        <v>108.84</v>
      </c>
      <c r="N257" t="s">
        <v>58</v>
      </c>
      <c r="O257" t="s">
        <v>25</v>
      </c>
      <c r="P257" t="s">
        <v>173</v>
      </c>
      <c r="Q257" t="s">
        <v>174</v>
      </c>
      <c r="R257" t="s">
        <v>38</v>
      </c>
    </row>
    <row r="258" spans="1:18" x14ac:dyDescent="0.3">
      <c r="A258" t="s">
        <v>1643</v>
      </c>
      <c r="B258" s="13">
        <v>45107</v>
      </c>
      <c r="C258" t="s">
        <v>1644</v>
      </c>
      <c r="D258" t="s">
        <v>297</v>
      </c>
      <c r="E258" t="s">
        <v>498</v>
      </c>
      <c r="F258" t="s">
        <v>43</v>
      </c>
      <c r="G258" t="s">
        <v>100</v>
      </c>
      <c r="H258">
        <v>3</v>
      </c>
      <c r="I258">
        <v>70.34</v>
      </c>
      <c r="J258">
        <v>0.1</v>
      </c>
      <c r="K258">
        <v>22.79</v>
      </c>
      <c r="L258">
        <v>10.51</v>
      </c>
      <c r="M258">
        <v>223.22</v>
      </c>
      <c r="N258" t="s">
        <v>50</v>
      </c>
      <c r="O258" t="s">
        <v>25</v>
      </c>
      <c r="P258" t="s">
        <v>74</v>
      </c>
      <c r="Q258" t="s">
        <v>75</v>
      </c>
      <c r="R258" t="s">
        <v>38</v>
      </c>
    </row>
    <row r="259" spans="1:18" x14ac:dyDescent="0.3">
      <c r="A259" t="s">
        <v>1647</v>
      </c>
      <c r="B259" s="13">
        <v>44584</v>
      </c>
      <c r="C259" t="s">
        <v>1648</v>
      </c>
      <c r="D259" t="s">
        <v>159</v>
      </c>
      <c r="E259" t="s">
        <v>691</v>
      </c>
      <c r="F259" t="s">
        <v>43</v>
      </c>
      <c r="G259" t="s">
        <v>66</v>
      </c>
      <c r="H259">
        <v>3</v>
      </c>
      <c r="I259">
        <v>533.42999999999995</v>
      </c>
      <c r="J259">
        <v>0.1</v>
      </c>
      <c r="K259">
        <v>72.010000000000005</v>
      </c>
      <c r="L259">
        <v>0.86</v>
      </c>
      <c r="M259">
        <v>1513.13</v>
      </c>
      <c r="N259" t="s">
        <v>67</v>
      </c>
      <c r="O259" t="s">
        <v>25</v>
      </c>
      <c r="P259" t="s">
        <v>117</v>
      </c>
      <c r="Q259" t="s">
        <v>118</v>
      </c>
      <c r="R259" t="s">
        <v>28</v>
      </c>
    </row>
    <row r="260" spans="1:18" x14ac:dyDescent="0.3">
      <c r="A260" t="s">
        <v>1654</v>
      </c>
      <c r="B260" s="13">
        <v>43920</v>
      </c>
      <c r="C260" t="s">
        <v>1655</v>
      </c>
      <c r="D260" t="s">
        <v>440</v>
      </c>
      <c r="E260" t="s">
        <v>32</v>
      </c>
      <c r="F260" t="s">
        <v>43</v>
      </c>
      <c r="G260" t="s">
        <v>203</v>
      </c>
      <c r="H260">
        <v>3</v>
      </c>
      <c r="I260">
        <v>569.16</v>
      </c>
      <c r="J260">
        <v>0</v>
      </c>
      <c r="K260">
        <v>307.35000000000002</v>
      </c>
      <c r="L260">
        <v>6.44</v>
      </c>
      <c r="M260">
        <v>2021.27</v>
      </c>
      <c r="N260" t="s">
        <v>35</v>
      </c>
      <c r="O260" t="s">
        <v>25</v>
      </c>
      <c r="P260" t="s">
        <v>101</v>
      </c>
      <c r="Q260" t="s">
        <v>102</v>
      </c>
      <c r="R260" t="s">
        <v>38</v>
      </c>
    </row>
    <row r="261" spans="1:18" x14ac:dyDescent="0.3">
      <c r="A261" t="s">
        <v>1662</v>
      </c>
      <c r="B261" s="13">
        <v>45456</v>
      </c>
      <c r="C261" t="s">
        <v>1663</v>
      </c>
      <c r="D261" t="s">
        <v>149</v>
      </c>
      <c r="E261" t="s">
        <v>190</v>
      </c>
      <c r="F261" t="s">
        <v>43</v>
      </c>
      <c r="G261" t="s">
        <v>66</v>
      </c>
      <c r="H261">
        <v>3</v>
      </c>
      <c r="I261">
        <v>478.63</v>
      </c>
      <c r="J261">
        <v>0.2</v>
      </c>
      <c r="K261">
        <v>57.44</v>
      </c>
      <c r="L261">
        <v>9.5299999999999994</v>
      </c>
      <c r="M261">
        <v>1215.68</v>
      </c>
      <c r="N261" t="s">
        <v>24</v>
      </c>
      <c r="O261" t="s">
        <v>107</v>
      </c>
      <c r="P261" t="s">
        <v>95</v>
      </c>
      <c r="Q261" t="s">
        <v>37</v>
      </c>
      <c r="R261" t="s">
        <v>38</v>
      </c>
    </row>
    <row r="262" spans="1:18" x14ac:dyDescent="0.3">
      <c r="A262" t="s">
        <v>1672</v>
      </c>
      <c r="B262" s="13">
        <v>45050</v>
      </c>
      <c r="C262" t="s">
        <v>1673</v>
      </c>
      <c r="D262" t="s">
        <v>1632</v>
      </c>
      <c r="E262" t="s">
        <v>231</v>
      </c>
      <c r="F262" t="s">
        <v>43</v>
      </c>
      <c r="G262" t="s">
        <v>90</v>
      </c>
      <c r="H262">
        <v>1</v>
      </c>
      <c r="I262">
        <v>555.47</v>
      </c>
      <c r="J262">
        <v>0</v>
      </c>
      <c r="K262">
        <v>44.44</v>
      </c>
      <c r="L262">
        <v>9.32</v>
      </c>
      <c r="M262">
        <v>609.23</v>
      </c>
      <c r="N262" t="s">
        <v>58</v>
      </c>
      <c r="O262" t="s">
        <v>107</v>
      </c>
      <c r="P262" t="s">
        <v>95</v>
      </c>
      <c r="Q262" t="s">
        <v>37</v>
      </c>
      <c r="R262" t="s">
        <v>76</v>
      </c>
    </row>
    <row r="263" spans="1:18" x14ac:dyDescent="0.3">
      <c r="A263" t="s">
        <v>1702</v>
      </c>
      <c r="B263" s="13">
        <v>44287</v>
      </c>
      <c r="C263" t="s">
        <v>1703</v>
      </c>
      <c r="D263" t="s">
        <v>1066</v>
      </c>
      <c r="E263" t="s">
        <v>182</v>
      </c>
      <c r="F263" t="s">
        <v>43</v>
      </c>
      <c r="G263" t="s">
        <v>268</v>
      </c>
      <c r="H263">
        <v>5</v>
      </c>
      <c r="I263">
        <v>209.19</v>
      </c>
      <c r="J263">
        <v>0.15</v>
      </c>
      <c r="K263">
        <v>0</v>
      </c>
      <c r="L263">
        <v>10.6</v>
      </c>
      <c r="M263">
        <v>899.66</v>
      </c>
      <c r="N263" t="s">
        <v>58</v>
      </c>
      <c r="O263" t="s">
        <v>25</v>
      </c>
      <c r="P263" t="s">
        <v>101</v>
      </c>
      <c r="Q263" t="s">
        <v>102</v>
      </c>
      <c r="R263" t="s">
        <v>28</v>
      </c>
    </row>
    <row r="264" spans="1:18" x14ac:dyDescent="0.3">
      <c r="A264" t="s">
        <v>1706</v>
      </c>
      <c r="B264" s="13">
        <v>44022</v>
      </c>
      <c r="C264" t="s">
        <v>1707</v>
      </c>
      <c r="D264" t="s">
        <v>720</v>
      </c>
      <c r="E264" t="s">
        <v>324</v>
      </c>
      <c r="F264" t="s">
        <v>43</v>
      </c>
      <c r="G264" t="s">
        <v>34</v>
      </c>
      <c r="H264">
        <v>4</v>
      </c>
      <c r="I264">
        <v>26.16</v>
      </c>
      <c r="J264">
        <v>0.15</v>
      </c>
      <c r="K264">
        <v>4.45</v>
      </c>
      <c r="L264">
        <v>2.91</v>
      </c>
      <c r="M264">
        <v>96.3</v>
      </c>
      <c r="N264" t="s">
        <v>67</v>
      </c>
      <c r="O264" t="s">
        <v>107</v>
      </c>
      <c r="P264" t="s">
        <v>36</v>
      </c>
      <c r="Q264" t="s">
        <v>37</v>
      </c>
      <c r="R264" t="s">
        <v>38</v>
      </c>
    </row>
    <row r="265" spans="1:18" x14ac:dyDescent="0.3">
      <c r="A265" t="s">
        <v>1710</v>
      </c>
      <c r="B265" s="13">
        <v>45543</v>
      </c>
      <c r="C265" t="s">
        <v>1711</v>
      </c>
      <c r="D265" t="s">
        <v>566</v>
      </c>
      <c r="E265" t="s">
        <v>80</v>
      </c>
      <c r="F265" t="s">
        <v>43</v>
      </c>
      <c r="G265" t="s">
        <v>198</v>
      </c>
      <c r="H265">
        <v>5</v>
      </c>
      <c r="I265">
        <v>482.5</v>
      </c>
      <c r="J265">
        <v>0</v>
      </c>
      <c r="K265">
        <v>0</v>
      </c>
      <c r="L265">
        <v>5.78</v>
      </c>
      <c r="M265">
        <v>2418.2800000000002</v>
      </c>
      <c r="N265" t="s">
        <v>58</v>
      </c>
      <c r="O265" t="s">
        <v>25</v>
      </c>
      <c r="P265" t="s">
        <v>60</v>
      </c>
      <c r="Q265" t="s">
        <v>37</v>
      </c>
      <c r="R265" t="s">
        <v>38</v>
      </c>
    </row>
    <row r="266" spans="1:18" x14ac:dyDescent="0.3">
      <c r="A266" t="s">
        <v>1715</v>
      </c>
      <c r="B266" s="13">
        <v>44808</v>
      </c>
      <c r="C266" t="s">
        <v>1716</v>
      </c>
      <c r="D266" t="s">
        <v>1593</v>
      </c>
      <c r="E266" t="s">
        <v>94</v>
      </c>
      <c r="F266" t="s">
        <v>43</v>
      </c>
      <c r="G266" t="s">
        <v>203</v>
      </c>
      <c r="H266">
        <v>3</v>
      </c>
      <c r="I266">
        <v>107.51</v>
      </c>
      <c r="J266">
        <v>0.05</v>
      </c>
      <c r="K266">
        <v>0</v>
      </c>
      <c r="L266">
        <v>13.53</v>
      </c>
      <c r="M266">
        <v>319.93</v>
      </c>
      <c r="N266" t="s">
        <v>58</v>
      </c>
      <c r="O266" t="s">
        <v>107</v>
      </c>
      <c r="P266" t="s">
        <v>165</v>
      </c>
      <c r="Q266" t="s">
        <v>37</v>
      </c>
      <c r="R266" t="s">
        <v>38</v>
      </c>
    </row>
    <row r="267" spans="1:18" x14ac:dyDescent="0.3">
      <c r="A267" t="s">
        <v>1731</v>
      </c>
      <c r="B267" s="13">
        <v>45634</v>
      </c>
      <c r="C267" t="s">
        <v>1732</v>
      </c>
      <c r="D267" t="s">
        <v>480</v>
      </c>
      <c r="E267" t="s">
        <v>287</v>
      </c>
      <c r="F267" t="s">
        <v>43</v>
      </c>
      <c r="G267" t="s">
        <v>66</v>
      </c>
      <c r="H267">
        <v>2</v>
      </c>
      <c r="I267">
        <v>71.290000000000006</v>
      </c>
      <c r="J267">
        <v>0.05</v>
      </c>
      <c r="K267">
        <v>10.84</v>
      </c>
      <c r="L267">
        <v>13.13</v>
      </c>
      <c r="M267">
        <v>159.41999999999999</v>
      </c>
      <c r="N267" t="s">
        <v>35</v>
      </c>
      <c r="O267" t="s">
        <v>25</v>
      </c>
      <c r="P267" t="s">
        <v>36</v>
      </c>
      <c r="Q267" t="s">
        <v>37</v>
      </c>
      <c r="R267" t="s">
        <v>38</v>
      </c>
    </row>
    <row r="268" spans="1:18" x14ac:dyDescent="0.3">
      <c r="A268" t="s">
        <v>1735</v>
      </c>
      <c r="B268" s="13">
        <v>45549</v>
      </c>
      <c r="C268" t="s">
        <v>1736</v>
      </c>
      <c r="D268" t="s">
        <v>623</v>
      </c>
      <c r="E268" t="s">
        <v>202</v>
      </c>
      <c r="F268" t="s">
        <v>43</v>
      </c>
      <c r="G268" t="s">
        <v>100</v>
      </c>
      <c r="H268">
        <v>1</v>
      </c>
      <c r="I268">
        <v>362.88</v>
      </c>
      <c r="J268">
        <v>0.05</v>
      </c>
      <c r="K268">
        <v>41.37</v>
      </c>
      <c r="L268">
        <v>7.83</v>
      </c>
      <c r="M268">
        <v>393.94</v>
      </c>
      <c r="N268" t="s">
        <v>58</v>
      </c>
      <c r="O268" t="s">
        <v>25</v>
      </c>
      <c r="P268" t="s">
        <v>165</v>
      </c>
      <c r="Q268" t="s">
        <v>37</v>
      </c>
      <c r="R268" t="s">
        <v>38</v>
      </c>
    </row>
    <row r="269" spans="1:18" x14ac:dyDescent="0.3">
      <c r="A269" t="s">
        <v>1739</v>
      </c>
      <c r="B269" s="13">
        <v>44109</v>
      </c>
      <c r="C269" t="s">
        <v>1740</v>
      </c>
      <c r="D269" t="s">
        <v>734</v>
      </c>
      <c r="E269" t="s">
        <v>80</v>
      </c>
      <c r="F269" t="s">
        <v>43</v>
      </c>
      <c r="G269" t="s">
        <v>90</v>
      </c>
      <c r="H269">
        <v>2</v>
      </c>
      <c r="I269">
        <v>298.51</v>
      </c>
      <c r="J269">
        <v>0.3</v>
      </c>
      <c r="K269">
        <v>20.9</v>
      </c>
      <c r="L269">
        <v>6.99</v>
      </c>
      <c r="M269">
        <v>445.8</v>
      </c>
      <c r="N269" t="s">
        <v>58</v>
      </c>
      <c r="O269" t="s">
        <v>25</v>
      </c>
      <c r="P269" t="s">
        <v>165</v>
      </c>
      <c r="Q269" t="s">
        <v>37</v>
      </c>
      <c r="R269" t="s">
        <v>38</v>
      </c>
    </row>
    <row r="270" spans="1:18" x14ac:dyDescent="0.3">
      <c r="A270" t="s">
        <v>1744</v>
      </c>
      <c r="B270" s="13">
        <v>44703</v>
      </c>
      <c r="C270" t="s">
        <v>1745</v>
      </c>
      <c r="D270" t="s">
        <v>704</v>
      </c>
      <c r="E270" t="s">
        <v>294</v>
      </c>
      <c r="F270" t="s">
        <v>43</v>
      </c>
      <c r="G270" t="s">
        <v>268</v>
      </c>
      <c r="H270">
        <v>1</v>
      </c>
      <c r="I270">
        <v>470.49</v>
      </c>
      <c r="J270">
        <v>0.15</v>
      </c>
      <c r="K270">
        <v>20</v>
      </c>
      <c r="L270">
        <v>4.9000000000000004</v>
      </c>
      <c r="M270">
        <v>424.82</v>
      </c>
      <c r="N270" t="s">
        <v>123</v>
      </c>
      <c r="O270" t="s">
        <v>25</v>
      </c>
      <c r="P270" t="s">
        <v>117</v>
      </c>
      <c r="Q270" t="s">
        <v>118</v>
      </c>
      <c r="R270" t="s">
        <v>38</v>
      </c>
    </row>
    <row r="271" spans="1:18" x14ac:dyDescent="0.3">
      <c r="A271" t="s">
        <v>1746</v>
      </c>
      <c r="B271" s="13">
        <v>45652</v>
      </c>
      <c r="C271" t="s">
        <v>1747</v>
      </c>
      <c r="D271" t="s">
        <v>282</v>
      </c>
      <c r="E271" t="s">
        <v>190</v>
      </c>
      <c r="F271" t="s">
        <v>43</v>
      </c>
      <c r="G271" t="s">
        <v>34</v>
      </c>
      <c r="H271">
        <v>5</v>
      </c>
      <c r="I271">
        <v>245.4</v>
      </c>
      <c r="J271">
        <v>0.05</v>
      </c>
      <c r="K271">
        <v>58.28</v>
      </c>
      <c r="L271">
        <v>11.42</v>
      </c>
      <c r="M271">
        <v>1235.3499999999999</v>
      </c>
      <c r="N271" t="s">
        <v>35</v>
      </c>
      <c r="O271" t="s">
        <v>82</v>
      </c>
      <c r="P271" t="s">
        <v>257</v>
      </c>
      <c r="Q271" t="s">
        <v>69</v>
      </c>
      <c r="R271" t="s">
        <v>38</v>
      </c>
    </row>
    <row r="272" spans="1:18" x14ac:dyDescent="0.3">
      <c r="A272" t="s">
        <v>1752</v>
      </c>
      <c r="B272" s="13">
        <v>44426</v>
      </c>
      <c r="C272" t="s">
        <v>1753</v>
      </c>
      <c r="D272" t="s">
        <v>1265</v>
      </c>
      <c r="E272" t="s">
        <v>202</v>
      </c>
      <c r="F272" t="s">
        <v>43</v>
      </c>
      <c r="G272" t="s">
        <v>66</v>
      </c>
      <c r="H272">
        <v>4</v>
      </c>
      <c r="I272">
        <v>467.71</v>
      </c>
      <c r="J272">
        <v>0.15</v>
      </c>
      <c r="K272">
        <v>190.83</v>
      </c>
      <c r="L272">
        <v>10.5</v>
      </c>
      <c r="M272">
        <v>1791.54</v>
      </c>
      <c r="N272" t="s">
        <v>24</v>
      </c>
      <c r="O272" t="s">
        <v>25</v>
      </c>
      <c r="P272" t="s">
        <v>95</v>
      </c>
      <c r="Q272" t="s">
        <v>37</v>
      </c>
      <c r="R272" t="s">
        <v>38</v>
      </c>
    </row>
    <row r="273" spans="1:18" x14ac:dyDescent="0.3">
      <c r="A273" t="s">
        <v>1758</v>
      </c>
      <c r="B273" s="13">
        <v>44227</v>
      </c>
      <c r="C273" t="s">
        <v>1759</v>
      </c>
      <c r="D273" t="s">
        <v>149</v>
      </c>
      <c r="E273" t="s">
        <v>190</v>
      </c>
      <c r="F273" t="s">
        <v>43</v>
      </c>
      <c r="G273" t="s">
        <v>49</v>
      </c>
      <c r="H273">
        <v>2</v>
      </c>
      <c r="I273">
        <v>56.82</v>
      </c>
      <c r="J273">
        <v>0</v>
      </c>
      <c r="K273">
        <v>13.64</v>
      </c>
      <c r="L273">
        <v>10.54</v>
      </c>
      <c r="M273">
        <v>137.82</v>
      </c>
      <c r="N273" t="s">
        <v>35</v>
      </c>
      <c r="O273" t="s">
        <v>25</v>
      </c>
      <c r="P273" t="s">
        <v>51</v>
      </c>
      <c r="Q273" t="s">
        <v>52</v>
      </c>
      <c r="R273" t="s">
        <v>28</v>
      </c>
    </row>
    <row r="274" spans="1:18" x14ac:dyDescent="0.3">
      <c r="A274" t="s">
        <v>1776</v>
      </c>
      <c r="B274" s="13">
        <v>44095</v>
      </c>
      <c r="C274" t="s">
        <v>1777</v>
      </c>
      <c r="D274" t="s">
        <v>596</v>
      </c>
      <c r="E274" t="s">
        <v>256</v>
      </c>
      <c r="F274" t="s">
        <v>43</v>
      </c>
      <c r="G274" t="s">
        <v>66</v>
      </c>
      <c r="H274">
        <v>5</v>
      </c>
      <c r="I274">
        <v>552.04</v>
      </c>
      <c r="J274">
        <v>0.05</v>
      </c>
      <c r="K274">
        <v>314.66000000000003</v>
      </c>
      <c r="L274">
        <v>0.69</v>
      </c>
      <c r="M274">
        <v>2937.54</v>
      </c>
      <c r="N274" t="s">
        <v>24</v>
      </c>
      <c r="O274" t="s">
        <v>59</v>
      </c>
      <c r="P274" t="s">
        <v>145</v>
      </c>
      <c r="Q274" t="s">
        <v>146</v>
      </c>
      <c r="R274" t="s">
        <v>38</v>
      </c>
    </row>
    <row r="275" spans="1:18" x14ac:dyDescent="0.3">
      <c r="A275" t="s">
        <v>1785</v>
      </c>
      <c r="B275" s="13">
        <v>44565</v>
      </c>
      <c r="C275" t="s">
        <v>1786</v>
      </c>
      <c r="D275" t="s">
        <v>662</v>
      </c>
      <c r="E275" t="s">
        <v>42</v>
      </c>
      <c r="F275" t="s">
        <v>43</v>
      </c>
      <c r="G275" t="s">
        <v>268</v>
      </c>
      <c r="H275">
        <v>2</v>
      </c>
      <c r="I275">
        <v>567.80999999999995</v>
      </c>
      <c r="J275">
        <v>0</v>
      </c>
      <c r="K275">
        <v>0</v>
      </c>
      <c r="L275">
        <v>2.09</v>
      </c>
      <c r="M275">
        <v>1137.71</v>
      </c>
      <c r="N275" t="s">
        <v>58</v>
      </c>
      <c r="O275" t="s">
        <v>25</v>
      </c>
      <c r="P275" t="s">
        <v>26</v>
      </c>
      <c r="Q275" t="s">
        <v>27</v>
      </c>
      <c r="R275" t="s">
        <v>38</v>
      </c>
    </row>
    <row r="276" spans="1:18" x14ac:dyDescent="0.3">
      <c r="A276" t="s">
        <v>1811</v>
      </c>
      <c r="B276" s="13">
        <v>44721</v>
      </c>
      <c r="C276" t="s">
        <v>1812</v>
      </c>
      <c r="D276" t="s">
        <v>704</v>
      </c>
      <c r="E276" t="s">
        <v>425</v>
      </c>
      <c r="F276" t="s">
        <v>43</v>
      </c>
      <c r="G276" t="s">
        <v>100</v>
      </c>
      <c r="H276">
        <v>4</v>
      </c>
      <c r="I276">
        <v>52.22</v>
      </c>
      <c r="J276">
        <v>0.05</v>
      </c>
      <c r="K276">
        <v>15.87</v>
      </c>
      <c r="L276">
        <v>3.55</v>
      </c>
      <c r="M276">
        <v>217.86</v>
      </c>
      <c r="N276" t="s">
        <v>24</v>
      </c>
      <c r="O276" t="s">
        <v>25</v>
      </c>
      <c r="P276" t="s">
        <v>101</v>
      </c>
      <c r="Q276" t="s">
        <v>102</v>
      </c>
      <c r="R276" t="s">
        <v>38</v>
      </c>
    </row>
    <row r="277" spans="1:18" x14ac:dyDescent="0.3">
      <c r="A277" t="s">
        <v>1827</v>
      </c>
      <c r="B277" s="13">
        <v>43939</v>
      </c>
      <c r="C277" t="s">
        <v>1828</v>
      </c>
      <c r="D277" t="s">
        <v>1580</v>
      </c>
      <c r="E277" t="s">
        <v>498</v>
      </c>
      <c r="F277" t="s">
        <v>43</v>
      </c>
      <c r="G277" t="s">
        <v>57</v>
      </c>
      <c r="H277">
        <v>3</v>
      </c>
      <c r="I277">
        <v>369.85</v>
      </c>
      <c r="J277">
        <v>0</v>
      </c>
      <c r="K277">
        <v>199.72</v>
      </c>
      <c r="L277">
        <v>11.04</v>
      </c>
      <c r="M277">
        <v>1320.31</v>
      </c>
      <c r="N277" t="s">
        <v>35</v>
      </c>
      <c r="O277" t="s">
        <v>82</v>
      </c>
      <c r="P277" t="s">
        <v>36</v>
      </c>
      <c r="Q277" t="s">
        <v>37</v>
      </c>
      <c r="R277" t="s">
        <v>38</v>
      </c>
    </row>
    <row r="278" spans="1:18" x14ac:dyDescent="0.3">
      <c r="A278" t="s">
        <v>1831</v>
      </c>
      <c r="B278" s="13">
        <v>44896</v>
      </c>
      <c r="C278" t="s">
        <v>1832</v>
      </c>
      <c r="D278" t="s">
        <v>323</v>
      </c>
      <c r="E278" t="s">
        <v>386</v>
      </c>
      <c r="F278" t="s">
        <v>43</v>
      </c>
      <c r="G278" t="s">
        <v>90</v>
      </c>
      <c r="H278">
        <v>2</v>
      </c>
      <c r="I278">
        <v>535.91</v>
      </c>
      <c r="J278">
        <v>0</v>
      </c>
      <c r="K278">
        <v>53.59</v>
      </c>
      <c r="L278">
        <v>6.09</v>
      </c>
      <c r="M278">
        <v>1131.5</v>
      </c>
      <c r="N278" t="s">
        <v>24</v>
      </c>
      <c r="O278" t="s">
        <v>25</v>
      </c>
      <c r="P278" t="s">
        <v>173</v>
      </c>
      <c r="Q278" t="s">
        <v>174</v>
      </c>
      <c r="R278" t="s">
        <v>38</v>
      </c>
    </row>
    <row r="279" spans="1:18" x14ac:dyDescent="0.3">
      <c r="A279" t="s">
        <v>1855</v>
      </c>
      <c r="B279" s="13">
        <v>44581</v>
      </c>
      <c r="C279" t="s">
        <v>1856</v>
      </c>
      <c r="D279" t="s">
        <v>343</v>
      </c>
      <c r="E279" t="s">
        <v>691</v>
      </c>
      <c r="F279" t="s">
        <v>43</v>
      </c>
      <c r="G279" t="s">
        <v>57</v>
      </c>
      <c r="H279">
        <v>1</v>
      </c>
      <c r="I279">
        <v>97.37</v>
      </c>
      <c r="J279">
        <v>0.1</v>
      </c>
      <c r="K279">
        <v>7.01</v>
      </c>
      <c r="L279">
        <v>7.33</v>
      </c>
      <c r="M279">
        <v>101.97</v>
      </c>
      <c r="N279" t="s">
        <v>58</v>
      </c>
      <c r="O279" t="s">
        <v>25</v>
      </c>
      <c r="P279" t="s">
        <v>124</v>
      </c>
      <c r="Q279" t="s">
        <v>125</v>
      </c>
      <c r="R279" t="s">
        <v>61</v>
      </c>
    </row>
    <row r="280" spans="1:18" x14ac:dyDescent="0.3">
      <c r="A280" t="s">
        <v>1861</v>
      </c>
      <c r="B280" s="13">
        <v>44928</v>
      </c>
      <c r="C280" t="s">
        <v>1862</v>
      </c>
      <c r="D280" t="s">
        <v>477</v>
      </c>
      <c r="E280" t="s">
        <v>132</v>
      </c>
      <c r="F280" t="s">
        <v>43</v>
      </c>
      <c r="G280" t="s">
        <v>268</v>
      </c>
      <c r="H280">
        <v>4</v>
      </c>
      <c r="I280">
        <v>239.64</v>
      </c>
      <c r="J280">
        <v>0.05</v>
      </c>
      <c r="K280">
        <v>109.28</v>
      </c>
      <c r="L280">
        <v>5.29</v>
      </c>
      <c r="M280">
        <v>1025.2</v>
      </c>
      <c r="N280" t="s">
        <v>58</v>
      </c>
      <c r="O280" t="s">
        <v>25</v>
      </c>
      <c r="P280" t="s">
        <v>165</v>
      </c>
      <c r="Q280" t="s">
        <v>37</v>
      </c>
      <c r="R280" t="s">
        <v>38</v>
      </c>
    </row>
    <row r="281" spans="1:18" x14ac:dyDescent="0.3">
      <c r="A281" t="s">
        <v>1863</v>
      </c>
      <c r="B281" s="13">
        <v>44784</v>
      </c>
      <c r="C281" t="s">
        <v>1850</v>
      </c>
      <c r="D281" t="s">
        <v>1173</v>
      </c>
      <c r="E281" t="s">
        <v>164</v>
      </c>
      <c r="F281" t="s">
        <v>43</v>
      </c>
      <c r="G281" t="s">
        <v>57</v>
      </c>
      <c r="H281">
        <v>1</v>
      </c>
      <c r="I281">
        <v>462.85</v>
      </c>
      <c r="J281">
        <v>0</v>
      </c>
      <c r="K281">
        <v>55.54</v>
      </c>
      <c r="L281">
        <v>12.33</v>
      </c>
      <c r="M281">
        <v>530.72</v>
      </c>
      <c r="N281" t="s">
        <v>24</v>
      </c>
      <c r="O281" t="s">
        <v>82</v>
      </c>
      <c r="P281" t="s">
        <v>74</v>
      </c>
      <c r="Q281" t="s">
        <v>75</v>
      </c>
      <c r="R281" t="s">
        <v>38</v>
      </c>
    </row>
    <row r="282" spans="1:18" x14ac:dyDescent="0.3">
      <c r="A282" t="s">
        <v>1876</v>
      </c>
      <c r="B282" s="13">
        <v>45507</v>
      </c>
      <c r="C282" t="s">
        <v>1877</v>
      </c>
      <c r="D282" t="s">
        <v>1632</v>
      </c>
      <c r="E282" t="s">
        <v>283</v>
      </c>
      <c r="F282" t="s">
        <v>43</v>
      </c>
      <c r="G282" t="s">
        <v>198</v>
      </c>
      <c r="H282">
        <v>1</v>
      </c>
      <c r="I282">
        <v>438.95</v>
      </c>
      <c r="J282">
        <v>0.1</v>
      </c>
      <c r="K282">
        <v>31.6</v>
      </c>
      <c r="L282">
        <v>1.46</v>
      </c>
      <c r="M282">
        <v>428.12</v>
      </c>
      <c r="N282" t="s">
        <v>67</v>
      </c>
      <c r="O282" t="s">
        <v>25</v>
      </c>
      <c r="P282" t="s">
        <v>165</v>
      </c>
      <c r="Q282" t="s">
        <v>37</v>
      </c>
      <c r="R282" t="s">
        <v>38</v>
      </c>
    </row>
    <row r="283" spans="1:18" x14ac:dyDescent="0.3">
      <c r="A283" t="s">
        <v>1885</v>
      </c>
      <c r="B283" s="13">
        <v>44776</v>
      </c>
      <c r="C283" t="s">
        <v>1886</v>
      </c>
      <c r="D283" t="s">
        <v>469</v>
      </c>
      <c r="E283" t="s">
        <v>267</v>
      </c>
      <c r="F283" t="s">
        <v>43</v>
      </c>
      <c r="G283" t="s">
        <v>49</v>
      </c>
      <c r="H283">
        <v>1</v>
      </c>
      <c r="I283">
        <v>570.99</v>
      </c>
      <c r="J283">
        <v>0.15</v>
      </c>
      <c r="K283">
        <v>58.24</v>
      </c>
      <c r="L283">
        <v>0.54</v>
      </c>
      <c r="M283">
        <v>544.12</v>
      </c>
      <c r="N283" t="s">
        <v>58</v>
      </c>
      <c r="O283" t="s">
        <v>25</v>
      </c>
      <c r="P283" t="s">
        <v>101</v>
      </c>
      <c r="Q283" t="s">
        <v>102</v>
      </c>
      <c r="R283" t="s">
        <v>38</v>
      </c>
    </row>
    <row r="284" spans="1:18" x14ac:dyDescent="0.3">
      <c r="A284" t="s">
        <v>1887</v>
      </c>
      <c r="B284" s="13">
        <v>44625</v>
      </c>
      <c r="C284" t="s">
        <v>1888</v>
      </c>
      <c r="D284" t="s">
        <v>110</v>
      </c>
      <c r="E284" t="s">
        <v>169</v>
      </c>
      <c r="F284" t="s">
        <v>43</v>
      </c>
      <c r="G284" t="s">
        <v>198</v>
      </c>
      <c r="H284">
        <v>3</v>
      </c>
      <c r="I284">
        <v>527.74</v>
      </c>
      <c r="J284">
        <v>0</v>
      </c>
      <c r="K284">
        <v>189.99</v>
      </c>
      <c r="L284">
        <v>7.05</v>
      </c>
      <c r="M284">
        <v>1780.26</v>
      </c>
      <c r="N284" t="s">
        <v>58</v>
      </c>
      <c r="O284" t="s">
        <v>25</v>
      </c>
      <c r="P284" t="s">
        <v>51</v>
      </c>
      <c r="Q284" t="s">
        <v>52</v>
      </c>
      <c r="R284" t="s">
        <v>38</v>
      </c>
    </row>
    <row r="285" spans="1:18" x14ac:dyDescent="0.3">
      <c r="A285" t="s">
        <v>1931</v>
      </c>
      <c r="B285" s="13">
        <v>44275</v>
      </c>
      <c r="C285" t="s">
        <v>1932</v>
      </c>
      <c r="D285" t="s">
        <v>312</v>
      </c>
      <c r="E285" t="s">
        <v>231</v>
      </c>
      <c r="F285" t="s">
        <v>43</v>
      </c>
      <c r="G285" t="s">
        <v>23</v>
      </c>
      <c r="H285">
        <v>1</v>
      </c>
      <c r="I285">
        <v>205.86</v>
      </c>
      <c r="J285">
        <v>0</v>
      </c>
      <c r="K285">
        <v>10.29</v>
      </c>
      <c r="L285">
        <v>5.89</v>
      </c>
      <c r="M285">
        <v>222.04</v>
      </c>
      <c r="N285" t="s">
        <v>58</v>
      </c>
      <c r="O285" t="s">
        <v>25</v>
      </c>
      <c r="P285" t="s">
        <v>44</v>
      </c>
      <c r="Q285" t="s">
        <v>37</v>
      </c>
      <c r="R285" t="s">
        <v>38</v>
      </c>
    </row>
    <row r="286" spans="1:18" x14ac:dyDescent="0.3">
      <c r="A286" t="s">
        <v>1949</v>
      </c>
      <c r="B286" s="13">
        <v>45305</v>
      </c>
      <c r="C286" t="s">
        <v>1950</v>
      </c>
      <c r="D286" t="s">
        <v>1158</v>
      </c>
      <c r="E286" t="s">
        <v>122</v>
      </c>
      <c r="F286" t="s">
        <v>43</v>
      </c>
      <c r="G286" t="s">
        <v>100</v>
      </c>
      <c r="H286">
        <v>4</v>
      </c>
      <c r="I286">
        <v>49.32</v>
      </c>
      <c r="J286">
        <v>0.25</v>
      </c>
      <c r="K286">
        <v>11.84</v>
      </c>
      <c r="L286">
        <v>7.92</v>
      </c>
      <c r="M286">
        <v>167.72</v>
      </c>
      <c r="N286" t="s">
        <v>24</v>
      </c>
      <c r="O286" t="s">
        <v>25</v>
      </c>
      <c r="P286" t="s">
        <v>133</v>
      </c>
      <c r="Q286" t="s">
        <v>134</v>
      </c>
      <c r="R286" t="s">
        <v>28</v>
      </c>
    </row>
    <row r="287" spans="1:18" x14ac:dyDescent="0.3">
      <c r="A287" t="s">
        <v>1955</v>
      </c>
      <c r="B287" s="13">
        <v>44584</v>
      </c>
      <c r="C287" t="s">
        <v>1956</v>
      </c>
      <c r="D287" t="s">
        <v>286</v>
      </c>
      <c r="E287" t="s">
        <v>190</v>
      </c>
      <c r="F287" t="s">
        <v>43</v>
      </c>
      <c r="G287" t="s">
        <v>198</v>
      </c>
      <c r="H287">
        <v>1</v>
      </c>
      <c r="I287">
        <v>72.12</v>
      </c>
      <c r="J287">
        <v>0.1</v>
      </c>
      <c r="K287">
        <v>5.19</v>
      </c>
      <c r="L287">
        <v>14.92</v>
      </c>
      <c r="M287">
        <v>85.02</v>
      </c>
      <c r="N287" t="s">
        <v>50</v>
      </c>
      <c r="O287" t="s">
        <v>25</v>
      </c>
      <c r="P287" t="s">
        <v>257</v>
      </c>
      <c r="Q287" t="s">
        <v>69</v>
      </c>
      <c r="R287" t="s">
        <v>38</v>
      </c>
    </row>
    <row r="288" spans="1:18" x14ac:dyDescent="0.3">
      <c r="A288" t="s">
        <v>1959</v>
      </c>
      <c r="B288" s="13">
        <v>45492</v>
      </c>
      <c r="C288" t="s">
        <v>1960</v>
      </c>
      <c r="D288" t="s">
        <v>47</v>
      </c>
      <c r="E288" t="s">
        <v>231</v>
      </c>
      <c r="F288" t="s">
        <v>43</v>
      </c>
      <c r="G288" t="s">
        <v>34</v>
      </c>
      <c r="H288">
        <v>5</v>
      </c>
      <c r="I288">
        <v>439.44</v>
      </c>
      <c r="J288">
        <v>0.2</v>
      </c>
      <c r="K288">
        <v>0</v>
      </c>
      <c r="L288">
        <v>5.0199999999999996</v>
      </c>
      <c r="M288">
        <v>1762.78</v>
      </c>
      <c r="N288" t="s">
        <v>58</v>
      </c>
      <c r="O288" t="s">
        <v>107</v>
      </c>
      <c r="P288" t="s">
        <v>145</v>
      </c>
      <c r="Q288" t="s">
        <v>146</v>
      </c>
      <c r="R288" t="s">
        <v>28</v>
      </c>
    </row>
    <row r="289" spans="1:18" x14ac:dyDescent="0.3">
      <c r="A289" t="s">
        <v>1963</v>
      </c>
      <c r="B289" s="13">
        <v>45514</v>
      </c>
      <c r="C289" t="s">
        <v>1964</v>
      </c>
      <c r="D289" t="s">
        <v>410</v>
      </c>
      <c r="E289" t="s">
        <v>160</v>
      </c>
      <c r="F289" t="s">
        <v>43</v>
      </c>
      <c r="G289" t="s">
        <v>57</v>
      </c>
      <c r="H289">
        <v>5</v>
      </c>
      <c r="I289">
        <v>531.95000000000005</v>
      </c>
      <c r="J289">
        <v>0.05</v>
      </c>
      <c r="K289">
        <v>202.14</v>
      </c>
      <c r="L289">
        <v>6.92</v>
      </c>
      <c r="M289">
        <v>2735.82</v>
      </c>
      <c r="N289" t="s">
        <v>58</v>
      </c>
      <c r="O289" t="s">
        <v>25</v>
      </c>
      <c r="P289" t="s">
        <v>26</v>
      </c>
      <c r="Q289" t="s">
        <v>27</v>
      </c>
      <c r="R289" t="s">
        <v>38</v>
      </c>
    </row>
    <row r="290" spans="1:18" x14ac:dyDescent="0.3">
      <c r="A290" t="s">
        <v>1969</v>
      </c>
      <c r="B290" s="13">
        <v>44659</v>
      </c>
      <c r="C290" t="s">
        <v>1970</v>
      </c>
      <c r="D290" t="s">
        <v>286</v>
      </c>
      <c r="E290" t="s">
        <v>231</v>
      </c>
      <c r="F290" t="s">
        <v>43</v>
      </c>
      <c r="G290" t="s">
        <v>57</v>
      </c>
      <c r="H290">
        <v>1</v>
      </c>
      <c r="I290">
        <v>120.8</v>
      </c>
      <c r="J290">
        <v>0</v>
      </c>
      <c r="K290">
        <v>6.04</v>
      </c>
      <c r="L290">
        <v>12.05</v>
      </c>
      <c r="M290">
        <v>138.88999999999999</v>
      </c>
      <c r="N290" t="s">
        <v>24</v>
      </c>
      <c r="O290" t="s">
        <v>25</v>
      </c>
      <c r="P290" t="s">
        <v>60</v>
      </c>
      <c r="Q290" t="s">
        <v>37</v>
      </c>
      <c r="R290" t="s">
        <v>38</v>
      </c>
    </row>
    <row r="291" spans="1:18" x14ac:dyDescent="0.3">
      <c r="A291" t="s">
        <v>1975</v>
      </c>
      <c r="B291" s="13">
        <v>44855</v>
      </c>
      <c r="C291" t="s">
        <v>1976</v>
      </c>
      <c r="D291" t="s">
        <v>445</v>
      </c>
      <c r="E291" t="s">
        <v>283</v>
      </c>
      <c r="F291" t="s">
        <v>43</v>
      </c>
      <c r="G291" t="s">
        <v>34</v>
      </c>
      <c r="H291">
        <v>4</v>
      </c>
      <c r="I291">
        <v>367.4</v>
      </c>
      <c r="J291">
        <v>0</v>
      </c>
      <c r="K291">
        <v>0</v>
      </c>
      <c r="L291">
        <v>2.4</v>
      </c>
      <c r="M291">
        <v>1472</v>
      </c>
      <c r="N291" t="s">
        <v>24</v>
      </c>
      <c r="O291" t="s">
        <v>25</v>
      </c>
      <c r="P291" t="s">
        <v>133</v>
      </c>
      <c r="Q291" t="s">
        <v>134</v>
      </c>
      <c r="R291" t="s">
        <v>38</v>
      </c>
    </row>
    <row r="292" spans="1:18" x14ac:dyDescent="0.3">
      <c r="A292" t="s">
        <v>1993</v>
      </c>
      <c r="B292" s="13">
        <v>44654</v>
      </c>
      <c r="C292" t="s">
        <v>1994</v>
      </c>
      <c r="D292" t="s">
        <v>312</v>
      </c>
      <c r="E292" t="s">
        <v>577</v>
      </c>
      <c r="F292" t="s">
        <v>43</v>
      </c>
      <c r="G292" t="s">
        <v>66</v>
      </c>
      <c r="H292">
        <v>4</v>
      </c>
      <c r="I292">
        <v>431.13</v>
      </c>
      <c r="J292">
        <v>0.25</v>
      </c>
      <c r="K292">
        <v>64.67</v>
      </c>
      <c r="L292">
        <v>13</v>
      </c>
      <c r="M292">
        <v>1371.06</v>
      </c>
      <c r="N292" t="s">
        <v>35</v>
      </c>
      <c r="O292" t="s">
        <v>25</v>
      </c>
      <c r="P292" t="s">
        <v>150</v>
      </c>
      <c r="Q292" t="s">
        <v>69</v>
      </c>
      <c r="R292" t="s">
        <v>38</v>
      </c>
    </row>
    <row r="293" spans="1:18" x14ac:dyDescent="0.3">
      <c r="A293" t="s">
        <v>2011</v>
      </c>
      <c r="B293" s="13">
        <v>44003</v>
      </c>
      <c r="C293" t="s">
        <v>2012</v>
      </c>
      <c r="D293" t="s">
        <v>634</v>
      </c>
      <c r="E293" t="s">
        <v>32</v>
      </c>
      <c r="F293" t="s">
        <v>43</v>
      </c>
      <c r="G293" t="s">
        <v>100</v>
      </c>
      <c r="H293">
        <v>2</v>
      </c>
      <c r="I293">
        <v>287.27999999999997</v>
      </c>
      <c r="J293">
        <v>0</v>
      </c>
      <c r="K293">
        <v>28.73</v>
      </c>
      <c r="L293">
        <v>7.87</v>
      </c>
      <c r="M293">
        <v>611.16</v>
      </c>
      <c r="N293" t="s">
        <v>67</v>
      </c>
      <c r="O293" t="s">
        <v>25</v>
      </c>
      <c r="P293" t="s">
        <v>178</v>
      </c>
      <c r="Q293" t="s">
        <v>69</v>
      </c>
      <c r="R293" t="s">
        <v>38</v>
      </c>
    </row>
    <row r="294" spans="1:18" x14ac:dyDescent="0.3">
      <c r="A294" t="s">
        <v>2037</v>
      </c>
      <c r="B294" s="13">
        <v>45295</v>
      </c>
      <c r="C294" t="s">
        <v>2038</v>
      </c>
      <c r="D294" t="s">
        <v>286</v>
      </c>
      <c r="E294" t="s">
        <v>349</v>
      </c>
      <c r="F294" t="s">
        <v>43</v>
      </c>
      <c r="G294" t="s">
        <v>203</v>
      </c>
      <c r="H294">
        <v>4</v>
      </c>
      <c r="I294">
        <v>99.03</v>
      </c>
      <c r="J294">
        <v>0.05</v>
      </c>
      <c r="K294">
        <v>45.16</v>
      </c>
      <c r="L294">
        <v>8.5299999999999994</v>
      </c>
      <c r="M294">
        <v>430</v>
      </c>
      <c r="N294" t="s">
        <v>35</v>
      </c>
      <c r="O294" t="s">
        <v>107</v>
      </c>
      <c r="P294" t="s">
        <v>257</v>
      </c>
      <c r="Q294" t="s">
        <v>69</v>
      </c>
      <c r="R294" t="s">
        <v>38</v>
      </c>
    </row>
    <row r="295" spans="1:18" x14ac:dyDescent="0.3">
      <c r="A295" t="s">
        <v>2045</v>
      </c>
      <c r="B295" s="13">
        <v>45159</v>
      </c>
      <c r="C295" t="s">
        <v>2046</v>
      </c>
      <c r="D295" t="s">
        <v>539</v>
      </c>
      <c r="E295" t="s">
        <v>267</v>
      </c>
      <c r="F295" t="s">
        <v>43</v>
      </c>
      <c r="G295" t="s">
        <v>34</v>
      </c>
      <c r="H295">
        <v>3</v>
      </c>
      <c r="I295">
        <v>561.66999999999996</v>
      </c>
      <c r="J295">
        <v>0.15</v>
      </c>
      <c r="K295">
        <v>114.58</v>
      </c>
      <c r="L295">
        <v>11.15</v>
      </c>
      <c r="M295">
        <v>1557.99</v>
      </c>
      <c r="N295" t="s">
        <v>58</v>
      </c>
      <c r="O295" t="s">
        <v>107</v>
      </c>
      <c r="P295" t="s">
        <v>165</v>
      </c>
      <c r="Q295" t="s">
        <v>37</v>
      </c>
      <c r="R295" t="s">
        <v>183</v>
      </c>
    </row>
    <row r="296" spans="1:18" x14ac:dyDescent="0.3">
      <c r="A296" t="s">
        <v>2060</v>
      </c>
      <c r="B296" s="13">
        <v>44486</v>
      </c>
      <c r="C296" t="s">
        <v>2061</v>
      </c>
      <c r="D296" t="s">
        <v>186</v>
      </c>
      <c r="E296" t="s">
        <v>88</v>
      </c>
      <c r="F296" t="s">
        <v>43</v>
      </c>
      <c r="G296" t="s">
        <v>203</v>
      </c>
      <c r="H296">
        <v>4</v>
      </c>
      <c r="I296">
        <v>200.64</v>
      </c>
      <c r="J296">
        <v>0.1</v>
      </c>
      <c r="K296">
        <v>57.78</v>
      </c>
      <c r="L296">
        <v>6.73</v>
      </c>
      <c r="M296">
        <v>786.81</v>
      </c>
      <c r="N296" t="s">
        <v>58</v>
      </c>
      <c r="O296" t="s">
        <v>107</v>
      </c>
      <c r="P296" t="s">
        <v>36</v>
      </c>
      <c r="Q296" t="s">
        <v>37</v>
      </c>
      <c r="R296" t="s">
        <v>38</v>
      </c>
    </row>
    <row r="297" spans="1:18" x14ac:dyDescent="0.3">
      <c r="A297" t="s">
        <v>2068</v>
      </c>
      <c r="B297" s="13">
        <v>45184</v>
      </c>
      <c r="C297" t="s">
        <v>2069</v>
      </c>
      <c r="D297" t="s">
        <v>589</v>
      </c>
      <c r="E297" t="s">
        <v>48</v>
      </c>
      <c r="F297" t="s">
        <v>43</v>
      </c>
      <c r="G297" t="s">
        <v>57</v>
      </c>
      <c r="H297">
        <v>3</v>
      </c>
      <c r="I297">
        <v>53.46</v>
      </c>
      <c r="J297">
        <v>0.05</v>
      </c>
      <c r="K297">
        <v>18.28</v>
      </c>
      <c r="L297">
        <v>2.29</v>
      </c>
      <c r="M297">
        <v>172.93</v>
      </c>
      <c r="N297" t="s">
        <v>123</v>
      </c>
      <c r="O297" t="s">
        <v>25</v>
      </c>
      <c r="P297" t="s">
        <v>101</v>
      </c>
      <c r="Q297" t="s">
        <v>102</v>
      </c>
      <c r="R297" t="s">
        <v>38</v>
      </c>
    </row>
    <row r="298" spans="1:18" x14ac:dyDescent="0.3">
      <c r="A298" t="s">
        <v>2070</v>
      </c>
      <c r="B298" s="13">
        <v>44566</v>
      </c>
      <c r="C298" t="s">
        <v>2071</v>
      </c>
      <c r="D298" t="s">
        <v>93</v>
      </c>
      <c r="E298" t="s">
        <v>425</v>
      </c>
      <c r="F298" t="s">
        <v>43</v>
      </c>
      <c r="G298" t="s">
        <v>57</v>
      </c>
      <c r="H298">
        <v>1</v>
      </c>
      <c r="I298">
        <v>520.46</v>
      </c>
      <c r="J298">
        <v>0.15</v>
      </c>
      <c r="K298">
        <v>79.63</v>
      </c>
      <c r="L298">
        <v>8.2100000000000009</v>
      </c>
      <c r="M298">
        <v>530.23</v>
      </c>
      <c r="N298" t="s">
        <v>35</v>
      </c>
      <c r="O298" t="s">
        <v>107</v>
      </c>
      <c r="P298" t="s">
        <v>74</v>
      </c>
      <c r="Q298" t="s">
        <v>75</v>
      </c>
      <c r="R298" t="s">
        <v>38</v>
      </c>
    </row>
    <row r="299" spans="1:18" x14ac:dyDescent="0.3">
      <c r="A299" t="s">
        <v>2074</v>
      </c>
      <c r="B299" s="13">
        <v>44798</v>
      </c>
      <c r="C299" t="s">
        <v>2075</v>
      </c>
      <c r="D299" t="s">
        <v>596</v>
      </c>
      <c r="E299" t="s">
        <v>182</v>
      </c>
      <c r="F299" t="s">
        <v>43</v>
      </c>
      <c r="G299" t="s">
        <v>34</v>
      </c>
      <c r="H299">
        <v>1</v>
      </c>
      <c r="I299">
        <v>410.89</v>
      </c>
      <c r="J299">
        <v>0.05</v>
      </c>
      <c r="K299">
        <v>19.52</v>
      </c>
      <c r="L299">
        <v>4.71</v>
      </c>
      <c r="M299">
        <v>414.58</v>
      </c>
      <c r="N299" t="s">
        <v>24</v>
      </c>
      <c r="O299" t="s">
        <v>82</v>
      </c>
      <c r="P299" t="s">
        <v>74</v>
      </c>
      <c r="Q299" t="s">
        <v>75</v>
      </c>
      <c r="R299" t="s">
        <v>38</v>
      </c>
    </row>
    <row r="300" spans="1:18" x14ac:dyDescent="0.3">
      <c r="A300" t="s">
        <v>2076</v>
      </c>
      <c r="B300" s="13">
        <v>44188</v>
      </c>
      <c r="C300" t="s">
        <v>2077</v>
      </c>
      <c r="D300" t="s">
        <v>64</v>
      </c>
      <c r="E300" t="s">
        <v>190</v>
      </c>
      <c r="F300" t="s">
        <v>43</v>
      </c>
      <c r="G300" t="s">
        <v>268</v>
      </c>
      <c r="H300">
        <v>5</v>
      </c>
      <c r="I300">
        <v>297.01</v>
      </c>
      <c r="J300">
        <v>0.15</v>
      </c>
      <c r="K300">
        <v>151.47999999999999</v>
      </c>
      <c r="L300">
        <v>7.01</v>
      </c>
      <c r="M300">
        <v>1420.78</v>
      </c>
      <c r="N300" t="s">
        <v>58</v>
      </c>
      <c r="O300" t="s">
        <v>25</v>
      </c>
      <c r="P300" t="s">
        <v>83</v>
      </c>
      <c r="Q300" t="s">
        <v>84</v>
      </c>
      <c r="R300" t="s">
        <v>38</v>
      </c>
    </row>
    <row r="301" spans="1:18" x14ac:dyDescent="0.3">
      <c r="A301" t="s">
        <v>2084</v>
      </c>
      <c r="B301" s="13">
        <v>44203</v>
      </c>
      <c r="C301" t="s">
        <v>2085</v>
      </c>
      <c r="D301" t="s">
        <v>168</v>
      </c>
      <c r="E301" t="s">
        <v>291</v>
      </c>
      <c r="F301" t="s">
        <v>43</v>
      </c>
      <c r="G301" t="s">
        <v>203</v>
      </c>
      <c r="H301">
        <v>1</v>
      </c>
      <c r="I301">
        <v>46.84</v>
      </c>
      <c r="J301">
        <v>0</v>
      </c>
      <c r="K301">
        <v>2.34</v>
      </c>
      <c r="L301">
        <v>5.78</v>
      </c>
      <c r="M301">
        <v>54.96</v>
      </c>
      <c r="N301" t="s">
        <v>67</v>
      </c>
      <c r="O301" t="s">
        <v>25</v>
      </c>
      <c r="P301" t="s">
        <v>51</v>
      </c>
      <c r="Q301" t="s">
        <v>52</v>
      </c>
      <c r="R301" t="s">
        <v>38</v>
      </c>
    </row>
    <row r="302" spans="1:18" x14ac:dyDescent="0.3">
      <c r="A302" t="s">
        <v>2104</v>
      </c>
      <c r="B302" s="13">
        <v>44370</v>
      </c>
      <c r="C302" t="s">
        <v>2105</v>
      </c>
      <c r="D302" t="s">
        <v>193</v>
      </c>
      <c r="E302" t="s">
        <v>73</v>
      </c>
      <c r="F302" t="s">
        <v>43</v>
      </c>
      <c r="G302" t="s">
        <v>203</v>
      </c>
      <c r="H302">
        <v>4</v>
      </c>
      <c r="I302">
        <v>542.23</v>
      </c>
      <c r="J302">
        <v>0.05</v>
      </c>
      <c r="K302">
        <v>164.84</v>
      </c>
      <c r="L302">
        <v>5.4</v>
      </c>
      <c r="M302">
        <v>2230.71</v>
      </c>
      <c r="N302" t="s">
        <v>35</v>
      </c>
      <c r="O302" t="s">
        <v>82</v>
      </c>
      <c r="P302" t="s">
        <v>112</v>
      </c>
      <c r="Q302" t="s">
        <v>113</v>
      </c>
      <c r="R302" t="s">
        <v>38</v>
      </c>
    </row>
    <row r="303" spans="1:18" x14ac:dyDescent="0.3">
      <c r="A303" t="s">
        <v>2106</v>
      </c>
      <c r="B303" s="13">
        <v>44562</v>
      </c>
      <c r="C303" t="s">
        <v>2107</v>
      </c>
      <c r="D303" t="s">
        <v>1349</v>
      </c>
      <c r="E303" t="s">
        <v>142</v>
      </c>
      <c r="F303" t="s">
        <v>43</v>
      </c>
      <c r="G303" t="s">
        <v>34</v>
      </c>
      <c r="H303">
        <v>5</v>
      </c>
      <c r="I303">
        <v>543.41999999999996</v>
      </c>
      <c r="J303">
        <v>0</v>
      </c>
      <c r="K303">
        <v>135.85</v>
      </c>
      <c r="L303">
        <v>6.09</v>
      </c>
      <c r="M303">
        <v>2859.04</v>
      </c>
      <c r="N303" t="s">
        <v>35</v>
      </c>
      <c r="O303" t="s">
        <v>25</v>
      </c>
      <c r="P303" t="s">
        <v>36</v>
      </c>
      <c r="Q303" t="s">
        <v>37</v>
      </c>
      <c r="R303" t="s">
        <v>38</v>
      </c>
    </row>
    <row r="304" spans="1:18" x14ac:dyDescent="0.3">
      <c r="A304" t="s">
        <v>2117</v>
      </c>
      <c r="B304" s="13">
        <v>44789</v>
      </c>
      <c r="C304" t="s">
        <v>2118</v>
      </c>
      <c r="D304" t="s">
        <v>360</v>
      </c>
      <c r="E304" t="s">
        <v>691</v>
      </c>
      <c r="F304" t="s">
        <v>43</v>
      </c>
      <c r="G304" t="s">
        <v>100</v>
      </c>
      <c r="H304">
        <v>4</v>
      </c>
      <c r="I304">
        <v>433.87</v>
      </c>
      <c r="J304">
        <v>0.2</v>
      </c>
      <c r="K304">
        <v>69.42</v>
      </c>
      <c r="L304">
        <v>11.28</v>
      </c>
      <c r="M304">
        <v>1469.08</v>
      </c>
      <c r="N304" t="s">
        <v>58</v>
      </c>
      <c r="O304" t="s">
        <v>25</v>
      </c>
      <c r="P304" t="s">
        <v>257</v>
      </c>
      <c r="Q304" t="s">
        <v>69</v>
      </c>
      <c r="R304" t="s">
        <v>38</v>
      </c>
    </row>
    <row r="305" spans="1:18" x14ac:dyDescent="0.3">
      <c r="A305" t="s">
        <v>2121</v>
      </c>
      <c r="B305" s="13">
        <v>45055</v>
      </c>
      <c r="C305" t="s">
        <v>2122</v>
      </c>
      <c r="D305" t="s">
        <v>504</v>
      </c>
      <c r="E305" t="s">
        <v>498</v>
      </c>
      <c r="F305" t="s">
        <v>43</v>
      </c>
      <c r="G305" t="s">
        <v>34</v>
      </c>
      <c r="H305">
        <v>5</v>
      </c>
      <c r="I305">
        <v>355.75</v>
      </c>
      <c r="J305">
        <v>0.15</v>
      </c>
      <c r="K305">
        <v>120.96</v>
      </c>
      <c r="L305">
        <v>6.78</v>
      </c>
      <c r="M305">
        <v>1639.68</v>
      </c>
      <c r="N305" t="s">
        <v>24</v>
      </c>
      <c r="O305" t="s">
        <v>107</v>
      </c>
      <c r="P305" t="s">
        <v>112</v>
      </c>
      <c r="Q305" t="s">
        <v>113</v>
      </c>
      <c r="R305" t="s">
        <v>38</v>
      </c>
    </row>
    <row r="306" spans="1:18" x14ac:dyDescent="0.3">
      <c r="A306" t="s">
        <v>2135</v>
      </c>
      <c r="B306" s="13">
        <v>44739</v>
      </c>
      <c r="C306" t="s">
        <v>1417</v>
      </c>
      <c r="D306" t="s">
        <v>648</v>
      </c>
      <c r="E306" t="s">
        <v>231</v>
      </c>
      <c r="F306" t="s">
        <v>43</v>
      </c>
      <c r="G306" t="s">
        <v>23</v>
      </c>
      <c r="H306">
        <v>5</v>
      </c>
      <c r="I306">
        <v>77.22</v>
      </c>
      <c r="J306">
        <v>0</v>
      </c>
      <c r="K306">
        <v>0</v>
      </c>
      <c r="L306">
        <v>4.9400000000000004</v>
      </c>
      <c r="M306">
        <v>391.04</v>
      </c>
      <c r="N306" t="s">
        <v>123</v>
      </c>
      <c r="O306" t="s">
        <v>25</v>
      </c>
      <c r="P306" t="s">
        <v>133</v>
      </c>
      <c r="Q306" t="s">
        <v>134</v>
      </c>
      <c r="R306" t="s">
        <v>28</v>
      </c>
    </row>
    <row r="307" spans="1:18" x14ac:dyDescent="0.3">
      <c r="A307" t="s">
        <v>2138</v>
      </c>
      <c r="B307" s="13">
        <v>45401</v>
      </c>
      <c r="C307" t="s">
        <v>2139</v>
      </c>
      <c r="D307" t="s">
        <v>149</v>
      </c>
      <c r="E307" t="s">
        <v>177</v>
      </c>
      <c r="F307" t="s">
        <v>43</v>
      </c>
      <c r="G307" t="s">
        <v>90</v>
      </c>
      <c r="H307">
        <v>4</v>
      </c>
      <c r="I307">
        <v>44.82</v>
      </c>
      <c r="J307">
        <v>0</v>
      </c>
      <c r="K307">
        <v>14.34</v>
      </c>
      <c r="L307">
        <v>6.59</v>
      </c>
      <c r="M307">
        <v>200.21</v>
      </c>
      <c r="N307" t="s">
        <v>24</v>
      </c>
      <c r="O307" t="s">
        <v>25</v>
      </c>
      <c r="P307" t="s">
        <v>150</v>
      </c>
      <c r="Q307" t="s">
        <v>69</v>
      </c>
      <c r="R307" t="s">
        <v>61</v>
      </c>
    </row>
    <row r="308" spans="1:18" x14ac:dyDescent="0.3">
      <c r="A308" t="s">
        <v>2142</v>
      </c>
      <c r="B308" s="13">
        <v>44220</v>
      </c>
      <c r="C308" t="s">
        <v>2143</v>
      </c>
      <c r="D308" t="s">
        <v>796</v>
      </c>
      <c r="E308" t="s">
        <v>386</v>
      </c>
      <c r="F308" t="s">
        <v>43</v>
      </c>
      <c r="G308" t="s">
        <v>198</v>
      </c>
      <c r="H308">
        <v>4</v>
      </c>
      <c r="I308">
        <v>329.98</v>
      </c>
      <c r="J308">
        <v>0</v>
      </c>
      <c r="K308">
        <v>158.38999999999999</v>
      </c>
      <c r="L308">
        <v>11.62</v>
      </c>
      <c r="M308">
        <v>1489.93</v>
      </c>
      <c r="N308" t="s">
        <v>35</v>
      </c>
      <c r="O308" t="s">
        <v>107</v>
      </c>
      <c r="P308" t="s">
        <v>173</v>
      </c>
      <c r="Q308" t="s">
        <v>174</v>
      </c>
      <c r="R308" t="s">
        <v>38</v>
      </c>
    </row>
    <row r="309" spans="1:18" x14ac:dyDescent="0.3">
      <c r="A309" t="s">
        <v>2152</v>
      </c>
      <c r="B309" s="13">
        <v>44280</v>
      </c>
      <c r="C309" t="s">
        <v>2153</v>
      </c>
      <c r="D309" t="s">
        <v>731</v>
      </c>
      <c r="E309" t="s">
        <v>202</v>
      </c>
      <c r="F309" t="s">
        <v>43</v>
      </c>
      <c r="G309" t="s">
        <v>23</v>
      </c>
      <c r="H309">
        <v>1</v>
      </c>
      <c r="I309">
        <v>536.38</v>
      </c>
      <c r="J309">
        <v>0.1</v>
      </c>
      <c r="K309">
        <v>86.89</v>
      </c>
      <c r="L309">
        <v>9.49</v>
      </c>
      <c r="M309">
        <v>579.12</v>
      </c>
      <c r="N309" t="s">
        <v>58</v>
      </c>
      <c r="O309" t="s">
        <v>25</v>
      </c>
      <c r="P309" t="s">
        <v>173</v>
      </c>
      <c r="Q309" t="s">
        <v>174</v>
      </c>
      <c r="R309" t="s">
        <v>38</v>
      </c>
    </row>
    <row r="310" spans="1:18" x14ac:dyDescent="0.3">
      <c r="A310" t="s">
        <v>2194</v>
      </c>
      <c r="B310" s="13">
        <v>45071</v>
      </c>
      <c r="C310" t="s">
        <v>2195</v>
      </c>
      <c r="D310" t="s">
        <v>911</v>
      </c>
      <c r="E310" t="s">
        <v>256</v>
      </c>
      <c r="F310" t="s">
        <v>43</v>
      </c>
      <c r="G310" t="s">
        <v>100</v>
      </c>
      <c r="H310">
        <v>1</v>
      </c>
      <c r="I310">
        <v>218.69</v>
      </c>
      <c r="J310">
        <v>0.25</v>
      </c>
      <c r="K310">
        <v>13.12</v>
      </c>
      <c r="L310">
        <v>4.75</v>
      </c>
      <c r="M310">
        <v>181.89</v>
      </c>
      <c r="N310" t="s">
        <v>58</v>
      </c>
      <c r="O310" t="s">
        <v>107</v>
      </c>
      <c r="P310" t="s">
        <v>60</v>
      </c>
      <c r="Q310" t="s">
        <v>37</v>
      </c>
      <c r="R310" t="s">
        <v>38</v>
      </c>
    </row>
    <row r="311" spans="1:18" x14ac:dyDescent="0.3">
      <c r="A311" t="s">
        <v>2198</v>
      </c>
      <c r="B311" s="13">
        <v>44625</v>
      </c>
      <c r="C311" t="s">
        <v>2199</v>
      </c>
      <c r="D311" t="s">
        <v>201</v>
      </c>
      <c r="E311" t="s">
        <v>190</v>
      </c>
      <c r="F311" t="s">
        <v>43</v>
      </c>
      <c r="G311" t="s">
        <v>90</v>
      </c>
      <c r="H311">
        <v>5</v>
      </c>
      <c r="I311">
        <v>162.19999999999999</v>
      </c>
      <c r="J311">
        <v>0.05</v>
      </c>
      <c r="K311">
        <v>0</v>
      </c>
      <c r="L311">
        <v>13.53</v>
      </c>
      <c r="M311">
        <v>783.98</v>
      </c>
      <c r="N311" t="s">
        <v>123</v>
      </c>
      <c r="O311" t="s">
        <v>25</v>
      </c>
      <c r="P311" t="s">
        <v>145</v>
      </c>
      <c r="Q311" t="s">
        <v>146</v>
      </c>
      <c r="R311" t="s">
        <v>28</v>
      </c>
    </row>
    <row r="312" spans="1:18" x14ac:dyDescent="0.3">
      <c r="A312" t="s">
        <v>2226</v>
      </c>
      <c r="B312" s="13">
        <v>44601</v>
      </c>
      <c r="C312" t="s">
        <v>2227</v>
      </c>
      <c r="D312" t="s">
        <v>181</v>
      </c>
      <c r="E312" t="s">
        <v>48</v>
      </c>
      <c r="F312" t="s">
        <v>43</v>
      </c>
      <c r="G312" t="s">
        <v>34</v>
      </c>
      <c r="H312">
        <v>4</v>
      </c>
      <c r="I312">
        <v>234.69</v>
      </c>
      <c r="J312">
        <v>0</v>
      </c>
      <c r="K312">
        <v>46.94</v>
      </c>
      <c r="L312">
        <v>4.8</v>
      </c>
      <c r="M312">
        <v>990.5</v>
      </c>
      <c r="N312" t="s">
        <v>67</v>
      </c>
      <c r="O312" t="s">
        <v>107</v>
      </c>
      <c r="P312" t="s">
        <v>60</v>
      </c>
      <c r="Q312" t="s">
        <v>37</v>
      </c>
      <c r="R312" t="s">
        <v>76</v>
      </c>
    </row>
    <row r="313" spans="1:18" x14ac:dyDescent="0.3">
      <c r="A313" t="s">
        <v>2238</v>
      </c>
      <c r="B313" s="13">
        <v>44544</v>
      </c>
      <c r="C313" t="s">
        <v>2239</v>
      </c>
      <c r="D313" t="s">
        <v>263</v>
      </c>
      <c r="E313" t="s">
        <v>283</v>
      </c>
      <c r="F313" t="s">
        <v>43</v>
      </c>
      <c r="G313" t="s">
        <v>90</v>
      </c>
      <c r="H313">
        <v>4</v>
      </c>
      <c r="I313">
        <v>147.12</v>
      </c>
      <c r="J313">
        <v>0.2</v>
      </c>
      <c r="K313">
        <v>23.54</v>
      </c>
      <c r="L313">
        <v>3.99</v>
      </c>
      <c r="M313">
        <v>498.31</v>
      </c>
      <c r="N313" t="s">
        <v>123</v>
      </c>
      <c r="O313" t="s">
        <v>25</v>
      </c>
      <c r="P313" t="s">
        <v>112</v>
      </c>
      <c r="Q313" t="s">
        <v>113</v>
      </c>
      <c r="R313" t="s">
        <v>38</v>
      </c>
    </row>
    <row r="314" spans="1:18" x14ac:dyDescent="0.3">
      <c r="A314" t="s">
        <v>2298</v>
      </c>
      <c r="B314" s="13">
        <v>44908</v>
      </c>
      <c r="C314" t="s">
        <v>2299</v>
      </c>
      <c r="D314" t="s">
        <v>98</v>
      </c>
      <c r="E314" t="s">
        <v>386</v>
      </c>
      <c r="F314" t="s">
        <v>43</v>
      </c>
      <c r="G314" t="s">
        <v>90</v>
      </c>
      <c r="H314">
        <v>5</v>
      </c>
      <c r="I314">
        <v>525.02</v>
      </c>
      <c r="J314">
        <v>0.15</v>
      </c>
      <c r="K314">
        <v>178.51</v>
      </c>
      <c r="L314">
        <v>4.3899999999999997</v>
      </c>
      <c r="M314">
        <v>2414.2399999999998</v>
      </c>
      <c r="N314" t="s">
        <v>35</v>
      </c>
      <c r="O314" t="s">
        <v>25</v>
      </c>
      <c r="P314" t="s">
        <v>150</v>
      </c>
      <c r="Q314" t="s">
        <v>69</v>
      </c>
      <c r="R314" t="s">
        <v>76</v>
      </c>
    </row>
    <row r="315" spans="1:18" x14ac:dyDescent="0.3">
      <c r="A315" t="s">
        <v>2310</v>
      </c>
      <c r="B315" s="13">
        <v>44231</v>
      </c>
      <c r="C315" t="s">
        <v>2311</v>
      </c>
      <c r="D315" t="s">
        <v>286</v>
      </c>
      <c r="E315" t="s">
        <v>106</v>
      </c>
      <c r="F315" t="s">
        <v>43</v>
      </c>
      <c r="G315" t="s">
        <v>49</v>
      </c>
      <c r="H315">
        <v>3</v>
      </c>
      <c r="I315">
        <v>205.85</v>
      </c>
      <c r="J315">
        <v>0.05</v>
      </c>
      <c r="K315">
        <v>46.93</v>
      </c>
      <c r="L315">
        <v>4.1100000000000003</v>
      </c>
      <c r="M315">
        <v>637.71</v>
      </c>
      <c r="N315" t="s">
        <v>58</v>
      </c>
      <c r="O315" t="s">
        <v>25</v>
      </c>
      <c r="P315" t="s">
        <v>83</v>
      </c>
      <c r="Q315" t="s">
        <v>84</v>
      </c>
      <c r="R315" t="s">
        <v>38</v>
      </c>
    </row>
    <row r="316" spans="1:18" x14ac:dyDescent="0.3">
      <c r="A316" t="s">
        <v>2314</v>
      </c>
      <c r="B316" s="13">
        <v>44597</v>
      </c>
      <c r="C316" t="s">
        <v>2315</v>
      </c>
      <c r="D316" t="s">
        <v>734</v>
      </c>
      <c r="E316" t="s">
        <v>597</v>
      </c>
      <c r="F316" t="s">
        <v>43</v>
      </c>
      <c r="G316" t="s">
        <v>49</v>
      </c>
      <c r="H316">
        <v>4</v>
      </c>
      <c r="I316">
        <v>468.74</v>
      </c>
      <c r="J316">
        <v>0.05</v>
      </c>
      <c r="K316">
        <v>320.62</v>
      </c>
      <c r="L316">
        <v>1.2</v>
      </c>
      <c r="M316">
        <v>2103.0300000000002</v>
      </c>
      <c r="N316" t="s">
        <v>123</v>
      </c>
      <c r="O316" t="s">
        <v>25</v>
      </c>
      <c r="P316" t="s">
        <v>44</v>
      </c>
      <c r="Q316" t="s">
        <v>37</v>
      </c>
      <c r="R316" t="s">
        <v>38</v>
      </c>
    </row>
    <row r="317" spans="1:18" x14ac:dyDescent="0.3">
      <c r="A317" t="s">
        <v>139</v>
      </c>
      <c r="B317" s="13">
        <v>45518</v>
      </c>
      <c r="C317" t="s">
        <v>140</v>
      </c>
      <c r="D317" t="s">
        <v>141</v>
      </c>
      <c r="E317" t="s">
        <v>142</v>
      </c>
      <c r="F317" t="s">
        <v>143</v>
      </c>
      <c r="G317" t="s">
        <v>66</v>
      </c>
      <c r="H317">
        <v>5</v>
      </c>
      <c r="I317">
        <v>529.19000000000005</v>
      </c>
      <c r="J317">
        <v>0</v>
      </c>
      <c r="K317">
        <v>317.51</v>
      </c>
      <c r="L317">
        <v>4.57</v>
      </c>
      <c r="M317">
        <v>2968.03</v>
      </c>
      <c r="N317" t="s">
        <v>35</v>
      </c>
      <c r="O317" t="s">
        <v>144</v>
      </c>
      <c r="P317" t="s">
        <v>145</v>
      </c>
      <c r="Q317" t="s">
        <v>146</v>
      </c>
      <c r="R317" t="s">
        <v>38</v>
      </c>
    </row>
    <row r="318" spans="1:18" x14ac:dyDescent="0.3">
      <c r="A318" t="s">
        <v>161</v>
      </c>
      <c r="B318" s="13">
        <v>44174</v>
      </c>
      <c r="C318" t="s">
        <v>162</v>
      </c>
      <c r="D318" t="s">
        <v>163</v>
      </c>
      <c r="E318" t="s">
        <v>164</v>
      </c>
      <c r="F318" t="s">
        <v>143</v>
      </c>
      <c r="G318" t="s">
        <v>66</v>
      </c>
      <c r="H318">
        <v>3</v>
      </c>
      <c r="I318">
        <v>107.95</v>
      </c>
      <c r="J318">
        <v>0.1</v>
      </c>
      <c r="K318">
        <v>0</v>
      </c>
      <c r="L318">
        <v>8.2899999999999991</v>
      </c>
      <c r="M318">
        <v>299.76</v>
      </c>
      <c r="N318" t="s">
        <v>123</v>
      </c>
      <c r="O318" t="s">
        <v>25</v>
      </c>
      <c r="P318" t="s">
        <v>165</v>
      </c>
      <c r="Q318" t="s">
        <v>37</v>
      </c>
      <c r="R318" t="s">
        <v>38</v>
      </c>
    </row>
    <row r="319" spans="1:18" x14ac:dyDescent="0.3">
      <c r="A319" t="s">
        <v>184</v>
      </c>
      <c r="B319" s="13">
        <v>45046</v>
      </c>
      <c r="C319" t="s">
        <v>185</v>
      </c>
      <c r="D319" t="s">
        <v>186</v>
      </c>
      <c r="E319" t="s">
        <v>177</v>
      </c>
      <c r="F319" t="s">
        <v>143</v>
      </c>
      <c r="G319" t="s">
        <v>49</v>
      </c>
      <c r="H319">
        <v>3</v>
      </c>
      <c r="I319">
        <v>381.45</v>
      </c>
      <c r="J319">
        <v>0</v>
      </c>
      <c r="K319">
        <v>205.98</v>
      </c>
      <c r="L319">
        <v>8.99</v>
      </c>
      <c r="M319">
        <v>1359.32</v>
      </c>
      <c r="N319" t="s">
        <v>58</v>
      </c>
      <c r="O319" t="s">
        <v>25</v>
      </c>
      <c r="P319" t="s">
        <v>83</v>
      </c>
      <c r="Q319" t="s">
        <v>84</v>
      </c>
      <c r="R319" t="s">
        <v>38</v>
      </c>
    </row>
    <row r="320" spans="1:18" x14ac:dyDescent="0.3">
      <c r="A320" t="s">
        <v>199</v>
      </c>
      <c r="B320" s="13">
        <v>44290</v>
      </c>
      <c r="C320" t="s">
        <v>200</v>
      </c>
      <c r="D320" t="s">
        <v>201</v>
      </c>
      <c r="E320" t="s">
        <v>202</v>
      </c>
      <c r="F320" t="s">
        <v>143</v>
      </c>
      <c r="G320" t="s">
        <v>203</v>
      </c>
      <c r="H320">
        <v>2</v>
      </c>
      <c r="I320">
        <v>151.94999999999999</v>
      </c>
      <c r="J320">
        <v>0.05</v>
      </c>
      <c r="K320">
        <v>14.44</v>
      </c>
      <c r="L320">
        <v>3.5</v>
      </c>
      <c r="M320">
        <v>306.64</v>
      </c>
      <c r="N320" t="s">
        <v>58</v>
      </c>
      <c r="O320" t="s">
        <v>25</v>
      </c>
      <c r="P320" t="s">
        <v>26</v>
      </c>
      <c r="Q320" t="s">
        <v>27</v>
      </c>
      <c r="R320" t="s">
        <v>38</v>
      </c>
    </row>
    <row r="321" spans="1:18" x14ac:dyDescent="0.3">
      <c r="A321" t="s">
        <v>213</v>
      </c>
      <c r="B321" s="13">
        <v>44578</v>
      </c>
      <c r="C321" t="s">
        <v>214</v>
      </c>
      <c r="D321" t="s">
        <v>215</v>
      </c>
      <c r="E321" t="s">
        <v>216</v>
      </c>
      <c r="F321" t="s">
        <v>143</v>
      </c>
      <c r="G321" t="s">
        <v>203</v>
      </c>
      <c r="H321">
        <v>5</v>
      </c>
      <c r="I321">
        <v>448.89</v>
      </c>
      <c r="J321">
        <v>0</v>
      </c>
      <c r="K321">
        <v>179.56</v>
      </c>
      <c r="L321">
        <v>3.3</v>
      </c>
      <c r="M321">
        <v>2427.31</v>
      </c>
      <c r="N321" t="s">
        <v>58</v>
      </c>
      <c r="O321" t="s">
        <v>25</v>
      </c>
      <c r="P321" t="s">
        <v>145</v>
      </c>
      <c r="Q321" t="s">
        <v>146</v>
      </c>
      <c r="R321" t="s">
        <v>38</v>
      </c>
    </row>
    <row r="322" spans="1:18" x14ac:dyDescent="0.3">
      <c r="A322" t="s">
        <v>217</v>
      </c>
      <c r="B322" s="13">
        <v>44687</v>
      </c>
      <c r="C322" t="s">
        <v>218</v>
      </c>
      <c r="D322" t="s">
        <v>219</v>
      </c>
      <c r="E322" t="s">
        <v>220</v>
      </c>
      <c r="F322" t="s">
        <v>143</v>
      </c>
      <c r="G322" t="s">
        <v>66</v>
      </c>
      <c r="H322">
        <v>4</v>
      </c>
      <c r="I322">
        <v>300.89</v>
      </c>
      <c r="J322">
        <v>0</v>
      </c>
      <c r="K322">
        <v>144.43</v>
      </c>
      <c r="L322">
        <v>0.43</v>
      </c>
      <c r="M322">
        <v>1348.42</v>
      </c>
      <c r="N322" t="s">
        <v>58</v>
      </c>
      <c r="O322" t="s">
        <v>25</v>
      </c>
      <c r="P322" t="s">
        <v>36</v>
      </c>
      <c r="Q322" t="s">
        <v>37</v>
      </c>
      <c r="R322" t="s">
        <v>38</v>
      </c>
    </row>
    <row r="323" spans="1:18" x14ac:dyDescent="0.3">
      <c r="A323" t="s">
        <v>238</v>
      </c>
      <c r="B323" s="13">
        <v>44530</v>
      </c>
      <c r="C323" t="s">
        <v>239</v>
      </c>
      <c r="D323" t="s">
        <v>212</v>
      </c>
      <c r="E323" t="s">
        <v>122</v>
      </c>
      <c r="F323" t="s">
        <v>143</v>
      </c>
      <c r="G323" t="s">
        <v>90</v>
      </c>
      <c r="H323">
        <v>4</v>
      </c>
      <c r="I323">
        <v>395.64</v>
      </c>
      <c r="J323">
        <v>0.05</v>
      </c>
      <c r="K323">
        <v>120.27</v>
      </c>
      <c r="L323">
        <v>3.89</v>
      </c>
      <c r="M323">
        <v>1627.59</v>
      </c>
      <c r="N323" t="s">
        <v>24</v>
      </c>
      <c r="O323" t="s">
        <v>25</v>
      </c>
      <c r="P323" t="s">
        <v>95</v>
      </c>
      <c r="Q323" t="s">
        <v>37</v>
      </c>
      <c r="R323" t="s">
        <v>38</v>
      </c>
    </row>
    <row r="324" spans="1:18" x14ac:dyDescent="0.3">
      <c r="A324" t="s">
        <v>244</v>
      </c>
      <c r="B324" s="13">
        <v>45637</v>
      </c>
      <c r="C324" t="s">
        <v>245</v>
      </c>
      <c r="D324" t="s">
        <v>246</v>
      </c>
      <c r="E324" t="s">
        <v>138</v>
      </c>
      <c r="F324" t="s">
        <v>143</v>
      </c>
      <c r="G324" t="s">
        <v>203</v>
      </c>
      <c r="H324">
        <v>4</v>
      </c>
      <c r="I324">
        <v>121.45</v>
      </c>
      <c r="J324">
        <v>0</v>
      </c>
      <c r="K324">
        <v>0</v>
      </c>
      <c r="L324">
        <v>3.75</v>
      </c>
      <c r="M324">
        <v>489.55</v>
      </c>
      <c r="N324" t="s">
        <v>67</v>
      </c>
      <c r="O324" t="s">
        <v>25</v>
      </c>
      <c r="P324" t="s">
        <v>44</v>
      </c>
      <c r="Q324" t="s">
        <v>37</v>
      </c>
      <c r="R324" t="s">
        <v>38</v>
      </c>
    </row>
    <row r="325" spans="1:18" x14ac:dyDescent="0.3">
      <c r="A325" t="s">
        <v>261</v>
      </c>
      <c r="B325" s="13">
        <v>44393</v>
      </c>
      <c r="C325" t="s">
        <v>262</v>
      </c>
      <c r="D325" t="s">
        <v>263</v>
      </c>
      <c r="E325" t="s">
        <v>138</v>
      </c>
      <c r="F325" t="s">
        <v>143</v>
      </c>
      <c r="G325" t="s">
        <v>34</v>
      </c>
      <c r="H325">
        <v>4</v>
      </c>
      <c r="I325">
        <v>353.85</v>
      </c>
      <c r="J325">
        <v>0.05</v>
      </c>
      <c r="K325">
        <v>67.23</v>
      </c>
      <c r="L325">
        <v>6.09</v>
      </c>
      <c r="M325">
        <v>1417.95</v>
      </c>
      <c r="N325" t="s">
        <v>24</v>
      </c>
      <c r="O325" t="s">
        <v>25</v>
      </c>
      <c r="P325" t="s">
        <v>173</v>
      </c>
      <c r="Q325" t="s">
        <v>174</v>
      </c>
      <c r="R325" t="s">
        <v>38</v>
      </c>
    </row>
    <row r="326" spans="1:18" x14ac:dyDescent="0.3">
      <c r="A326" t="s">
        <v>264</v>
      </c>
      <c r="B326" s="13">
        <v>45421</v>
      </c>
      <c r="C326" t="s">
        <v>265</v>
      </c>
      <c r="D326" t="s">
        <v>266</v>
      </c>
      <c r="E326" t="s">
        <v>267</v>
      </c>
      <c r="F326" t="s">
        <v>143</v>
      </c>
      <c r="G326" t="s">
        <v>268</v>
      </c>
      <c r="H326">
        <v>3</v>
      </c>
      <c r="I326">
        <v>324.76</v>
      </c>
      <c r="J326">
        <v>0.3</v>
      </c>
      <c r="K326">
        <v>34.1</v>
      </c>
      <c r="L326">
        <v>0.75</v>
      </c>
      <c r="M326">
        <v>716.85</v>
      </c>
      <c r="N326" t="s">
        <v>24</v>
      </c>
      <c r="O326" t="s">
        <v>107</v>
      </c>
      <c r="P326" t="s">
        <v>117</v>
      </c>
      <c r="Q326" t="s">
        <v>118</v>
      </c>
      <c r="R326" t="s">
        <v>38</v>
      </c>
    </row>
    <row r="327" spans="1:18" x14ac:dyDescent="0.3">
      <c r="A327" t="s">
        <v>272</v>
      </c>
      <c r="B327" s="13">
        <v>44662</v>
      </c>
      <c r="C327" t="s">
        <v>273</v>
      </c>
      <c r="D327" t="s">
        <v>209</v>
      </c>
      <c r="E327" t="s">
        <v>42</v>
      </c>
      <c r="F327" t="s">
        <v>143</v>
      </c>
      <c r="G327" t="s">
        <v>268</v>
      </c>
      <c r="H327">
        <v>4</v>
      </c>
      <c r="I327">
        <v>549.22</v>
      </c>
      <c r="J327">
        <v>0.05</v>
      </c>
      <c r="K327">
        <v>104.35</v>
      </c>
      <c r="L327">
        <v>8.2200000000000006</v>
      </c>
      <c r="M327">
        <v>2199.61</v>
      </c>
      <c r="N327" t="s">
        <v>67</v>
      </c>
      <c r="O327" t="s">
        <v>25</v>
      </c>
      <c r="P327" t="s">
        <v>74</v>
      </c>
      <c r="Q327" t="s">
        <v>75</v>
      </c>
      <c r="R327" t="s">
        <v>38</v>
      </c>
    </row>
    <row r="328" spans="1:18" x14ac:dyDescent="0.3">
      <c r="A328" t="s">
        <v>288</v>
      </c>
      <c r="B328" s="13">
        <v>43851</v>
      </c>
      <c r="C328" t="s">
        <v>289</v>
      </c>
      <c r="D328" t="s">
        <v>290</v>
      </c>
      <c r="E328" t="s">
        <v>291</v>
      </c>
      <c r="F328" t="s">
        <v>143</v>
      </c>
      <c r="G328" t="s">
        <v>268</v>
      </c>
      <c r="H328">
        <v>2</v>
      </c>
      <c r="I328">
        <v>439.8</v>
      </c>
      <c r="J328">
        <v>0</v>
      </c>
      <c r="K328">
        <v>43.98</v>
      </c>
      <c r="L328">
        <v>7.55</v>
      </c>
      <c r="M328">
        <v>931.13</v>
      </c>
      <c r="N328" t="s">
        <v>35</v>
      </c>
      <c r="O328" t="s">
        <v>25</v>
      </c>
      <c r="P328" t="s">
        <v>101</v>
      </c>
      <c r="Q328" t="s">
        <v>102</v>
      </c>
      <c r="R328" t="s">
        <v>28</v>
      </c>
    </row>
    <row r="329" spans="1:18" x14ac:dyDescent="0.3">
      <c r="A329" t="s">
        <v>315</v>
      </c>
      <c r="B329" s="13">
        <v>45200</v>
      </c>
      <c r="C329" t="s">
        <v>316</v>
      </c>
      <c r="D329" t="s">
        <v>317</v>
      </c>
      <c r="E329" t="s">
        <v>48</v>
      </c>
      <c r="F329" t="s">
        <v>143</v>
      </c>
      <c r="G329" t="s">
        <v>23</v>
      </c>
      <c r="H329">
        <v>1</v>
      </c>
      <c r="I329">
        <v>82.79</v>
      </c>
      <c r="J329">
        <v>0</v>
      </c>
      <c r="K329">
        <v>6.62</v>
      </c>
      <c r="L329">
        <v>8.76</v>
      </c>
      <c r="M329">
        <v>98.17</v>
      </c>
      <c r="N329" t="s">
        <v>24</v>
      </c>
      <c r="O329" t="s">
        <v>25</v>
      </c>
      <c r="P329" t="s">
        <v>83</v>
      </c>
      <c r="Q329" t="s">
        <v>84</v>
      </c>
      <c r="R329" t="s">
        <v>38</v>
      </c>
    </row>
    <row r="330" spans="1:18" x14ac:dyDescent="0.3">
      <c r="A330" t="s">
        <v>341</v>
      </c>
      <c r="B330" s="13">
        <v>45282</v>
      </c>
      <c r="C330" t="s">
        <v>342</v>
      </c>
      <c r="D330" t="s">
        <v>343</v>
      </c>
      <c r="E330" t="s">
        <v>324</v>
      </c>
      <c r="F330" t="s">
        <v>143</v>
      </c>
      <c r="G330" t="s">
        <v>66</v>
      </c>
      <c r="H330">
        <v>1</v>
      </c>
      <c r="I330">
        <v>592.91</v>
      </c>
      <c r="J330">
        <v>0.05</v>
      </c>
      <c r="K330">
        <v>28.16</v>
      </c>
      <c r="L330">
        <v>6.83</v>
      </c>
      <c r="M330">
        <v>598.25</v>
      </c>
      <c r="N330" t="s">
        <v>50</v>
      </c>
      <c r="O330" t="s">
        <v>25</v>
      </c>
      <c r="P330" t="s">
        <v>165</v>
      </c>
      <c r="Q330" t="s">
        <v>37</v>
      </c>
      <c r="R330" t="s">
        <v>38</v>
      </c>
    </row>
    <row r="331" spans="1:18" x14ac:dyDescent="0.3">
      <c r="A331" t="s">
        <v>347</v>
      </c>
      <c r="B331" s="13">
        <v>44606</v>
      </c>
      <c r="C331" t="s">
        <v>348</v>
      </c>
      <c r="D331" t="s">
        <v>149</v>
      </c>
      <c r="E331" t="s">
        <v>349</v>
      </c>
      <c r="F331" t="s">
        <v>143</v>
      </c>
      <c r="G331" t="s">
        <v>203</v>
      </c>
      <c r="H331">
        <v>1</v>
      </c>
      <c r="I331">
        <v>534.30999999999995</v>
      </c>
      <c r="J331">
        <v>0.1</v>
      </c>
      <c r="K331">
        <v>57.71</v>
      </c>
      <c r="L331">
        <v>14.47</v>
      </c>
      <c r="M331">
        <v>553.05999999999995</v>
      </c>
      <c r="N331" t="s">
        <v>35</v>
      </c>
      <c r="O331" t="s">
        <v>107</v>
      </c>
      <c r="P331" t="s">
        <v>178</v>
      </c>
      <c r="Q331" t="s">
        <v>69</v>
      </c>
      <c r="R331" t="s">
        <v>28</v>
      </c>
    </row>
    <row r="332" spans="1:18" x14ac:dyDescent="0.3">
      <c r="A332" t="s">
        <v>361</v>
      </c>
      <c r="B332" s="13">
        <v>45242</v>
      </c>
      <c r="C332" t="s">
        <v>362</v>
      </c>
      <c r="D332" t="s">
        <v>168</v>
      </c>
      <c r="E332" t="s">
        <v>177</v>
      </c>
      <c r="F332" t="s">
        <v>143</v>
      </c>
      <c r="G332" t="s">
        <v>100</v>
      </c>
      <c r="H332">
        <v>4</v>
      </c>
      <c r="I332">
        <v>494.13</v>
      </c>
      <c r="J332">
        <v>0.05</v>
      </c>
      <c r="K332">
        <v>225.32</v>
      </c>
      <c r="L332">
        <v>7.18</v>
      </c>
      <c r="M332">
        <v>2110.19</v>
      </c>
      <c r="N332" t="s">
        <v>58</v>
      </c>
      <c r="O332" t="s">
        <v>25</v>
      </c>
      <c r="P332" t="s">
        <v>44</v>
      </c>
      <c r="Q332" t="s">
        <v>37</v>
      </c>
      <c r="R332" t="s">
        <v>38</v>
      </c>
    </row>
    <row r="333" spans="1:18" x14ac:dyDescent="0.3">
      <c r="A333" t="s">
        <v>369</v>
      </c>
      <c r="B333" s="13">
        <v>45244</v>
      </c>
      <c r="C333" t="s">
        <v>370</v>
      </c>
      <c r="D333" t="s">
        <v>371</v>
      </c>
      <c r="E333" t="s">
        <v>65</v>
      </c>
      <c r="F333" t="s">
        <v>143</v>
      </c>
      <c r="G333" t="s">
        <v>100</v>
      </c>
      <c r="H333">
        <v>5</v>
      </c>
      <c r="I333">
        <v>456.58</v>
      </c>
      <c r="J333">
        <v>0.15</v>
      </c>
      <c r="K333">
        <v>155.24</v>
      </c>
      <c r="L333">
        <v>7.48</v>
      </c>
      <c r="M333">
        <v>2103.1799999999998</v>
      </c>
      <c r="N333" t="s">
        <v>35</v>
      </c>
      <c r="O333" t="s">
        <v>25</v>
      </c>
      <c r="P333" t="s">
        <v>133</v>
      </c>
      <c r="Q333" t="s">
        <v>134</v>
      </c>
      <c r="R333" t="s">
        <v>61</v>
      </c>
    </row>
    <row r="334" spans="1:18" x14ac:dyDescent="0.3">
      <c r="A334" t="s">
        <v>387</v>
      </c>
      <c r="B334" s="13">
        <v>44560</v>
      </c>
      <c r="C334" t="s">
        <v>388</v>
      </c>
      <c r="D334" t="s">
        <v>389</v>
      </c>
      <c r="E334" t="s">
        <v>190</v>
      </c>
      <c r="F334" t="s">
        <v>143</v>
      </c>
      <c r="G334" t="s">
        <v>57</v>
      </c>
      <c r="H334">
        <v>4</v>
      </c>
      <c r="I334">
        <v>42.31</v>
      </c>
      <c r="J334">
        <v>0.1</v>
      </c>
      <c r="K334">
        <v>12.19</v>
      </c>
      <c r="L334">
        <v>1.28</v>
      </c>
      <c r="M334">
        <v>165.79</v>
      </c>
      <c r="N334" t="s">
        <v>35</v>
      </c>
      <c r="O334" t="s">
        <v>25</v>
      </c>
      <c r="P334" t="s">
        <v>74</v>
      </c>
      <c r="Q334" t="s">
        <v>75</v>
      </c>
      <c r="R334" t="s">
        <v>38</v>
      </c>
    </row>
    <row r="335" spans="1:18" x14ac:dyDescent="0.3">
      <c r="A335" t="s">
        <v>390</v>
      </c>
      <c r="B335" s="13">
        <v>45410</v>
      </c>
      <c r="C335" t="s">
        <v>391</v>
      </c>
      <c r="D335" t="s">
        <v>193</v>
      </c>
      <c r="E335" t="s">
        <v>392</v>
      </c>
      <c r="F335" t="s">
        <v>143</v>
      </c>
      <c r="G335" t="s">
        <v>268</v>
      </c>
      <c r="H335">
        <v>1</v>
      </c>
      <c r="I335">
        <v>170.88</v>
      </c>
      <c r="J335">
        <v>0.2</v>
      </c>
      <c r="K335">
        <v>16.399999999999999</v>
      </c>
      <c r="L335">
        <v>7.6</v>
      </c>
      <c r="M335">
        <v>160.69999999999999</v>
      </c>
      <c r="N335" t="s">
        <v>58</v>
      </c>
      <c r="O335" t="s">
        <v>25</v>
      </c>
      <c r="P335" t="s">
        <v>51</v>
      </c>
      <c r="Q335" t="s">
        <v>52</v>
      </c>
      <c r="R335" t="s">
        <v>38</v>
      </c>
    </row>
    <row r="336" spans="1:18" x14ac:dyDescent="0.3">
      <c r="A336" t="s">
        <v>395</v>
      </c>
      <c r="B336" s="13">
        <v>44032</v>
      </c>
      <c r="C336" t="s">
        <v>396</v>
      </c>
      <c r="D336" t="s">
        <v>397</v>
      </c>
      <c r="E336" t="s">
        <v>177</v>
      </c>
      <c r="F336" t="s">
        <v>143</v>
      </c>
      <c r="G336" t="s">
        <v>203</v>
      </c>
      <c r="H336">
        <v>4</v>
      </c>
      <c r="I336">
        <v>260.91000000000003</v>
      </c>
      <c r="J336">
        <v>0</v>
      </c>
      <c r="K336">
        <v>83.49</v>
      </c>
      <c r="L336">
        <v>2.86</v>
      </c>
      <c r="M336">
        <v>1129.99</v>
      </c>
      <c r="N336" t="s">
        <v>67</v>
      </c>
      <c r="O336" t="s">
        <v>144</v>
      </c>
      <c r="P336" t="s">
        <v>178</v>
      </c>
      <c r="Q336" t="s">
        <v>69</v>
      </c>
      <c r="R336" t="s">
        <v>38</v>
      </c>
    </row>
    <row r="337" spans="1:18" x14ac:dyDescent="0.3">
      <c r="A337" t="s">
        <v>401</v>
      </c>
      <c r="B337" s="13">
        <v>44100</v>
      </c>
      <c r="C337" t="s">
        <v>402</v>
      </c>
      <c r="D337" t="s">
        <v>234</v>
      </c>
      <c r="E337" t="s">
        <v>65</v>
      </c>
      <c r="F337" t="s">
        <v>143</v>
      </c>
      <c r="G337" t="s">
        <v>90</v>
      </c>
      <c r="H337">
        <v>1</v>
      </c>
      <c r="I337">
        <v>206.2</v>
      </c>
      <c r="J337">
        <v>0</v>
      </c>
      <c r="K337">
        <v>16.5</v>
      </c>
      <c r="L337">
        <v>9.08</v>
      </c>
      <c r="M337">
        <v>231.78</v>
      </c>
      <c r="N337" t="s">
        <v>58</v>
      </c>
      <c r="O337" t="s">
        <v>25</v>
      </c>
      <c r="P337" t="s">
        <v>145</v>
      </c>
      <c r="Q337" t="s">
        <v>146</v>
      </c>
      <c r="R337" t="s">
        <v>28</v>
      </c>
    </row>
    <row r="338" spans="1:18" x14ac:dyDescent="0.3">
      <c r="A338" t="s">
        <v>413</v>
      </c>
      <c r="B338" s="13">
        <v>45581</v>
      </c>
      <c r="C338" t="s">
        <v>414</v>
      </c>
      <c r="D338" t="s">
        <v>415</v>
      </c>
      <c r="E338" t="s">
        <v>142</v>
      </c>
      <c r="F338" t="s">
        <v>143</v>
      </c>
      <c r="G338" t="s">
        <v>100</v>
      </c>
      <c r="H338">
        <v>3</v>
      </c>
      <c r="I338">
        <v>99.05</v>
      </c>
      <c r="J338">
        <v>0.05</v>
      </c>
      <c r="K338">
        <v>33.880000000000003</v>
      </c>
      <c r="L338">
        <v>0.71</v>
      </c>
      <c r="M338">
        <v>316.88</v>
      </c>
      <c r="N338" t="s">
        <v>58</v>
      </c>
      <c r="O338" t="s">
        <v>25</v>
      </c>
      <c r="P338" t="s">
        <v>44</v>
      </c>
      <c r="Q338" t="s">
        <v>37</v>
      </c>
      <c r="R338" t="s">
        <v>38</v>
      </c>
    </row>
    <row r="339" spans="1:18" x14ac:dyDescent="0.3">
      <c r="A339" t="s">
        <v>467</v>
      </c>
      <c r="B339" s="13">
        <v>44351</v>
      </c>
      <c r="C339" t="s">
        <v>468</v>
      </c>
      <c r="D339" t="s">
        <v>469</v>
      </c>
      <c r="E339" t="s">
        <v>169</v>
      </c>
      <c r="F339" t="s">
        <v>143</v>
      </c>
      <c r="G339" t="s">
        <v>90</v>
      </c>
      <c r="H339">
        <v>4</v>
      </c>
      <c r="I339">
        <v>149.47</v>
      </c>
      <c r="J339">
        <v>0</v>
      </c>
      <c r="K339">
        <v>71.75</v>
      </c>
      <c r="L339">
        <v>10.48</v>
      </c>
      <c r="M339">
        <v>680.11</v>
      </c>
      <c r="N339" t="s">
        <v>67</v>
      </c>
      <c r="O339" t="s">
        <v>25</v>
      </c>
      <c r="P339" t="s">
        <v>95</v>
      </c>
      <c r="Q339" t="s">
        <v>37</v>
      </c>
      <c r="R339" t="s">
        <v>38</v>
      </c>
    </row>
    <row r="340" spans="1:18" x14ac:dyDescent="0.3">
      <c r="A340" t="s">
        <v>481</v>
      </c>
      <c r="B340" s="13">
        <v>44917</v>
      </c>
      <c r="C340" t="s">
        <v>482</v>
      </c>
      <c r="D340" t="s">
        <v>483</v>
      </c>
      <c r="E340" t="s">
        <v>267</v>
      </c>
      <c r="F340" t="s">
        <v>143</v>
      </c>
      <c r="G340" t="s">
        <v>66</v>
      </c>
      <c r="H340">
        <v>2</v>
      </c>
      <c r="I340">
        <v>509.27</v>
      </c>
      <c r="J340">
        <v>0</v>
      </c>
      <c r="K340">
        <v>0</v>
      </c>
      <c r="L340">
        <v>6.71</v>
      </c>
      <c r="M340">
        <v>1025.25</v>
      </c>
      <c r="N340" t="s">
        <v>123</v>
      </c>
      <c r="O340" t="s">
        <v>107</v>
      </c>
      <c r="P340" t="s">
        <v>68</v>
      </c>
      <c r="Q340" t="s">
        <v>69</v>
      </c>
      <c r="R340" t="s">
        <v>38</v>
      </c>
    </row>
    <row r="341" spans="1:18" x14ac:dyDescent="0.3">
      <c r="A341" t="s">
        <v>505</v>
      </c>
      <c r="B341" s="13">
        <v>44209</v>
      </c>
      <c r="C341" t="s">
        <v>506</v>
      </c>
      <c r="D341" t="s">
        <v>397</v>
      </c>
      <c r="E341" t="s">
        <v>220</v>
      </c>
      <c r="F341" t="s">
        <v>143</v>
      </c>
      <c r="G341" t="s">
        <v>100</v>
      </c>
      <c r="H341">
        <v>2</v>
      </c>
      <c r="I341">
        <v>522.65</v>
      </c>
      <c r="J341">
        <v>0.05</v>
      </c>
      <c r="K341">
        <v>79.44</v>
      </c>
      <c r="L341">
        <v>13.86</v>
      </c>
      <c r="M341">
        <v>1086.33</v>
      </c>
      <c r="N341" t="s">
        <v>58</v>
      </c>
      <c r="O341" t="s">
        <v>25</v>
      </c>
      <c r="P341" t="s">
        <v>36</v>
      </c>
      <c r="Q341" t="s">
        <v>37</v>
      </c>
      <c r="R341" t="s">
        <v>38</v>
      </c>
    </row>
    <row r="342" spans="1:18" x14ac:dyDescent="0.3">
      <c r="A342" t="s">
        <v>515</v>
      </c>
      <c r="B342" s="13">
        <v>44848</v>
      </c>
      <c r="C342" t="s">
        <v>516</v>
      </c>
      <c r="D342" t="s">
        <v>517</v>
      </c>
      <c r="E342" t="s">
        <v>99</v>
      </c>
      <c r="F342" t="s">
        <v>143</v>
      </c>
      <c r="G342" t="s">
        <v>203</v>
      </c>
      <c r="H342">
        <v>1</v>
      </c>
      <c r="I342">
        <v>431.01</v>
      </c>
      <c r="J342">
        <v>0</v>
      </c>
      <c r="K342">
        <v>0</v>
      </c>
      <c r="L342">
        <v>2.23</v>
      </c>
      <c r="M342">
        <v>433.24</v>
      </c>
      <c r="N342" t="s">
        <v>35</v>
      </c>
      <c r="O342" t="s">
        <v>107</v>
      </c>
      <c r="P342" t="s">
        <v>95</v>
      </c>
      <c r="Q342" t="s">
        <v>37</v>
      </c>
      <c r="R342" t="s">
        <v>38</v>
      </c>
    </row>
    <row r="343" spans="1:18" x14ac:dyDescent="0.3">
      <c r="A343" t="s">
        <v>526</v>
      </c>
      <c r="B343" s="13">
        <v>44031</v>
      </c>
      <c r="C343" t="s">
        <v>527</v>
      </c>
      <c r="D343" t="s">
        <v>528</v>
      </c>
      <c r="E343" t="s">
        <v>220</v>
      </c>
      <c r="F343" t="s">
        <v>143</v>
      </c>
      <c r="G343" t="s">
        <v>57</v>
      </c>
      <c r="H343">
        <v>1</v>
      </c>
      <c r="I343">
        <v>194.17</v>
      </c>
      <c r="J343">
        <v>0</v>
      </c>
      <c r="K343">
        <v>9.7100000000000009</v>
      </c>
      <c r="L343">
        <v>5.33</v>
      </c>
      <c r="M343">
        <v>209.21</v>
      </c>
      <c r="N343" t="s">
        <v>58</v>
      </c>
      <c r="O343" t="s">
        <v>25</v>
      </c>
      <c r="P343" t="s">
        <v>178</v>
      </c>
      <c r="Q343" t="s">
        <v>69</v>
      </c>
      <c r="R343" t="s">
        <v>28</v>
      </c>
    </row>
    <row r="344" spans="1:18" x14ac:dyDescent="0.3">
      <c r="A344" t="s">
        <v>542</v>
      </c>
      <c r="B344" s="13">
        <v>44237</v>
      </c>
      <c r="C344" t="s">
        <v>543</v>
      </c>
      <c r="D344" t="s">
        <v>290</v>
      </c>
      <c r="E344" t="s">
        <v>160</v>
      </c>
      <c r="F344" t="s">
        <v>143</v>
      </c>
      <c r="G344" t="s">
        <v>66</v>
      </c>
      <c r="H344">
        <v>3</v>
      </c>
      <c r="I344">
        <v>431.79</v>
      </c>
      <c r="J344">
        <v>0</v>
      </c>
      <c r="K344">
        <v>64.77</v>
      </c>
      <c r="L344">
        <v>11.24</v>
      </c>
      <c r="M344">
        <v>1371.38</v>
      </c>
      <c r="N344" t="s">
        <v>58</v>
      </c>
      <c r="O344" t="s">
        <v>25</v>
      </c>
      <c r="P344" t="s">
        <v>173</v>
      </c>
      <c r="Q344" t="s">
        <v>174</v>
      </c>
      <c r="R344" t="s">
        <v>38</v>
      </c>
    </row>
    <row r="345" spans="1:18" x14ac:dyDescent="0.3">
      <c r="A345" t="s">
        <v>548</v>
      </c>
      <c r="B345" s="13">
        <v>44635</v>
      </c>
      <c r="C345" t="s">
        <v>549</v>
      </c>
      <c r="D345" t="s">
        <v>550</v>
      </c>
      <c r="E345" t="s">
        <v>340</v>
      </c>
      <c r="F345" t="s">
        <v>143</v>
      </c>
      <c r="G345" t="s">
        <v>23</v>
      </c>
      <c r="H345">
        <v>3</v>
      </c>
      <c r="I345">
        <v>180.87</v>
      </c>
      <c r="J345">
        <v>0</v>
      </c>
      <c r="K345">
        <v>27.13</v>
      </c>
      <c r="L345">
        <v>2.04</v>
      </c>
      <c r="M345">
        <v>571.78</v>
      </c>
      <c r="N345" t="s">
        <v>24</v>
      </c>
      <c r="O345" t="s">
        <v>25</v>
      </c>
      <c r="P345" t="s">
        <v>117</v>
      </c>
      <c r="Q345" t="s">
        <v>118</v>
      </c>
      <c r="R345" t="s">
        <v>38</v>
      </c>
    </row>
    <row r="346" spans="1:18" x14ac:dyDescent="0.3">
      <c r="A346" t="s">
        <v>564</v>
      </c>
      <c r="B346" s="13">
        <v>45593</v>
      </c>
      <c r="C346" t="s">
        <v>565</v>
      </c>
      <c r="D346" t="s">
        <v>566</v>
      </c>
      <c r="E346" t="s">
        <v>111</v>
      </c>
      <c r="F346" t="s">
        <v>143</v>
      </c>
      <c r="G346" t="s">
        <v>268</v>
      </c>
      <c r="H346">
        <v>5</v>
      </c>
      <c r="I346">
        <v>216.33</v>
      </c>
      <c r="J346">
        <v>0.2</v>
      </c>
      <c r="K346">
        <v>0</v>
      </c>
      <c r="L346">
        <v>9.73</v>
      </c>
      <c r="M346">
        <v>875.05</v>
      </c>
      <c r="N346" t="s">
        <v>58</v>
      </c>
      <c r="O346" t="s">
        <v>25</v>
      </c>
      <c r="P346" t="s">
        <v>60</v>
      </c>
      <c r="Q346" t="s">
        <v>37</v>
      </c>
      <c r="R346" t="s">
        <v>38</v>
      </c>
    </row>
    <row r="347" spans="1:18" x14ac:dyDescent="0.3">
      <c r="A347" t="s">
        <v>570</v>
      </c>
      <c r="B347" s="13">
        <v>45316</v>
      </c>
      <c r="C347" t="s">
        <v>571</v>
      </c>
      <c r="D347" t="s">
        <v>219</v>
      </c>
      <c r="E347" t="s">
        <v>287</v>
      </c>
      <c r="F347" t="s">
        <v>143</v>
      </c>
      <c r="G347" t="s">
        <v>268</v>
      </c>
      <c r="H347">
        <v>3</v>
      </c>
      <c r="I347">
        <v>465.66</v>
      </c>
      <c r="J347">
        <v>0.1</v>
      </c>
      <c r="K347">
        <v>62.86</v>
      </c>
      <c r="L347">
        <v>0.89</v>
      </c>
      <c r="M347">
        <v>1321.03</v>
      </c>
      <c r="N347" t="s">
        <v>35</v>
      </c>
      <c r="O347" t="s">
        <v>144</v>
      </c>
      <c r="P347" t="s">
        <v>165</v>
      </c>
      <c r="Q347" t="s">
        <v>37</v>
      </c>
      <c r="R347" t="s">
        <v>38</v>
      </c>
    </row>
    <row r="348" spans="1:18" x14ac:dyDescent="0.3">
      <c r="A348" t="s">
        <v>572</v>
      </c>
      <c r="B348" s="13">
        <v>44473</v>
      </c>
      <c r="C348" t="s">
        <v>573</v>
      </c>
      <c r="D348" t="s">
        <v>574</v>
      </c>
      <c r="E348" t="s">
        <v>220</v>
      </c>
      <c r="F348" t="s">
        <v>143</v>
      </c>
      <c r="G348" t="s">
        <v>23</v>
      </c>
      <c r="H348">
        <v>5</v>
      </c>
      <c r="I348">
        <v>35.270000000000003</v>
      </c>
      <c r="J348">
        <v>0</v>
      </c>
      <c r="K348">
        <v>21.16</v>
      </c>
      <c r="L348">
        <v>12.99</v>
      </c>
      <c r="M348">
        <v>210.5</v>
      </c>
      <c r="N348" t="s">
        <v>24</v>
      </c>
      <c r="O348" t="s">
        <v>25</v>
      </c>
      <c r="P348" t="s">
        <v>133</v>
      </c>
      <c r="Q348" t="s">
        <v>134</v>
      </c>
      <c r="R348" t="s">
        <v>38</v>
      </c>
    </row>
    <row r="349" spans="1:18" x14ac:dyDescent="0.3">
      <c r="A349" t="s">
        <v>594</v>
      </c>
      <c r="B349" s="13">
        <v>44223</v>
      </c>
      <c r="C349" t="s">
        <v>595</v>
      </c>
      <c r="D349" t="s">
        <v>596</v>
      </c>
      <c r="E349" t="s">
        <v>597</v>
      </c>
      <c r="F349" t="s">
        <v>143</v>
      </c>
      <c r="G349" t="s">
        <v>198</v>
      </c>
      <c r="H349">
        <v>4</v>
      </c>
      <c r="I349">
        <v>331.21</v>
      </c>
      <c r="J349">
        <v>0</v>
      </c>
      <c r="K349">
        <v>66.239999999999995</v>
      </c>
      <c r="L349">
        <v>5.9</v>
      </c>
      <c r="M349">
        <v>1396.98</v>
      </c>
      <c r="N349" t="s">
        <v>123</v>
      </c>
      <c r="O349" t="s">
        <v>25</v>
      </c>
      <c r="P349" t="s">
        <v>257</v>
      </c>
      <c r="Q349" t="s">
        <v>69</v>
      </c>
      <c r="R349" t="s">
        <v>38</v>
      </c>
    </row>
    <row r="350" spans="1:18" x14ac:dyDescent="0.3">
      <c r="A350" t="s">
        <v>602</v>
      </c>
      <c r="B350" s="13">
        <v>45408</v>
      </c>
      <c r="C350" t="s">
        <v>603</v>
      </c>
      <c r="D350" t="s">
        <v>604</v>
      </c>
      <c r="E350" t="s">
        <v>177</v>
      </c>
      <c r="F350" t="s">
        <v>143</v>
      </c>
      <c r="G350" t="s">
        <v>100</v>
      </c>
      <c r="H350">
        <v>5</v>
      </c>
      <c r="I350">
        <v>489.41</v>
      </c>
      <c r="J350">
        <v>0.05</v>
      </c>
      <c r="K350">
        <v>278.95999999999998</v>
      </c>
      <c r="L350">
        <v>7.24</v>
      </c>
      <c r="M350">
        <v>2610.9</v>
      </c>
      <c r="N350" t="s">
        <v>35</v>
      </c>
      <c r="O350" t="s">
        <v>25</v>
      </c>
      <c r="P350" t="s">
        <v>74</v>
      </c>
      <c r="Q350" t="s">
        <v>75</v>
      </c>
      <c r="R350" t="s">
        <v>38</v>
      </c>
    </row>
    <row r="351" spans="1:18" x14ac:dyDescent="0.3">
      <c r="A351" t="s">
        <v>616</v>
      </c>
      <c r="B351" s="13">
        <v>44573</v>
      </c>
      <c r="C351" t="s">
        <v>617</v>
      </c>
      <c r="D351" t="s">
        <v>618</v>
      </c>
      <c r="E351" t="s">
        <v>287</v>
      </c>
      <c r="F351" t="s">
        <v>143</v>
      </c>
      <c r="G351" t="s">
        <v>66</v>
      </c>
      <c r="H351">
        <v>2</v>
      </c>
      <c r="I351">
        <v>375.82</v>
      </c>
      <c r="J351">
        <v>0.05</v>
      </c>
      <c r="K351">
        <v>35.700000000000003</v>
      </c>
      <c r="L351">
        <v>13.55</v>
      </c>
      <c r="M351">
        <v>763.31</v>
      </c>
      <c r="N351" t="s">
        <v>35</v>
      </c>
      <c r="O351" t="s">
        <v>144</v>
      </c>
      <c r="P351" t="s">
        <v>95</v>
      </c>
      <c r="Q351" t="s">
        <v>37</v>
      </c>
      <c r="R351" t="s">
        <v>76</v>
      </c>
    </row>
    <row r="352" spans="1:18" x14ac:dyDescent="0.3">
      <c r="A352" t="s">
        <v>649</v>
      </c>
      <c r="B352" s="13">
        <v>44355</v>
      </c>
      <c r="C352" t="s">
        <v>650</v>
      </c>
      <c r="D352" t="s">
        <v>209</v>
      </c>
      <c r="E352" t="s">
        <v>220</v>
      </c>
      <c r="F352" t="s">
        <v>143</v>
      </c>
      <c r="G352" t="s">
        <v>66</v>
      </c>
      <c r="H352">
        <v>3</v>
      </c>
      <c r="I352">
        <v>270.41000000000003</v>
      </c>
      <c r="J352">
        <v>0.1</v>
      </c>
      <c r="K352">
        <v>36.51</v>
      </c>
      <c r="L352">
        <v>3.91</v>
      </c>
      <c r="M352">
        <v>770.53</v>
      </c>
      <c r="N352" t="s">
        <v>35</v>
      </c>
      <c r="O352" t="s">
        <v>25</v>
      </c>
      <c r="P352" t="s">
        <v>95</v>
      </c>
      <c r="Q352" t="s">
        <v>37</v>
      </c>
      <c r="R352" t="s">
        <v>38</v>
      </c>
    </row>
    <row r="353" spans="1:18" x14ac:dyDescent="0.3">
      <c r="A353" t="s">
        <v>669</v>
      </c>
      <c r="B353" s="13">
        <v>45428</v>
      </c>
      <c r="C353" t="s">
        <v>670</v>
      </c>
      <c r="D353" t="s">
        <v>255</v>
      </c>
      <c r="E353" t="s">
        <v>365</v>
      </c>
      <c r="F353" t="s">
        <v>143</v>
      </c>
      <c r="G353" t="s">
        <v>268</v>
      </c>
      <c r="H353">
        <v>4</v>
      </c>
      <c r="I353">
        <v>312.36</v>
      </c>
      <c r="J353">
        <v>0.1</v>
      </c>
      <c r="K353">
        <v>0</v>
      </c>
      <c r="L353">
        <v>2.52</v>
      </c>
      <c r="M353">
        <v>1127.02</v>
      </c>
      <c r="N353" t="s">
        <v>58</v>
      </c>
      <c r="O353" t="s">
        <v>25</v>
      </c>
      <c r="P353" t="s">
        <v>173</v>
      </c>
      <c r="Q353" t="s">
        <v>174</v>
      </c>
      <c r="R353" t="s">
        <v>38</v>
      </c>
    </row>
    <row r="354" spans="1:18" x14ac:dyDescent="0.3">
      <c r="A354" t="s">
        <v>676</v>
      </c>
      <c r="B354" s="13">
        <v>44626</v>
      </c>
      <c r="C354" t="s">
        <v>677</v>
      </c>
      <c r="D354" t="s">
        <v>450</v>
      </c>
      <c r="E354" t="s">
        <v>88</v>
      </c>
      <c r="F354" t="s">
        <v>143</v>
      </c>
      <c r="G354" t="s">
        <v>57</v>
      </c>
      <c r="H354">
        <v>3</v>
      </c>
      <c r="I354">
        <v>568.01</v>
      </c>
      <c r="J354">
        <v>0</v>
      </c>
      <c r="K354">
        <v>0</v>
      </c>
      <c r="L354">
        <v>12.94</v>
      </c>
      <c r="M354">
        <v>1716.97</v>
      </c>
      <c r="N354" t="s">
        <v>58</v>
      </c>
      <c r="O354" t="s">
        <v>25</v>
      </c>
      <c r="P354" t="s">
        <v>257</v>
      </c>
      <c r="Q354" t="s">
        <v>69</v>
      </c>
      <c r="R354" t="s">
        <v>183</v>
      </c>
    </row>
    <row r="355" spans="1:18" x14ac:dyDescent="0.3">
      <c r="A355" t="s">
        <v>688</v>
      </c>
      <c r="B355" s="13">
        <v>45185</v>
      </c>
      <c r="C355" t="s">
        <v>689</v>
      </c>
      <c r="D355" t="s">
        <v>690</v>
      </c>
      <c r="E355" t="s">
        <v>691</v>
      </c>
      <c r="F355" t="s">
        <v>143</v>
      </c>
      <c r="G355" t="s">
        <v>57</v>
      </c>
      <c r="H355">
        <v>3</v>
      </c>
      <c r="I355">
        <v>556.67999999999995</v>
      </c>
      <c r="J355">
        <v>0</v>
      </c>
      <c r="K355">
        <v>83.5</v>
      </c>
      <c r="L355">
        <v>1.06</v>
      </c>
      <c r="M355">
        <v>1754.6</v>
      </c>
      <c r="N355" t="s">
        <v>24</v>
      </c>
      <c r="O355" t="s">
        <v>25</v>
      </c>
      <c r="P355" t="s">
        <v>36</v>
      </c>
      <c r="Q355" t="s">
        <v>37</v>
      </c>
      <c r="R355" t="s">
        <v>61</v>
      </c>
    </row>
    <row r="356" spans="1:18" x14ac:dyDescent="0.3">
      <c r="A356" t="s">
        <v>716</v>
      </c>
      <c r="B356" s="13">
        <v>44463</v>
      </c>
      <c r="C356" t="s">
        <v>717</v>
      </c>
      <c r="D356" t="s">
        <v>163</v>
      </c>
      <c r="E356" t="s">
        <v>340</v>
      </c>
      <c r="F356" t="s">
        <v>143</v>
      </c>
      <c r="G356" t="s">
        <v>203</v>
      </c>
      <c r="H356">
        <v>5</v>
      </c>
      <c r="I356">
        <v>303.23</v>
      </c>
      <c r="J356">
        <v>0</v>
      </c>
      <c r="K356">
        <v>181.94</v>
      </c>
      <c r="L356">
        <v>9.58</v>
      </c>
      <c r="M356">
        <v>1707.67</v>
      </c>
      <c r="N356" t="s">
        <v>58</v>
      </c>
      <c r="O356" t="s">
        <v>25</v>
      </c>
      <c r="P356" t="s">
        <v>178</v>
      </c>
      <c r="Q356" t="s">
        <v>69</v>
      </c>
      <c r="R356" t="s">
        <v>38</v>
      </c>
    </row>
    <row r="357" spans="1:18" x14ac:dyDescent="0.3">
      <c r="A357" t="s">
        <v>721</v>
      </c>
      <c r="B357" s="13">
        <v>44803</v>
      </c>
      <c r="C357" t="s">
        <v>722</v>
      </c>
      <c r="D357" t="s">
        <v>116</v>
      </c>
      <c r="E357" t="s">
        <v>597</v>
      </c>
      <c r="F357" t="s">
        <v>143</v>
      </c>
      <c r="G357" t="s">
        <v>23</v>
      </c>
      <c r="H357">
        <v>5</v>
      </c>
      <c r="I357">
        <v>165.72</v>
      </c>
      <c r="J357">
        <v>0.05</v>
      </c>
      <c r="K357">
        <v>62.97</v>
      </c>
      <c r="L357">
        <v>4.46</v>
      </c>
      <c r="M357">
        <v>854.6</v>
      </c>
      <c r="N357" t="s">
        <v>58</v>
      </c>
      <c r="O357" t="s">
        <v>25</v>
      </c>
      <c r="P357" t="s">
        <v>74</v>
      </c>
      <c r="Q357" t="s">
        <v>75</v>
      </c>
      <c r="R357" t="s">
        <v>28</v>
      </c>
    </row>
    <row r="358" spans="1:18" x14ac:dyDescent="0.3">
      <c r="A358" t="s">
        <v>723</v>
      </c>
      <c r="B358" s="13">
        <v>45599</v>
      </c>
      <c r="C358" t="s">
        <v>724</v>
      </c>
      <c r="D358" t="s">
        <v>64</v>
      </c>
      <c r="E358" t="s">
        <v>386</v>
      </c>
      <c r="F358" t="s">
        <v>143</v>
      </c>
      <c r="G358" t="s">
        <v>90</v>
      </c>
      <c r="H358">
        <v>5</v>
      </c>
      <c r="I358">
        <v>404.33</v>
      </c>
      <c r="J358">
        <v>0</v>
      </c>
      <c r="K358">
        <v>161.72999999999999</v>
      </c>
      <c r="L358">
        <v>4.75</v>
      </c>
      <c r="M358">
        <v>2188.13</v>
      </c>
      <c r="N358" t="s">
        <v>58</v>
      </c>
      <c r="O358" t="s">
        <v>107</v>
      </c>
      <c r="P358" t="s">
        <v>83</v>
      </c>
      <c r="Q358" t="s">
        <v>84</v>
      </c>
      <c r="R358" t="s">
        <v>183</v>
      </c>
    </row>
    <row r="359" spans="1:18" x14ac:dyDescent="0.3">
      <c r="A359" t="s">
        <v>739</v>
      </c>
      <c r="B359" s="13">
        <v>44148</v>
      </c>
      <c r="C359" t="s">
        <v>740</v>
      </c>
      <c r="D359" t="s">
        <v>312</v>
      </c>
      <c r="E359" t="s">
        <v>73</v>
      </c>
      <c r="F359" t="s">
        <v>143</v>
      </c>
      <c r="G359" t="s">
        <v>90</v>
      </c>
      <c r="H359">
        <v>5</v>
      </c>
      <c r="I359">
        <v>574.24</v>
      </c>
      <c r="J359">
        <v>0</v>
      </c>
      <c r="K359">
        <v>143.56</v>
      </c>
      <c r="L359">
        <v>13.09</v>
      </c>
      <c r="M359">
        <v>3027.85</v>
      </c>
      <c r="N359" t="s">
        <v>58</v>
      </c>
      <c r="O359" t="s">
        <v>107</v>
      </c>
      <c r="P359" t="s">
        <v>74</v>
      </c>
      <c r="Q359" t="s">
        <v>75</v>
      </c>
      <c r="R359" t="s">
        <v>38</v>
      </c>
    </row>
    <row r="360" spans="1:18" x14ac:dyDescent="0.3">
      <c r="A360" t="s">
        <v>743</v>
      </c>
      <c r="B360" s="13">
        <v>45079</v>
      </c>
      <c r="C360" t="s">
        <v>744</v>
      </c>
      <c r="D360" t="s">
        <v>327</v>
      </c>
      <c r="E360" t="s">
        <v>164</v>
      </c>
      <c r="F360" t="s">
        <v>143</v>
      </c>
      <c r="G360" t="s">
        <v>203</v>
      </c>
      <c r="H360">
        <v>5</v>
      </c>
      <c r="I360">
        <v>73.55</v>
      </c>
      <c r="J360">
        <v>0.15</v>
      </c>
      <c r="K360">
        <v>0</v>
      </c>
      <c r="L360">
        <v>9.0299999999999994</v>
      </c>
      <c r="M360">
        <v>321.62</v>
      </c>
      <c r="N360" t="s">
        <v>24</v>
      </c>
      <c r="O360" t="s">
        <v>25</v>
      </c>
      <c r="P360" t="s">
        <v>124</v>
      </c>
      <c r="Q360" t="s">
        <v>125</v>
      </c>
      <c r="R360" t="s">
        <v>38</v>
      </c>
    </row>
    <row r="361" spans="1:18" x14ac:dyDescent="0.3">
      <c r="A361" t="s">
        <v>745</v>
      </c>
      <c r="B361" s="13">
        <v>45088</v>
      </c>
      <c r="C361" t="s">
        <v>746</v>
      </c>
      <c r="D361" t="s">
        <v>131</v>
      </c>
      <c r="E361" t="s">
        <v>231</v>
      </c>
      <c r="F361" t="s">
        <v>143</v>
      </c>
      <c r="G361" t="s">
        <v>57</v>
      </c>
      <c r="H361">
        <v>1</v>
      </c>
      <c r="I361">
        <v>257.51</v>
      </c>
      <c r="J361">
        <v>0.1</v>
      </c>
      <c r="K361">
        <v>41.72</v>
      </c>
      <c r="L361">
        <v>5.25</v>
      </c>
      <c r="M361">
        <v>278.73</v>
      </c>
      <c r="N361" t="s">
        <v>58</v>
      </c>
      <c r="O361" t="s">
        <v>25</v>
      </c>
      <c r="P361" t="s">
        <v>68</v>
      </c>
      <c r="Q361" t="s">
        <v>69</v>
      </c>
      <c r="R361" t="s">
        <v>38</v>
      </c>
    </row>
    <row r="362" spans="1:18" x14ac:dyDescent="0.3">
      <c r="A362" t="s">
        <v>750</v>
      </c>
      <c r="B362" s="13">
        <v>44494</v>
      </c>
      <c r="C362" t="s">
        <v>751</v>
      </c>
      <c r="D362" t="s">
        <v>704</v>
      </c>
      <c r="E362" t="s">
        <v>122</v>
      </c>
      <c r="F362" t="s">
        <v>143</v>
      </c>
      <c r="G362" t="s">
        <v>203</v>
      </c>
      <c r="H362">
        <v>2</v>
      </c>
      <c r="I362">
        <v>139.97</v>
      </c>
      <c r="J362">
        <v>0</v>
      </c>
      <c r="K362">
        <v>22.4</v>
      </c>
      <c r="L362">
        <v>14.9</v>
      </c>
      <c r="M362">
        <v>317.24</v>
      </c>
      <c r="N362" t="s">
        <v>67</v>
      </c>
      <c r="O362" t="s">
        <v>25</v>
      </c>
      <c r="P362" t="s">
        <v>112</v>
      </c>
      <c r="Q362" t="s">
        <v>113</v>
      </c>
      <c r="R362" t="s">
        <v>76</v>
      </c>
    </row>
    <row r="363" spans="1:18" x14ac:dyDescent="0.3">
      <c r="A363" t="s">
        <v>752</v>
      </c>
      <c r="B363" s="13">
        <v>45228</v>
      </c>
      <c r="C363" t="s">
        <v>753</v>
      </c>
      <c r="D363" t="s">
        <v>754</v>
      </c>
      <c r="E363" t="s">
        <v>80</v>
      </c>
      <c r="F363" t="s">
        <v>143</v>
      </c>
      <c r="G363" t="s">
        <v>57</v>
      </c>
      <c r="H363">
        <v>4</v>
      </c>
      <c r="I363">
        <v>202.98</v>
      </c>
      <c r="J363">
        <v>0.1</v>
      </c>
      <c r="K363">
        <v>58.46</v>
      </c>
      <c r="L363">
        <v>0.09</v>
      </c>
      <c r="M363">
        <v>789.28</v>
      </c>
      <c r="N363" t="s">
        <v>50</v>
      </c>
      <c r="O363" t="s">
        <v>25</v>
      </c>
      <c r="P363" t="s">
        <v>117</v>
      </c>
      <c r="Q363" t="s">
        <v>118</v>
      </c>
      <c r="R363" t="s">
        <v>61</v>
      </c>
    </row>
    <row r="364" spans="1:18" x14ac:dyDescent="0.3">
      <c r="A364" t="s">
        <v>763</v>
      </c>
      <c r="B364" s="13">
        <v>45546</v>
      </c>
      <c r="C364" t="s">
        <v>764</v>
      </c>
      <c r="D364" t="s">
        <v>343</v>
      </c>
      <c r="E364" t="s">
        <v>498</v>
      </c>
      <c r="F364" t="s">
        <v>143</v>
      </c>
      <c r="G364" t="s">
        <v>23</v>
      </c>
      <c r="H364">
        <v>3</v>
      </c>
      <c r="I364">
        <v>297.86</v>
      </c>
      <c r="J364">
        <v>0.2</v>
      </c>
      <c r="K364">
        <v>85.78</v>
      </c>
      <c r="L364">
        <v>7.14</v>
      </c>
      <c r="M364">
        <v>807.78</v>
      </c>
      <c r="N364" t="s">
        <v>58</v>
      </c>
      <c r="O364" t="s">
        <v>107</v>
      </c>
      <c r="P364" t="s">
        <v>145</v>
      </c>
      <c r="Q364" t="s">
        <v>146</v>
      </c>
      <c r="R364" t="s">
        <v>38</v>
      </c>
    </row>
    <row r="365" spans="1:18" x14ac:dyDescent="0.3">
      <c r="A365" t="s">
        <v>768</v>
      </c>
      <c r="B365" s="13">
        <v>45351</v>
      </c>
      <c r="C365" t="s">
        <v>769</v>
      </c>
      <c r="D365" t="s">
        <v>770</v>
      </c>
      <c r="E365" t="s">
        <v>324</v>
      </c>
      <c r="F365" t="s">
        <v>143</v>
      </c>
      <c r="G365" t="s">
        <v>198</v>
      </c>
      <c r="H365">
        <v>4</v>
      </c>
      <c r="I365">
        <v>73.540000000000006</v>
      </c>
      <c r="J365">
        <v>0.2</v>
      </c>
      <c r="K365">
        <v>18.829999999999998</v>
      </c>
      <c r="L365">
        <v>11.23</v>
      </c>
      <c r="M365">
        <v>265.39</v>
      </c>
      <c r="N365" t="s">
        <v>24</v>
      </c>
      <c r="O365" t="s">
        <v>25</v>
      </c>
      <c r="P365" t="s">
        <v>51</v>
      </c>
      <c r="Q365" t="s">
        <v>52</v>
      </c>
      <c r="R365" t="s">
        <v>38</v>
      </c>
    </row>
    <row r="366" spans="1:18" x14ac:dyDescent="0.3">
      <c r="A366" t="s">
        <v>777</v>
      </c>
      <c r="B366" s="13">
        <v>45364</v>
      </c>
      <c r="C366" t="s">
        <v>778</v>
      </c>
      <c r="D366" t="s">
        <v>343</v>
      </c>
      <c r="E366" t="s">
        <v>691</v>
      </c>
      <c r="F366" t="s">
        <v>143</v>
      </c>
      <c r="G366" t="s">
        <v>90</v>
      </c>
      <c r="H366">
        <v>5</v>
      </c>
      <c r="I366">
        <v>187.41</v>
      </c>
      <c r="J366">
        <v>0.25</v>
      </c>
      <c r="K366">
        <v>35.14</v>
      </c>
      <c r="L366">
        <v>13.38</v>
      </c>
      <c r="M366">
        <v>751.31</v>
      </c>
      <c r="N366" t="s">
        <v>123</v>
      </c>
      <c r="O366" t="s">
        <v>107</v>
      </c>
      <c r="P366" t="s">
        <v>44</v>
      </c>
      <c r="Q366" t="s">
        <v>37</v>
      </c>
      <c r="R366" t="s">
        <v>61</v>
      </c>
    </row>
    <row r="367" spans="1:18" x14ac:dyDescent="0.3">
      <c r="A367" t="s">
        <v>781</v>
      </c>
      <c r="B367" s="13">
        <v>45241</v>
      </c>
      <c r="C367" t="s">
        <v>782</v>
      </c>
      <c r="D367" t="s">
        <v>352</v>
      </c>
      <c r="E367" t="s">
        <v>80</v>
      </c>
      <c r="F367" t="s">
        <v>143</v>
      </c>
      <c r="G367" t="s">
        <v>66</v>
      </c>
      <c r="H367">
        <v>5</v>
      </c>
      <c r="I367">
        <v>259.57</v>
      </c>
      <c r="J367">
        <v>0.05</v>
      </c>
      <c r="K367">
        <v>0</v>
      </c>
      <c r="L367">
        <v>7.79</v>
      </c>
      <c r="M367">
        <v>1240.75</v>
      </c>
      <c r="N367" t="s">
        <v>67</v>
      </c>
      <c r="O367" t="s">
        <v>82</v>
      </c>
      <c r="P367" t="s">
        <v>165</v>
      </c>
      <c r="Q367" t="s">
        <v>37</v>
      </c>
      <c r="R367" t="s">
        <v>38</v>
      </c>
    </row>
    <row r="368" spans="1:18" x14ac:dyDescent="0.3">
      <c r="A368" t="s">
        <v>783</v>
      </c>
      <c r="B368" s="13">
        <v>44967</v>
      </c>
      <c r="C368" t="s">
        <v>784</v>
      </c>
      <c r="D368" t="s">
        <v>785</v>
      </c>
      <c r="E368" t="s">
        <v>132</v>
      </c>
      <c r="F368" t="s">
        <v>143</v>
      </c>
      <c r="G368" t="s">
        <v>49</v>
      </c>
      <c r="H368">
        <v>4</v>
      </c>
      <c r="I368">
        <v>428.27</v>
      </c>
      <c r="J368">
        <v>0.25</v>
      </c>
      <c r="K368">
        <v>154.18</v>
      </c>
      <c r="L368">
        <v>12.7</v>
      </c>
      <c r="M368">
        <v>1451.69</v>
      </c>
      <c r="N368" t="s">
        <v>50</v>
      </c>
      <c r="O368" t="s">
        <v>25</v>
      </c>
      <c r="P368" t="s">
        <v>26</v>
      </c>
      <c r="Q368" t="s">
        <v>27</v>
      </c>
      <c r="R368" t="s">
        <v>28</v>
      </c>
    </row>
    <row r="369" spans="1:18" x14ac:dyDescent="0.3">
      <c r="A369" t="s">
        <v>797</v>
      </c>
      <c r="B369" s="13">
        <v>44529</v>
      </c>
      <c r="C369" t="s">
        <v>798</v>
      </c>
      <c r="D369" t="s">
        <v>720</v>
      </c>
      <c r="E369" t="s">
        <v>197</v>
      </c>
      <c r="F369" t="s">
        <v>143</v>
      </c>
      <c r="G369" t="s">
        <v>203</v>
      </c>
      <c r="H369">
        <v>2</v>
      </c>
      <c r="I369">
        <v>220.49</v>
      </c>
      <c r="J369">
        <v>0.25</v>
      </c>
      <c r="K369">
        <v>39.69</v>
      </c>
      <c r="L369">
        <v>11.42</v>
      </c>
      <c r="M369">
        <v>381.84</v>
      </c>
      <c r="N369" t="s">
        <v>24</v>
      </c>
      <c r="O369" t="s">
        <v>25</v>
      </c>
      <c r="P369" t="s">
        <v>95</v>
      </c>
      <c r="Q369" t="s">
        <v>37</v>
      </c>
      <c r="R369" t="s">
        <v>38</v>
      </c>
    </row>
    <row r="370" spans="1:18" x14ac:dyDescent="0.3">
      <c r="A370" t="s">
        <v>810</v>
      </c>
      <c r="B370" s="13">
        <v>45420</v>
      </c>
      <c r="C370" t="s">
        <v>811</v>
      </c>
      <c r="D370" t="s">
        <v>41</v>
      </c>
      <c r="E370" t="s">
        <v>177</v>
      </c>
      <c r="F370" t="s">
        <v>143</v>
      </c>
      <c r="G370" t="s">
        <v>23</v>
      </c>
      <c r="H370">
        <v>5</v>
      </c>
      <c r="I370">
        <v>594.86</v>
      </c>
      <c r="J370">
        <v>0</v>
      </c>
      <c r="K370">
        <v>237.94</v>
      </c>
      <c r="L370">
        <v>2.37</v>
      </c>
      <c r="M370">
        <v>3214.61</v>
      </c>
      <c r="N370" t="s">
        <v>24</v>
      </c>
      <c r="O370" t="s">
        <v>25</v>
      </c>
      <c r="P370" t="s">
        <v>117</v>
      </c>
      <c r="Q370" t="s">
        <v>118</v>
      </c>
      <c r="R370" t="s">
        <v>38</v>
      </c>
    </row>
    <row r="371" spans="1:18" x14ac:dyDescent="0.3">
      <c r="A371" t="s">
        <v>831</v>
      </c>
      <c r="B371" s="13">
        <v>45538</v>
      </c>
      <c r="C371" t="s">
        <v>832</v>
      </c>
      <c r="D371" t="s">
        <v>494</v>
      </c>
      <c r="E371" t="s">
        <v>271</v>
      </c>
      <c r="F371" t="s">
        <v>143</v>
      </c>
      <c r="G371" t="s">
        <v>198</v>
      </c>
      <c r="H371">
        <v>2</v>
      </c>
      <c r="I371">
        <v>493.21</v>
      </c>
      <c r="J371">
        <v>0.1</v>
      </c>
      <c r="K371">
        <v>44.39</v>
      </c>
      <c r="L371">
        <v>14.27</v>
      </c>
      <c r="M371">
        <v>946.44</v>
      </c>
      <c r="N371" t="s">
        <v>123</v>
      </c>
      <c r="O371" t="s">
        <v>25</v>
      </c>
      <c r="P371" t="s">
        <v>68</v>
      </c>
      <c r="Q371" t="s">
        <v>69</v>
      </c>
      <c r="R371" t="s">
        <v>38</v>
      </c>
    </row>
    <row r="372" spans="1:18" x14ac:dyDescent="0.3">
      <c r="A372" t="s">
        <v>835</v>
      </c>
      <c r="B372" s="13">
        <v>45526</v>
      </c>
      <c r="C372" t="s">
        <v>836</v>
      </c>
      <c r="D372" t="s">
        <v>477</v>
      </c>
      <c r="E372" t="s">
        <v>340</v>
      </c>
      <c r="F372" t="s">
        <v>143</v>
      </c>
      <c r="G372" t="s">
        <v>23</v>
      </c>
      <c r="H372">
        <v>1</v>
      </c>
      <c r="I372">
        <v>232.43</v>
      </c>
      <c r="J372">
        <v>0.15</v>
      </c>
      <c r="K372">
        <v>9.8800000000000008</v>
      </c>
      <c r="L372">
        <v>10.44</v>
      </c>
      <c r="M372">
        <v>217.89</v>
      </c>
      <c r="N372" t="s">
        <v>58</v>
      </c>
      <c r="O372" t="s">
        <v>25</v>
      </c>
      <c r="P372" t="s">
        <v>173</v>
      </c>
      <c r="Q372" t="s">
        <v>174</v>
      </c>
      <c r="R372" t="s">
        <v>38</v>
      </c>
    </row>
    <row r="373" spans="1:18" x14ac:dyDescent="0.3">
      <c r="A373" t="s">
        <v>840</v>
      </c>
      <c r="B373" s="13">
        <v>45270</v>
      </c>
      <c r="C373" t="s">
        <v>841</v>
      </c>
      <c r="D373" t="s">
        <v>303</v>
      </c>
      <c r="E373" t="s">
        <v>80</v>
      </c>
      <c r="F373" t="s">
        <v>143</v>
      </c>
      <c r="G373" t="s">
        <v>66</v>
      </c>
      <c r="H373">
        <v>5</v>
      </c>
      <c r="I373">
        <v>436.76</v>
      </c>
      <c r="J373">
        <v>0</v>
      </c>
      <c r="K373">
        <v>174.7</v>
      </c>
      <c r="L373">
        <v>4.1100000000000003</v>
      </c>
      <c r="M373">
        <v>2362.61</v>
      </c>
      <c r="N373" t="s">
        <v>50</v>
      </c>
      <c r="O373" t="s">
        <v>25</v>
      </c>
      <c r="P373" t="s">
        <v>165</v>
      </c>
      <c r="Q373" t="s">
        <v>37</v>
      </c>
      <c r="R373" t="s">
        <v>28</v>
      </c>
    </row>
    <row r="374" spans="1:18" x14ac:dyDescent="0.3">
      <c r="A374" t="s">
        <v>869</v>
      </c>
      <c r="B374" s="13">
        <v>44028</v>
      </c>
      <c r="C374" t="s">
        <v>870</v>
      </c>
      <c r="D374" t="s">
        <v>64</v>
      </c>
      <c r="E374" t="s">
        <v>156</v>
      </c>
      <c r="F374" t="s">
        <v>143</v>
      </c>
      <c r="G374" t="s">
        <v>198</v>
      </c>
      <c r="H374">
        <v>1</v>
      </c>
      <c r="I374">
        <v>402.92</v>
      </c>
      <c r="J374">
        <v>0.15</v>
      </c>
      <c r="K374">
        <v>27.4</v>
      </c>
      <c r="L374">
        <v>11.53</v>
      </c>
      <c r="M374">
        <v>381.41</v>
      </c>
      <c r="N374" t="s">
        <v>123</v>
      </c>
      <c r="O374" t="s">
        <v>82</v>
      </c>
      <c r="P374" t="s">
        <v>173</v>
      </c>
      <c r="Q374" t="s">
        <v>174</v>
      </c>
      <c r="R374" t="s">
        <v>38</v>
      </c>
    </row>
    <row r="375" spans="1:18" x14ac:dyDescent="0.3">
      <c r="A375" t="s">
        <v>873</v>
      </c>
      <c r="B375" s="13">
        <v>45365</v>
      </c>
      <c r="C375" t="s">
        <v>874</v>
      </c>
      <c r="D375" t="s">
        <v>297</v>
      </c>
      <c r="E375" t="s">
        <v>56</v>
      </c>
      <c r="F375" t="s">
        <v>143</v>
      </c>
      <c r="G375" t="s">
        <v>90</v>
      </c>
      <c r="H375">
        <v>5</v>
      </c>
      <c r="I375">
        <v>276.60000000000002</v>
      </c>
      <c r="J375">
        <v>0.15</v>
      </c>
      <c r="K375">
        <v>94.04</v>
      </c>
      <c r="L375">
        <v>10.28</v>
      </c>
      <c r="M375">
        <v>1279.8699999999999</v>
      </c>
      <c r="N375" t="s">
        <v>35</v>
      </c>
      <c r="O375" t="s">
        <v>25</v>
      </c>
      <c r="P375" t="s">
        <v>83</v>
      </c>
      <c r="Q375" t="s">
        <v>84</v>
      </c>
      <c r="R375" t="s">
        <v>28</v>
      </c>
    </row>
    <row r="376" spans="1:18" x14ac:dyDescent="0.3">
      <c r="A376" t="s">
        <v>880</v>
      </c>
      <c r="B376" s="13">
        <v>44439</v>
      </c>
      <c r="C376" t="s">
        <v>881</v>
      </c>
      <c r="D376" t="s">
        <v>882</v>
      </c>
      <c r="E376" t="s">
        <v>691</v>
      </c>
      <c r="F376" t="s">
        <v>143</v>
      </c>
      <c r="G376" t="s">
        <v>203</v>
      </c>
      <c r="H376">
        <v>3</v>
      </c>
      <c r="I376">
        <v>331.2</v>
      </c>
      <c r="J376">
        <v>0.05</v>
      </c>
      <c r="K376">
        <v>47.2</v>
      </c>
      <c r="L376">
        <v>0.11</v>
      </c>
      <c r="M376">
        <v>991.23</v>
      </c>
      <c r="N376" t="s">
        <v>24</v>
      </c>
      <c r="O376" t="s">
        <v>25</v>
      </c>
      <c r="P376" t="s">
        <v>150</v>
      </c>
      <c r="Q376" t="s">
        <v>69</v>
      </c>
      <c r="R376" t="s">
        <v>38</v>
      </c>
    </row>
    <row r="377" spans="1:18" x14ac:dyDescent="0.3">
      <c r="A377" t="s">
        <v>885</v>
      </c>
      <c r="B377" s="13">
        <v>44978</v>
      </c>
      <c r="C377" t="s">
        <v>886</v>
      </c>
      <c r="D377" t="s">
        <v>494</v>
      </c>
      <c r="E377" t="s">
        <v>122</v>
      </c>
      <c r="F377" t="s">
        <v>143</v>
      </c>
      <c r="G377" t="s">
        <v>34</v>
      </c>
      <c r="H377">
        <v>1</v>
      </c>
      <c r="I377">
        <v>540.72</v>
      </c>
      <c r="J377">
        <v>0.05</v>
      </c>
      <c r="K377">
        <v>25.68</v>
      </c>
      <c r="L377">
        <v>7.52</v>
      </c>
      <c r="M377">
        <v>546.88</v>
      </c>
      <c r="N377" t="s">
        <v>35</v>
      </c>
      <c r="O377" t="s">
        <v>25</v>
      </c>
      <c r="P377" t="s">
        <v>112</v>
      </c>
      <c r="Q377" t="s">
        <v>113</v>
      </c>
      <c r="R377" t="s">
        <v>28</v>
      </c>
    </row>
    <row r="378" spans="1:18" x14ac:dyDescent="0.3">
      <c r="A378" t="s">
        <v>891</v>
      </c>
      <c r="B378" s="13">
        <v>44294</v>
      </c>
      <c r="C378" t="s">
        <v>892</v>
      </c>
      <c r="D378" t="s">
        <v>415</v>
      </c>
      <c r="E378" t="s">
        <v>160</v>
      </c>
      <c r="F378" t="s">
        <v>143</v>
      </c>
      <c r="G378" t="s">
        <v>203</v>
      </c>
      <c r="H378">
        <v>3</v>
      </c>
      <c r="I378">
        <v>213.75</v>
      </c>
      <c r="J378">
        <v>0.05</v>
      </c>
      <c r="K378">
        <v>48.74</v>
      </c>
      <c r="L378">
        <v>2.76</v>
      </c>
      <c r="M378">
        <v>660.69</v>
      </c>
      <c r="N378" t="s">
        <v>67</v>
      </c>
      <c r="O378" t="s">
        <v>25</v>
      </c>
      <c r="P378" t="s">
        <v>26</v>
      </c>
      <c r="Q378" t="s">
        <v>27</v>
      </c>
      <c r="R378" t="s">
        <v>38</v>
      </c>
    </row>
    <row r="379" spans="1:18" x14ac:dyDescent="0.3">
      <c r="A379" t="s">
        <v>893</v>
      </c>
      <c r="B379" s="13">
        <v>45203</v>
      </c>
      <c r="C379" t="s">
        <v>894</v>
      </c>
      <c r="D379" t="s">
        <v>440</v>
      </c>
      <c r="E379" t="s">
        <v>73</v>
      </c>
      <c r="F379" t="s">
        <v>143</v>
      </c>
      <c r="G379" t="s">
        <v>23</v>
      </c>
      <c r="H379">
        <v>5</v>
      </c>
      <c r="I379">
        <v>113.48</v>
      </c>
      <c r="J379">
        <v>0</v>
      </c>
      <c r="K379">
        <v>28.37</v>
      </c>
      <c r="L379">
        <v>0.78</v>
      </c>
      <c r="M379">
        <v>596.54999999999995</v>
      </c>
      <c r="N379" t="s">
        <v>24</v>
      </c>
      <c r="O379" t="s">
        <v>59</v>
      </c>
      <c r="P379" t="s">
        <v>74</v>
      </c>
      <c r="Q379" t="s">
        <v>75</v>
      </c>
      <c r="R379" t="s">
        <v>38</v>
      </c>
    </row>
    <row r="380" spans="1:18" x14ac:dyDescent="0.3">
      <c r="A380" t="s">
        <v>898</v>
      </c>
      <c r="B380" s="13">
        <v>44490</v>
      </c>
      <c r="C380" t="s">
        <v>899</v>
      </c>
      <c r="D380" t="s">
        <v>237</v>
      </c>
      <c r="E380" t="s">
        <v>231</v>
      </c>
      <c r="F380" t="s">
        <v>143</v>
      </c>
      <c r="G380" t="s">
        <v>57</v>
      </c>
      <c r="H380">
        <v>1</v>
      </c>
      <c r="I380">
        <v>169.12</v>
      </c>
      <c r="J380">
        <v>0</v>
      </c>
      <c r="K380">
        <v>8.4600000000000009</v>
      </c>
      <c r="L380">
        <v>13.27</v>
      </c>
      <c r="M380">
        <v>190.85</v>
      </c>
      <c r="N380" t="s">
        <v>58</v>
      </c>
      <c r="O380" t="s">
        <v>107</v>
      </c>
      <c r="P380" t="s">
        <v>51</v>
      </c>
      <c r="Q380" t="s">
        <v>52</v>
      </c>
      <c r="R380" t="s">
        <v>183</v>
      </c>
    </row>
    <row r="381" spans="1:18" x14ac:dyDescent="0.3">
      <c r="A381" t="s">
        <v>909</v>
      </c>
      <c r="B381" s="13">
        <v>45365</v>
      </c>
      <c r="C381" t="s">
        <v>910</v>
      </c>
      <c r="D381" t="s">
        <v>911</v>
      </c>
      <c r="E381" t="s">
        <v>300</v>
      </c>
      <c r="F381" t="s">
        <v>143</v>
      </c>
      <c r="G381" t="s">
        <v>49</v>
      </c>
      <c r="H381">
        <v>5</v>
      </c>
      <c r="I381">
        <v>400.83</v>
      </c>
      <c r="J381">
        <v>0</v>
      </c>
      <c r="K381">
        <v>100.21</v>
      </c>
      <c r="L381">
        <v>0.32</v>
      </c>
      <c r="M381">
        <v>2104.6799999999998</v>
      </c>
      <c r="N381" t="s">
        <v>67</v>
      </c>
      <c r="O381" t="s">
        <v>107</v>
      </c>
      <c r="P381" t="s">
        <v>257</v>
      </c>
      <c r="Q381" t="s">
        <v>69</v>
      </c>
      <c r="R381" t="s">
        <v>38</v>
      </c>
    </row>
    <row r="382" spans="1:18" x14ac:dyDescent="0.3">
      <c r="A382" t="s">
        <v>924</v>
      </c>
      <c r="B382" s="13">
        <v>44759</v>
      </c>
      <c r="C382" t="s">
        <v>925</v>
      </c>
      <c r="D382" t="s">
        <v>201</v>
      </c>
      <c r="E382" t="s">
        <v>283</v>
      </c>
      <c r="F382" t="s">
        <v>143</v>
      </c>
      <c r="G382" t="s">
        <v>203</v>
      </c>
      <c r="H382">
        <v>4</v>
      </c>
      <c r="I382">
        <v>539.52</v>
      </c>
      <c r="J382">
        <v>0</v>
      </c>
      <c r="K382">
        <v>172.65</v>
      </c>
      <c r="L382">
        <v>6.53</v>
      </c>
      <c r="M382">
        <v>2337.2600000000002</v>
      </c>
      <c r="N382" t="s">
        <v>35</v>
      </c>
      <c r="O382" t="s">
        <v>25</v>
      </c>
      <c r="P382" t="s">
        <v>36</v>
      </c>
      <c r="Q382" t="s">
        <v>37</v>
      </c>
      <c r="R382" t="s">
        <v>38</v>
      </c>
    </row>
    <row r="383" spans="1:18" x14ac:dyDescent="0.3">
      <c r="A383" t="s">
        <v>967</v>
      </c>
      <c r="B383" s="13">
        <v>43832</v>
      </c>
      <c r="C383" t="s">
        <v>968</v>
      </c>
      <c r="D383" t="s">
        <v>172</v>
      </c>
      <c r="E383" t="s">
        <v>498</v>
      </c>
      <c r="F383" t="s">
        <v>143</v>
      </c>
      <c r="G383" t="s">
        <v>66</v>
      </c>
      <c r="H383">
        <v>1</v>
      </c>
      <c r="I383">
        <v>501.07</v>
      </c>
      <c r="J383">
        <v>0</v>
      </c>
      <c r="K383">
        <v>25.05</v>
      </c>
      <c r="L383">
        <v>1.54</v>
      </c>
      <c r="M383">
        <v>527.66</v>
      </c>
      <c r="N383" t="s">
        <v>35</v>
      </c>
      <c r="O383" t="s">
        <v>25</v>
      </c>
      <c r="P383" t="s">
        <v>178</v>
      </c>
      <c r="Q383" t="s">
        <v>69</v>
      </c>
      <c r="R383" t="s">
        <v>38</v>
      </c>
    </row>
    <row r="384" spans="1:18" x14ac:dyDescent="0.3">
      <c r="A384" t="s">
        <v>1004</v>
      </c>
      <c r="B384" s="13">
        <v>43982</v>
      </c>
      <c r="C384" t="s">
        <v>1005</v>
      </c>
      <c r="D384" t="s">
        <v>868</v>
      </c>
      <c r="E384" t="s">
        <v>111</v>
      </c>
      <c r="F384" t="s">
        <v>143</v>
      </c>
      <c r="G384" t="s">
        <v>100</v>
      </c>
      <c r="H384">
        <v>4</v>
      </c>
      <c r="I384">
        <v>400.22</v>
      </c>
      <c r="J384">
        <v>0</v>
      </c>
      <c r="K384">
        <v>0</v>
      </c>
      <c r="L384">
        <v>5.53</v>
      </c>
      <c r="M384">
        <v>1606.41</v>
      </c>
      <c r="N384" t="s">
        <v>67</v>
      </c>
      <c r="O384" t="s">
        <v>107</v>
      </c>
      <c r="P384" t="s">
        <v>165</v>
      </c>
      <c r="Q384" t="s">
        <v>37</v>
      </c>
      <c r="R384" t="s">
        <v>38</v>
      </c>
    </row>
    <row r="385" spans="1:18" x14ac:dyDescent="0.3">
      <c r="A385" t="s">
        <v>1014</v>
      </c>
      <c r="B385" s="13">
        <v>44417</v>
      </c>
      <c r="C385" t="s">
        <v>1015</v>
      </c>
      <c r="D385" t="s">
        <v>770</v>
      </c>
      <c r="E385" t="s">
        <v>256</v>
      </c>
      <c r="F385" t="s">
        <v>143</v>
      </c>
      <c r="G385" t="s">
        <v>23</v>
      </c>
      <c r="H385">
        <v>2</v>
      </c>
      <c r="I385">
        <v>138.19</v>
      </c>
      <c r="J385">
        <v>0.1</v>
      </c>
      <c r="K385">
        <v>29.85</v>
      </c>
      <c r="L385">
        <v>3.32</v>
      </c>
      <c r="M385">
        <v>281.91000000000003</v>
      </c>
      <c r="N385" t="s">
        <v>35</v>
      </c>
      <c r="O385" t="s">
        <v>25</v>
      </c>
      <c r="P385" t="s">
        <v>150</v>
      </c>
      <c r="Q385" t="s">
        <v>69</v>
      </c>
      <c r="R385" t="s">
        <v>38</v>
      </c>
    </row>
    <row r="386" spans="1:18" x14ac:dyDescent="0.3">
      <c r="A386" t="s">
        <v>1035</v>
      </c>
      <c r="B386" s="13">
        <v>45327</v>
      </c>
      <c r="C386" t="s">
        <v>1036</v>
      </c>
      <c r="D386" t="s">
        <v>303</v>
      </c>
      <c r="E386" t="s">
        <v>498</v>
      </c>
      <c r="F386" t="s">
        <v>143</v>
      </c>
      <c r="G386" t="s">
        <v>34</v>
      </c>
      <c r="H386">
        <v>1</v>
      </c>
      <c r="I386">
        <v>172.84</v>
      </c>
      <c r="J386">
        <v>0</v>
      </c>
      <c r="K386">
        <v>13.83</v>
      </c>
      <c r="L386">
        <v>1.67</v>
      </c>
      <c r="M386">
        <v>188.34</v>
      </c>
      <c r="N386" t="s">
        <v>58</v>
      </c>
      <c r="O386" t="s">
        <v>107</v>
      </c>
      <c r="P386" t="s">
        <v>145</v>
      </c>
      <c r="Q386" t="s">
        <v>146</v>
      </c>
      <c r="R386" t="s">
        <v>38</v>
      </c>
    </row>
    <row r="387" spans="1:18" x14ac:dyDescent="0.3">
      <c r="A387" t="s">
        <v>1039</v>
      </c>
      <c r="B387" s="13">
        <v>43983</v>
      </c>
      <c r="C387" t="s">
        <v>1040</v>
      </c>
      <c r="D387" t="s">
        <v>181</v>
      </c>
      <c r="E387" t="s">
        <v>132</v>
      </c>
      <c r="F387" t="s">
        <v>143</v>
      </c>
      <c r="G387" t="s">
        <v>268</v>
      </c>
      <c r="H387">
        <v>1</v>
      </c>
      <c r="I387">
        <v>275.24</v>
      </c>
      <c r="J387">
        <v>0.25</v>
      </c>
      <c r="K387">
        <v>10.32</v>
      </c>
      <c r="L387">
        <v>11.03</v>
      </c>
      <c r="M387">
        <v>227.78</v>
      </c>
      <c r="N387" t="s">
        <v>58</v>
      </c>
      <c r="O387" t="s">
        <v>107</v>
      </c>
      <c r="P387" t="s">
        <v>26</v>
      </c>
      <c r="Q387" t="s">
        <v>27</v>
      </c>
      <c r="R387" t="s">
        <v>38</v>
      </c>
    </row>
    <row r="388" spans="1:18" x14ac:dyDescent="0.3">
      <c r="A388" t="s">
        <v>1045</v>
      </c>
      <c r="B388" s="13">
        <v>44168</v>
      </c>
      <c r="C388" t="s">
        <v>1046</v>
      </c>
      <c r="D388" t="s">
        <v>791</v>
      </c>
      <c r="E388" t="s">
        <v>32</v>
      </c>
      <c r="F388" t="s">
        <v>143</v>
      </c>
      <c r="G388" t="s">
        <v>49</v>
      </c>
      <c r="H388">
        <v>5</v>
      </c>
      <c r="I388">
        <v>210.04</v>
      </c>
      <c r="J388">
        <v>0</v>
      </c>
      <c r="K388">
        <v>126.02</v>
      </c>
      <c r="L388">
        <v>0.49</v>
      </c>
      <c r="M388">
        <v>1176.71</v>
      </c>
      <c r="N388" t="s">
        <v>35</v>
      </c>
      <c r="O388" t="s">
        <v>107</v>
      </c>
      <c r="P388" t="s">
        <v>44</v>
      </c>
      <c r="Q388" t="s">
        <v>37</v>
      </c>
      <c r="R388" t="s">
        <v>38</v>
      </c>
    </row>
    <row r="389" spans="1:18" x14ac:dyDescent="0.3">
      <c r="A389" t="s">
        <v>1062</v>
      </c>
      <c r="B389" s="13">
        <v>45434</v>
      </c>
      <c r="C389" t="s">
        <v>1063</v>
      </c>
      <c r="D389" t="s">
        <v>436</v>
      </c>
      <c r="E389" t="s">
        <v>21</v>
      </c>
      <c r="F389" t="s">
        <v>143</v>
      </c>
      <c r="G389" t="s">
        <v>49</v>
      </c>
      <c r="H389">
        <v>2</v>
      </c>
      <c r="I389">
        <v>427.06</v>
      </c>
      <c r="J389">
        <v>0.15</v>
      </c>
      <c r="K389">
        <v>0</v>
      </c>
      <c r="L389">
        <v>2.99</v>
      </c>
      <c r="M389">
        <v>728.99</v>
      </c>
      <c r="N389" t="s">
        <v>67</v>
      </c>
      <c r="O389" t="s">
        <v>107</v>
      </c>
      <c r="P389" t="s">
        <v>95</v>
      </c>
      <c r="Q389" t="s">
        <v>37</v>
      </c>
      <c r="R389" t="s">
        <v>28</v>
      </c>
    </row>
    <row r="390" spans="1:18" x14ac:dyDescent="0.3">
      <c r="A390" t="s">
        <v>1088</v>
      </c>
      <c r="B390" s="13">
        <v>44518</v>
      </c>
      <c r="C390" t="s">
        <v>1089</v>
      </c>
      <c r="D390" t="s">
        <v>389</v>
      </c>
      <c r="E390" t="s">
        <v>294</v>
      </c>
      <c r="F390" t="s">
        <v>143</v>
      </c>
      <c r="G390" t="s">
        <v>57</v>
      </c>
      <c r="H390">
        <v>5</v>
      </c>
      <c r="I390">
        <v>477.24</v>
      </c>
      <c r="J390">
        <v>0</v>
      </c>
      <c r="K390">
        <v>286.33999999999997</v>
      </c>
      <c r="L390">
        <v>10.06</v>
      </c>
      <c r="M390">
        <v>2682.6</v>
      </c>
      <c r="N390" t="s">
        <v>35</v>
      </c>
      <c r="O390" t="s">
        <v>25</v>
      </c>
      <c r="P390" t="s">
        <v>51</v>
      </c>
      <c r="Q390" t="s">
        <v>52</v>
      </c>
      <c r="R390" t="s">
        <v>183</v>
      </c>
    </row>
    <row r="391" spans="1:18" x14ac:dyDescent="0.3">
      <c r="A391" t="s">
        <v>1092</v>
      </c>
      <c r="B391" s="13">
        <v>44785</v>
      </c>
      <c r="C391" t="s">
        <v>1093</v>
      </c>
      <c r="D391" t="s">
        <v>957</v>
      </c>
      <c r="E391" t="s">
        <v>48</v>
      </c>
      <c r="F391" t="s">
        <v>143</v>
      </c>
      <c r="G391" t="s">
        <v>268</v>
      </c>
      <c r="H391">
        <v>1</v>
      </c>
      <c r="I391">
        <v>99.56</v>
      </c>
      <c r="J391">
        <v>0.05</v>
      </c>
      <c r="K391">
        <v>7.57</v>
      </c>
      <c r="L391">
        <v>7.42</v>
      </c>
      <c r="M391">
        <v>109.57</v>
      </c>
      <c r="N391" t="s">
        <v>24</v>
      </c>
      <c r="O391" t="s">
        <v>25</v>
      </c>
      <c r="P391" t="s">
        <v>133</v>
      </c>
      <c r="Q391" t="s">
        <v>134</v>
      </c>
      <c r="R391" t="s">
        <v>28</v>
      </c>
    </row>
    <row r="392" spans="1:18" x14ac:dyDescent="0.3">
      <c r="A392" t="s">
        <v>1103</v>
      </c>
      <c r="B392" s="13">
        <v>45524</v>
      </c>
      <c r="C392" t="s">
        <v>1104</v>
      </c>
      <c r="D392" t="s">
        <v>1105</v>
      </c>
      <c r="E392" t="s">
        <v>156</v>
      </c>
      <c r="F392" t="s">
        <v>143</v>
      </c>
      <c r="G392" t="s">
        <v>34</v>
      </c>
      <c r="H392">
        <v>4</v>
      </c>
      <c r="I392">
        <v>124.35</v>
      </c>
      <c r="J392">
        <v>0</v>
      </c>
      <c r="K392">
        <v>24.87</v>
      </c>
      <c r="L392">
        <v>12.79</v>
      </c>
      <c r="M392">
        <v>535.05999999999995</v>
      </c>
      <c r="N392" t="s">
        <v>24</v>
      </c>
      <c r="O392" t="s">
        <v>107</v>
      </c>
      <c r="P392" t="s">
        <v>68</v>
      </c>
      <c r="Q392" t="s">
        <v>69</v>
      </c>
      <c r="R392" t="s">
        <v>61</v>
      </c>
    </row>
    <row r="393" spans="1:18" x14ac:dyDescent="0.3">
      <c r="A393" t="s">
        <v>1118</v>
      </c>
      <c r="B393" s="13">
        <v>45137</v>
      </c>
      <c r="C393" t="s">
        <v>1119</v>
      </c>
      <c r="D393" t="s">
        <v>279</v>
      </c>
      <c r="E393" t="s">
        <v>177</v>
      </c>
      <c r="F393" t="s">
        <v>143</v>
      </c>
      <c r="G393" t="s">
        <v>100</v>
      </c>
      <c r="H393">
        <v>2</v>
      </c>
      <c r="I393">
        <v>353.9</v>
      </c>
      <c r="J393">
        <v>0</v>
      </c>
      <c r="K393">
        <v>56.62</v>
      </c>
      <c r="L393">
        <v>6.24</v>
      </c>
      <c r="M393">
        <v>770.66</v>
      </c>
      <c r="N393" t="s">
        <v>58</v>
      </c>
      <c r="O393" t="s">
        <v>25</v>
      </c>
      <c r="P393" t="s">
        <v>83</v>
      </c>
      <c r="Q393" t="s">
        <v>84</v>
      </c>
      <c r="R393" t="s">
        <v>38</v>
      </c>
    </row>
    <row r="394" spans="1:18" x14ac:dyDescent="0.3">
      <c r="A394" t="s">
        <v>1134</v>
      </c>
      <c r="B394" s="13">
        <v>44790</v>
      </c>
      <c r="C394" t="s">
        <v>1135</v>
      </c>
      <c r="D394" t="s">
        <v>290</v>
      </c>
      <c r="E394" t="s">
        <v>283</v>
      </c>
      <c r="F394" t="s">
        <v>143</v>
      </c>
      <c r="G394" t="s">
        <v>90</v>
      </c>
      <c r="H394">
        <v>3</v>
      </c>
      <c r="I394">
        <v>451.4</v>
      </c>
      <c r="J394">
        <v>0.25</v>
      </c>
      <c r="K394">
        <v>121.88</v>
      </c>
      <c r="L394">
        <v>3.69</v>
      </c>
      <c r="M394">
        <v>1141.22</v>
      </c>
      <c r="N394" t="s">
        <v>24</v>
      </c>
      <c r="O394" t="s">
        <v>107</v>
      </c>
      <c r="P394" t="s">
        <v>117</v>
      </c>
      <c r="Q394" t="s">
        <v>118</v>
      </c>
      <c r="R394" t="s">
        <v>38</v>
      </c>
    </row>
    <row r="395" spans="1:18" x14ac:dyDescent="0.3">
      <c r="A395" t="s">
        <v>1142</v>
      </c>
      <c r="B395" s="13">
        <v>44646</v>
      </c>
      <c r="C395" t="s">
        <v>1143</v>
      </c>
      <c r="D395" t="s">
        <v>491</v>
      </c>
      <c r="E395" t="s">
        <v>73</v>
      </c>
      <c r="F395" t="s">
        <v>143</v>
      </c>
      <c r="G395" t="s">
        <v>66</v>
      </c>
      <c r="H395">
        <v>4</v>
      </c>
      <c r="I395">
        <v>557.57000000000005</v>
      </c>
      <c r="J395">
        <v>0.15</v>
      </c>
      <c r="K395">
        <v>151.66</v>
      </c>
      <c r="L395">
        <v>11.32</v>
      </c>
      <c r="M395">
        <v>2058.7199999999998</v>
      </c>
      <c r="N395" t="s">
        <v>58</v>
      </c>
      <c r="O395" t="s">
        <v>25</v>
      </c>
      <c r="P395" t="s">
        <v>26</v>
      </c>
      <c r="Q395" t="s">
        <v>27</v>
      </c>
      <c r="R395" t="s">
        <v>38</v>
      </c>
    </row>
    <row r="396" spans="1:18" x14ac:dyDescent="0.3">
      <c r="A396" t="s">
        <v>1148</v>
      </c>
      <c r="B396" s="13">
        <v>44377</v>
      </c>
      <c r="C396" t="s">
        <v>1149</v>
      </c>
      <c r="D396" t="s">
        <v>539</v>
      </c>
      <c r="E396" t="s">
        <v>197</v>
      </c>
      <c r="F396" t="s">
        <v>143</v>
      </c>
      <c r="G396" t="s">
        <v>203</v>
      </c>
      <c r="H396">
        <v>3</v>
      </c>
      <c r="I396">
        <v>177.18</v>
      </c>
      <c r="J396">
        <v>0</v>
      </c>
      <c r="K396">
        <v>63.78</v>
      </c>
      <c r="L396">
        <v>9.18</v>
      </c>
      <c r="M396">
        <v>604.5</v>
      </c>
      <c r="N396" t="s">
        <v>50</v>
      </c>
      <c r="O396" t="s">
        <v>25</v>
      </c>
      <c r="P396" t="s">
        <v>165</v>
      </c>
      <c r="Q396" t="s">
        <v>37</v>
      </c>
      <c r="R396" t="s">
        <v>38</v>
      </c>
    </row>
    <row r="397" spans="1:18" x14ac:dyDescent="0.3">
      <c r="A397" t="s">
        <v>1159</v>
      </c>
      <c r="B397" s="13">
        <v>45026</v>
      </c>
      <c r="C397" t="s">
        <v>1160</v>
      </c>
      <c r="D397" t="s">
        <v>336</v>
      </c>
      <c r="E397" t="s">
        <v>32</v>
      </c>
      <c r="F397" t="s">
        <v>143</v>
      </c>
      <c r="G397" t="s">
        <v>23</v>
      </c>
      <c r="H397">
        <v>1</v>
      </c>
      <c r="I397">
        <v>124.17</v>
      </c>
      <c r="J397">
        <v>0.25</v>
      </c>
      <c r="K397">
        <v>4.66</v>
      </c>
      <c r="L397">
        <v>3.04</v>
      </c>
      <c r="M397">
        <v>100.83</v>
      </c>
      <c r="N397" t="s">
        <v>58</v>
      </c>
      <c r="O397" t="s">
        <v>25</v>
      </c>
      <c r="P397" t="s">
        <v>74</v>
      </c>
      <c r="Q397" t="s">
        <v>75</v>
      </c>
      <c r="R397" t="s">
        <v>38</v>
      </c>
    </row>
    <row r="398" spans="1:18" x14ac:dyDescent="0.3">
      <c r="A398" t="s">
        <v>1171</v>
      </c>
      <c r="B398" s="13">
        <v>44348</v>
      </c>
      <c r="C398" t="s">
        <v>1172</v>
      </c>
      <c r="D398" t="s">
        <v>1173</v>
      </c>
      <c r="E398" t="s">
        <v>164</v>
      </c>
      <c r="F398" t="s">
        <v>143</v>
      </c>
      <c r="G398" t="s">
        <v>203</v>
      </c>
      <c r="H398">
        <v>3</v>
      </c>
      <c r="I398">
        <v>162.19</v>
      </c>
      <c r="J398">
        <v>0</v>
      </c>
      <c r="K398">
        <v>38.93</v>
      </c>
      <c r="L398">
        <v>13.08</v>
      </c>
      <c r="M398">
        <v>538.58000000000004</v>
      </c>
      <c r="N398" t="s">
        <v>123</v>
      </c>
      <c r="O398" t="s">
        <v>25</v>
      </c>
      <c r="P398" t="s">
        <v>173</v>
      </c>
      <c r="Q398" t="s">
        <v>174</v>
      </c>
      <c r="R398" t="s">
        <v>76</v>
      </c>
    </row>
    <row r="399" spans="1:18" x14ac:dyDescent="0.3">
      <c r="A399" t="s">
        <v>1177</v>
      </c>
      <c r="B399" s="13">
        <v>45599</v>
      </c>
      <c r="C399" t="s">
        <v>1178</v>
      </c>
      <c r="D399" t="s">
        <v>415</v>
      </c>
      <c r="E399" t="s">
        <v>267</v>
      </c>
      <c r="F399" t="s">
        <v>143</v>
      </c>
      <c r="G399" t="s">
        <v>57</v>
      </c>
      <c r="H399">
        <v>5</v>
      </c>
      <c r="I399">
        <v>446.28</v>
      </c>
      <c r="J399">
        <v>0</v>
      </c>
      <c r="K399">
        <v>178.51</v>
      </c>
      <c r="L399">
        <v>14.42</v>
      </c>
      <c r="M399">
        <v>2424.33</v>
      </c>
      <c r="N399" t="s">
        <v>67</v>
      </c>
      <c r="O399" t="s">
        <v>107</v>
      </c>
      <c r="P399" t="s">
        <v>257</v>
      </c>
      <c r="Q399" t="s">
        <v>69</v>
      </c>
      <c r="R399" t="s">
        <v>38</v>
      </c>
    </row>
    <row r="400" spans="1:18" x14ac:dyDescent="0.3">
      <c r="A400" t="s">
        <v>1192</v>
      </c>
      <c r="B400" s="13">
        <v>44437</v>
      </c>
      <c r="C400" t="s">
        <v>1193</v>
      </c>
      <c r="D400" t="s">
        <v>172</v>
      </c>
      <c r="E400" t="s">
        <v>88</v>
      </c>
      <c r="F400" t="s">
        <v>143</v>
      </c>
      <c r="G400" t="s">
        <v>268</v>
      </c>
      <c r="H400">
        <v>5</v>
      </c>
      <c r="I400">
        <v>439.14</v>
      </c>
      <c r="J400">
        <v>0.2</v>
      </c>
      <c r="K400">
        <v>140.52000000000001</v>
      </c>
      <c r="L400">
        <v>3.78</v>
      </c>
      <c r="M400">
        <v>1900.86</v>
      </c>
      <c r="N400" t="s">
        <v>58</v>
      </c>
      <c r="O400" t="s">
        <v>25</v>
      </c>
      <c r="P400" t="s">
        <v>173</v>
      </c>
      <c r="Q400" t="s">
        <v>174</v>
      </c>
      <c r="R400" t="s">
        <v>38</v>
      </c>
    </row>
    <row r="401" spans="1:18" x14ac:dyDescent="0.3">
      <c r="A401" t="s">
        <v>1210</v>
      </c>
      <c r="B401" s="13">
        <v>45015</v>
      </c>
      <c r="C401" t="s">
        <v>1211</v>
      </c>
      <c r="D401" t="s">
        <v>734</v>
      </c>
      <c r="E401" t="s">
        <v>256</v>
      </c>
      <c r="F401" t="s">
        <v>143</v>
      </c>
      <c r="G401" t="s">
        <v>198</v>
      </c>
      <c r="H401">
        <v>1</v>
      </c>
      <c r="I401">
        <v>81.66</v>
      </c>
      <c r="J401">
        <v>0.1</v>
      </c>
      <c r="K401">
        <v>5.88</v>
      </c>
      <c r="L401">
        <v>0.62</v>
      </c>
      <c r="M401">
        <v>79.989999999999995</v>
      </c>
      <c r="N401" t="s">
        <v>58</v>
      </c>
      <c r="O401" t="s">
        <v>25</v>
      </c>
      <c r="P401" t="s">
        <v>36</v>
      </c>
      <c r="Q401" t="s">
        <v>37</v>
      </c>
      <c r="R401" t="s">
        <v>28</v>
      </c>
    </row>
    <row r="402" spans="1:18" x14ac:dyDescent="0.3">
      <c r="A402" t="s">
        <v>1230</v>
      </c>
      <c r="B402" s="13">
        <v>44516</v>
      </c>
      <c r="C402" t="s">
        <v>1231</v>
      </c>
      <c r="D402" t="s">
        <v>279</v>
      </c>
      <c r="E402" t="s">
        <v>138</v>
      </c>
      <c r="F402" t="s">
        <v>143</v>
      </c>
      <c r="G402" t="s">
        <v>198</v>
      </c>
      <c r="H402">
        <v>1</v>
      </c>
      <c r="I402">
        <v>93.25</v>
      </c>
      <c r="J402">
        <v>0</v>
      </c>
      <c r="K402">
        <v>7.46</v>
      </c>
      <c r="L402">
        <v>3.43</v>
      </c>
      <c r="M402">
        <v>104.14</v>
      </c>
      <c r="N402" t="s">
        <v>58</v>
      </c>
      <c r="O402" t="s">
        <v>25</v>
      </c>
      <c r="P402" t="s">
        <v>60</v>
      </c>
      <c r="Q402" t="s">
        <v>37</v>
      </c>
      <c r="R402" t="s">
        <v>38</v>
      </c>
    </row>
    <row r="403" spans="1:18" x14ac:dyDescent="0.3">
      <c r="A403" t="s">
        <v>1254</v>
      </c>
      <c r="B403" s="13">
        <v>44958</v>
      </c>
      <c r="C403" t="s">
        <v>1255</v>
      </c>
      <c r="D403" t="s">
        <v>93</v>
      </c>
      <c r="E403" t="s">
        <v>324</v>
      </c>
      <c r="F403" t="s">
        <v>143</v>
      </c>
      <c r="G403" t="s">
        <v>66</v>
      </c>
      <c r="H403">
        <v>1</v>
      </c>
      <c r="I403">
        <v>197.91</v>
      </c>
      <c r="J403">
        <v>0.1</v>
      </c>
      <c r="K403">
        <v>32.06</v>
      </c>
      <c r="L403">
        <v>13.59</v>
      </c>
      <c r="M403">
        <v>223.77</v>
      </c>
      <c r="N403" t="s">
        <v>67</v>
      </c>
      <c r="O403" t="s">
        <v>25</v>
      </c>
      <c r="P403" t="s">
        <v>178</v>
      </c>
      <c r="Q403" t="s">
        <v>69</v>
      </c>
      <c r="R403" t="s">
        <v>76</v>
      </c>
    </row>
    <row r="404" spans="1:18" x14ac:dyDescent="0.3">
      <c r="A404" t="s">
        <v>1290</v>
      </c>
      <c r="B404" s="13">
        <v>43850</v>
      </c>
      <c r="C404" t="s">
        <v>1291</v>
      </c>
      <c r="D404" t="s">
        <v>916</v>
      </c>
      <c r="E404" t="s">
        <v>88</v>
      </c>
      <c r="F404" t="s">
        <v>143</v>
      </c>
      <c r="G404" t="s">
        <v>268</v>
      </c>
      <c r="H404">
        <v>3</v>
      </c>
      <c r="I404">
        <v>12.33</v>
      </c>
      <c r="J404">
        <v>0</v>
      </c>
      <c r="K404">
        <v>0</v>
      </c>
      <c r="L404">
        <v>4.63</v>
      </c>
      <c r="M404">
        <v>41.62</v>
      </c>
      <c r="N404" t="s">
        <v>58</v>
      </c>
      <c r="O404" t="s">
        <v>25</v>
      </c>
      <c r="P404" t="s">
        <v>74</v>
      </c>
      <c r="Q404" t="s">
        <v>75</v>
      </c>
      <c r="R404" t="s">
        <v>38</v>
      </c>
    </row>
    <row r="405" spans="1:18" x14ac:dyDescent="0.3">
      <c r="A405" t="s">
        <v>1300</v>
      </c>
      <c r="B405" s="13">
        <v>44484</v>
      </c>
      <c r="C405" t="s">
        <v>1301</v>
      </c>
      <c r="D405" t="s">
        <v>421</v>
      </c>
      <c r="E405" t="s">
        <v>122</v>
      </c>
      <c r="F405" t="s">
        <v>143</v>
      </c>
      <c r="G405" t="s">
        <v>203</v>
      </c>
      <c r="H405">
        <v>2</v>
      </c>
      <c r="I405">
        <v>247.81</v>
      </c>
      <c r="J405">
        <v>0.15</v>
      </c>
      <c r="K405">
        <v>21.06</v>
      </c>
      <c r="L405">
        <v>1.38</v>
      </c>
      <c r="M405">
        <v>443.72</v>
      </c>
      <c r="N405" t="s">
        <v>24</v>
      </c>
      <c r="O405" t="s">
        <v>25</v>
      </c>
      <c r="P405" t="s">
        <v>117</v>
      </c>
      <c r="Q405" t="s">
        <v>118</v>
      </c>
      <c r="R405" t="s">
        <v>38</v>
      </c>
    </row>
    <row r="406" spans="1:18" x14ac:dyDescent="0.3">
      <c r="A406" t="s">
        <v>1310</v>
      </c>
      <c r="B406" s="13">
        <v>45208</v>
      </c>
      <c r="C406" t="s">
        <v>1311</v>
      </c>
      <c r="D406" t="s">
        <v>1312</v>
      </c>
      <c r="E406" t="s">
        <v>271</v>
      </c>
      <c r="F406" t="s">
        <v>143</v>
      </c>
      <c r="G406" t="s">
        <v>34</v>
      </c>
      <c r="H406">
        <v>5</v>
      </c>
      <c r="I406">
        <v>181.03</v>
      </c>
      <c r="J406">
        <v>0.05</v>
      </c>
      <c r="K406">
        <v>68.790000000000006</v>
      </c>
      <c r="L406">
        <v>8.75</v>
      </c>
      <c r="M406">
        <v>937.43</v>
      </c>
      <c r="N406" t="s">
        <v>123</v>
      </c>
      <c r="O406" t="s">
        <v>25</v>
      </c>
      <c r="P406" t="s">
        <v>101</v>
      </c>
      <c r="Q406" t="s">
        <v>102</v>
      </c>
      <c r="R406" t="s">
        <v>38</v>
      </c>
    </row>
    <row r="407" spans="1:18" x14ac:dyDescent="0.3">
      <c r="A407" t="s">
        <v>1317</v>
      </c>
      <c r="B407" s="13">
        <v>44557</v>
      </c>
      <c r="C407" t="s">
        <v>1318</v>
      </c>
      <c r="D407" t="s">
        <v>424</v>
      </c>
      <c r="E407" t="s">
        <v>169</v>
      </c>
      <c r="F407" t="s">
        <v>143</v>
      </c>
      <c r="G407" t="s">
        <v>198</v>
      </c>
      <c r="H407">
        <v>5</v>
      </c>
      <c r="I407">
        <v>385.04</v>
      </c>
      <c r="J407">
        <v>0</v>
      </c>
      <c r="K407">
        <v>96.26</v>
      </c>
      <c r="L407">
        <v>1.42</v>
      </c>
      <c r="M407">
        <v>2022.88</v>
      </c>
      <c r="N407" t="s">
        <v>24</v>
      </c>
      <c r="O407" t="s">
        <v>107</v>
      </c>
      <c r="P407" t="s">
        <v>112</v>
      </c>
      <c r="Q407" t="s">
        <v>113</v>
      </c>
      <c r="R407" t="s">
        <v>38</v>
      </c>
    </row>
    <row r="408" spans="1:18" x14ac:dyDescent="0.3">
      <c r="A408" t="s">
        <v>1339</v>
      </c>
      <c r="B408" s="13">
        <v>45196</v>
      </c>
      <c r="C408" t="s">
        <v>1340</v>
      </c>
      <c r="D408" t="s">
        <v>249</v>
      </c>
      <c r="E408" t="s">
        <v>425</v>
      </c>
      <c r="F408" t="s">
        <v>143</v>
      </c>
      <c r="G408" t="s">
        <v>57</v>
      </c>
      <c r="H408">
        <v>2</v>
      </c>
      <c r="I408">
        <v>145.09</v>
      </c>
      <c r="J408">
        <v>0.3</v>
      </c>
      <c r="K408">
        <v>16.25</v>
      </c>
      <c r="L408">
        <v>9.67</v>
      </c>
      <c r="M408">
        <v>229.05</v>
      </c>
      <c r="N408" t="s">
        <v>24</v>
      </c>
      <c r="O408" t="s">
        <v>25</v>
      </c>
      <c r="P408" t="s">
        <v>36</v>
      </c>
      <c r="Q408" t="s">
        <v>37</v>
      </c>
      <c r="R408" t="s">
        <v>38</v>
      </c>
    </row>
    <row r="409" spans="1:18" x14ac:dyDescent="0.3">
      <c r="A409" t="s">
        <v>1345</v>
      </c>
      <c r="B409" s="13">
        <v>44512</v>
      </c>
      <c r="C409" t="s">
        <v>1346</v>
      </c>
      <c r="D409" t="s">
        <v>276</v>
      </c>
      <c r="E409" t="s">
        <v>271</v>
      </c>
      <c r="F409" t="s">
        <v>143</v>
      </c>
      <c r="G409" t="s">
        <v>203</v>
      </c>
      <c r="H409">
        <v>1</v>
      </c>
      <c r="I409">
        <v>147.57</v>
      </c>
      <c r="J409">
        <v>0.1</v>
      </c>
      <c r="K409">
        <v>6.64</v>
      </c>
      <c r="L409">
        <v>1.35</v>
      </c>
      <c r="M409">
        <v>140.80000000000001</v>
      </c>
      <c r="N409" t="s">
        <v>24</v>
      </c>
      <c r="O409" t="s">
        <v>25</v>
      </c>
      <c r="P409" t="s">
        <v>26</v>
      </c>
      <c r="Q409" t="s">
        <v>27</v>
      </c>
      <c r="R409" t="s">
        <v>38</v>
      </c>
    </row>
    <row r="410" spans="1:18" x14ac:dyDescent="0.3">
      <c r="A410" t="s">
        <v>1361</v>
      </c>
      <c r="B410" s="13">
        <v>44823</v>
      </c>
      <c r="C410" t="s">
        <v>1362</v>
      </c>
      <c r="D410" t="s">
        <v>613</v>
      </c>
      <c r="E410" t="s">
        <v>156</v>
      </c>
      <c r="F410" t="s">
        <v>143</v>
      </c>
      <c r="G410" t="s">
        <v>23</v>
      </c>
      <c r="H410">
        <v>4</v>
      </c>
      <c r="I410">
        <v>463.05</v>
      </c>
      <c r="J410">
        <v>0</v>
      </c>
      <c r="K410">
        <v>0</v>
      </c>
      <c r="L410">
        <v>14.83</v>
      </c>
      <c r="M410">
        <v>1867.03</v>
      </c>
      <c r="N410" t="s">
        <v>35</v>
      </c>
      <c r="O410" t="s">
        <v>107</v>
      </c>
      <c r="P410" t="s">
        <v>117</v>
      </c>
      <c r="Q410" t="s">
        <v>118</v>
      </c>
      <c r="R410" t="s">
        <v>28</v>
      </c>
    </row>
    <row r="411" spans="1:18" x14ac:dyDescent="0.3">
      <c r="A411" t="s">
        <v>1368</v>
      </c>
      <c r="B411" s="13">
        <v>45426</v>
      </c>
      <c r="C411" t="s">
        <v>1369</v>
      </c>
      <c r="D411" t="s">
        <v>1312</v>
      </c>
      <c r="E411" t="s">
        <v>142</v>
      </c>
      <c r="F411" t="s">
        <v>143</v>
      </c>
      <c r="G411" t="s">
        <v>203</v>
      </c>
      <c r="H411">
        <v>5</v>
      </c>
      <c r="I411">
        <v>176.63</v>
      </c>
      <c r="J411">
        <v>0.1</v>
      </c>
      <c r="K411">
        <v>95.38</v>
      </c>
      <c r="L411">
        <v>14.05</v>
      </c>
      <c r="M411">
        <v>904.26</v>
      </c>
      <c r="N411" t="s">
        <v>58</v>
      </c>
      <c r="O411" t="s">
        <v>25</v>
      </c>
      <c r="P411" t="s">
        <v>150</v>
      </c>
      <c r="Q411" t="s">
        <v>69</v>
      </c>
      <c r="R411" t="s">
        <v>76</v>
      </c>
    </row>
    <row r="412" spans="1:18" x14ac:dyDescent="0.3">
      <c r="A412" t="s">
        <v>1401</v>
      </c>
      <c r="B412" s="13">
        <v>44486</v>
      </c>
      <c r="C412" t="s">
        <v>1402</v>
      </c>
      <c r="D412" t="s">
        <v>290</v>
      </c>
      <c r="E412" t="s">
        <v>42</v>
      </c>
      <c r="F412" t="s">
        <v>143</v>
      </c>
      <c r="G412" t="s">
        <v>23</v>
      </c>
      <c r="H412">
        <v>5</v>
      </c>
      <c r="I412">
        <v>351.03</v>
      </c>
      <c r="J412">
        <v>0.3</v>
      </c>
      <c r="K412">
        <v>98.29</v>
      </c>
      <c r="L412">
        <v>6.7</v>
      </c>
      <c r="M412">
        <v>1333.59</v>
      </c>
      <c r="N412" t="s">
        <v>24</v>
      </c>
      <c r="O412" t="s">
        <v>25</v>
      </c>
      <c r="P412" t="s">
        <v>26</v>
      </c>
      <c r="Q412" t="s">
        <v>27</v>
      </c>
      <c r="R412" t="s">
        <v>38</v>
      </c>
    </row>
    <row r="413" spans="1:18" x14ac:dyDescent="0.3">
      <c r="A413" t="s">
        <v>1430</v>
      </c>
      <c r="B413" s="13">
        <v>44571</v>
      </c>
      <c r="C413" t="s">
        <v>1431</v>
      </c>
      <c r="D413" t="s">
        <v>618</v>
      </c>
      <c r="E413" t="s">
        <v>99</v>
      </c>
      <c r="F413" t="s">
        <v>143</v>
      </c>
      <c r="G413" t="s">
        <v>23</v>
      </c>
      <c r="H413">
        <v>3</v>
      </c>
      <c r="I413">
        <v>446.2</v>
      </c>
      <c r="J413">
        <v>0</v>
      </c>
      <c r="K413">
        <v>0</v>
      </c>
      <c r="L413">
        <v>13.33</v>
      </c>
      <c r="M413">
        <v>1351.93</v>
      </c>
      <c r="N413" t="s">
        <v>58</v>
      </c>
      <c r="O413" t="s">
        <v>25</v>
      </c>
      <c r="P413" t="s">
        <v>173</v>
      </c>
      <c r="Q413" t="s">
        <v>174</v>
      </c>
      <c r="R413" t="s">
        <v>38</v>
      </c>
    </row>
    <row r="414" spans="1:18" x14ac:dyDescent="0.3">
      <c r="A414" t="s">
        <v>1434</v>
      </c>
      <c r="B414" s="13">
        <v>43947</v>
      </c>
      <c r="C414" t="s">
        <v>1435</v>
      </c>
      <c r="D414" t="s">
        <v>480</v>
      </c>
      <c r="E414" t="s">
        <v>256</v>
      </c>
      <c r="F414" t="s">
        <v>143</v>
      </c>
      <c r="G414" t="s">
        <v>57</v>
      </c>
      <c r="H414">
        <v>4</v>
      </c>
      <c r="I414">
        <v>379.2</v>
      </c>
      <c r="J414">
        <v>0</v>
      </c>
      <c r="K414">
        <v>75.84</v>
      </c>
      <c r="L414">
        <v>11.32</v>
      </c>
      <c r="M414">
        <v>1603.96</v>
      </c>
      <c r="N414" t="s">
        <v>35</v>
      </c>
      <c r="O414" t="s">
        <v>25</v>
      </c>
      <c r="P414" t="s">
        <v>51</v>
      </c>
      <c r="Q414" t="s">
        <v>52</v>
      </c>
      <c r="R414" t="s">
        <v>38</v>
      </c>
    </row>
    <row r="415" spans="1:18" x14ac:dyDescent="0.3">
      <c r="A415" t="s">
        <v>1444</v>
      </c>
      <c r="B415" s="13">
        <v>45495</v>
      </c>
      <c r="C415" t="s">
        <v>1445</v>
      </c>
      <c r="D415" t="s">
        <v>1096</v>
      </c>
      <c r="E415" t="s">
        <v>111</v>
      </c>
      <c r="F415" t="s">
        <v>143</v>
      </c>
      <c r="G415" t="s">
        <v>203</v>
      </c>
      <c r="H415">
        <v>3</v>
      </c>
      <c r="I415">
        <v>301.47000000000003</v>
      </c>
      <c r="J415">
        <v>0</v>
      </c>
      <c r="K415">
        <v>162.79</v>
      </c>
      <c r="L415">
        <v>1.01</v>
      </c>
      <c r="M415">
        <v>1068.21</v>
      </c>
      <c r="N415" t="s">
        <v>58</v>
      </c>
      <c r="O415" t="s">
        <v>25</v>
      </c>
      <c r="P415" t="s">
        <v>68</v>
      </c>
      <c r="Q415" t="s">
        <v>69</v>
      </c>
      <c r="R415" t="s">
        <v>28</v>
      </c>
    </row>
    <row r="416" spans="1:18" x14ac:dyDescent="0.3">
      <c r="A416" t="s">
        <v>1456</v>
      </c>
      <c r="B416" s="13">
        <v>44950</v>
      </c>
      <c r="C416" t="s">
        <v>1457</v>
      </c>
      <c r="D416" t="s">
        <v>209</v>
      </c>
      <c r="E416" t="s">
        <v>94</v>
      </c>
      <c r="F416" t="s">
        <v>143</v>
      </c>
      <c r="G416" t="s">
        <v>66</v>
      </c>
      <c r="H416">
        <v>2</v>
      </c>
      <c r="I416">
        <v>427.79</v>
      </c>
      <c r="J416">
        <v>0</v>
      </c>
      <c r="K416">
        <v>154</v>
      </c>
      <c r="L416">
        <v>0.21</v>
      </c>
      <c r="M416">
        <v>1009.79</v>
      </c>
      <c r="N416" t="s">
        <v>35</v>
      </c>
      <c r="O416" t="s">
        <v>25</v>
      </c>
      <c r="P416" t="s">
        <v>60</v>
      </c>
      <c r="Q416" t="s">
        <v>37</v>
      </c>
      <c r="R416" t="s">
        <v>38</v>
      </c>
    </row>
    <row r="417" spans="1:18" x14ac:dyDescent="0.3">
      <c r="A417" t="s">
        <v>1463</v>
      </c>
      <c r="B417" s="13">
        <v>45455</v>
      </c>
      <c r="C417" t="s">
        <v>1464</v>
      </c>
      <c r="D417" t="s">
        <v>558</v>
      </c>
      <c r="E417" t="s">
        <v>267</v>
      </c>
      <c r="F417" t="s">
        <v>143</v>
      </c>
      <c r="G417" t="s">
        <v>66</v>
      </c>
      <c r="H417">
        <v>5</v>
      </c>
      <c r="I417">
        <v>45.87</v>
      </c>
      <c r="J417">
        <v>0</v>
      </c>
      <c r="K417">
        <v>27.52</v>
      </c>
      <c r="L417">
        <v>13.66</v>
      </c>
      <c r="M417">
        <v>270.52999999999997</v>
      </c>
      <c r="N417" t="s">
        <v>24</v>
      </c>
      <c r="O417" t="s">
        <v>59</v>
      </c>
      <c r="P417" t="s">
        <v>112</v>
      </c>
      <c r="Q417" t="s">
        <v>113</v>
      </c>
      <c r="R417" t="s">
        <v>38</v>
      </c>
    </row>
    <row r="418" spans="1:18" x14ac:dyDescent="0.3">
      <c r="A418" t="s">
        <v>1465</v>
      </c>
      <c r="B418" s="13">
        <v>44318</v>
      </c>
      <c r="C418" t="s">
        <v>1466</v>
      </c>
      <c r="D418" t="s">
        <v>1377</v>
      </c>
      <c r="E418" t="s">
        <v>99</v>
      </c>
      <c r="F418" t="s">
        <v>143</v>
      </c>
      <c r="G418" t="s">
        <v>66</v>
      </c>
      <c r="H418">
        <v>2</v>
      </c>
      <c r="I418">
        <v>393.45</v>
      </c>
      <c r="J418">
        <v>0</v>
      </c>
      <c r="K418">
        <v>62.95</v>
      </c>
      <c r="L418">
        <v>0.82</v>
      </c>
      <c r="M418">
        <v>850.67</v>
      </c>
      <c r="N418" t="s">
        <v>35</v>
      </c>
      <c r="O418" t="s">
        <v>25</v>
      </c>
      <c r="P418" t="s">
        <v>257</v>
      </c>
      <c r="Q418" t="s">
        <v>69</v>
      </c>
      <c r="R418" t="s">
        <v>28</v>
      </c>
    </row>
    <row r="419" spans="1:18" x14ac:dyDescent="0.3">
      <c r="A419" t="s">
        <v>1469</v>
      </c>
      <c r="B419" s="13">
        <v>44727</v>
      </c>
      <c r="C419" t="s">
        <v>1470</v>
      </c>
      <c r="D419" t="s">
        <v>690</v>
      </c>
      <c r="E419" t="s">
        <v>300</v>
      </c>
      <c r="F419" t="s">
        <v>143</v>
      </c>
      <c r="G419" t="s">
        <v>66</v>
      </c>
      <c r="H419">
        <v>1</v>
      </c>
      <c r="I419">
        <v>301.99</v>
      </c>
      <c r="J419">
        <v>0.15</v>
      </c>
      <c r="K419">
        <v>12.83</v>
      </c>
      <c r="L419">
        <v>3.11</v>
      </c>
      <c r="M419">
        <v>272.63</v>
      </c>
      <c r="N419" t="s">
        <v>123</v>
      </c>
      <c r="O419" t="s">
        <v>25</v>
      </c>
      <c r="P419" t="s">
        <v>133</v>
      </c>
      <c r="Q419" t="s">
        <v>134</v>
      </c>
      <c r="R419" t="s">
        <v>38</v>
      </c>
    </row>
    <row r="420" spans="1:18" x14ac:dyDescent="0.3">
      <c r="A420" t="s">
        <v>1481</v>
      </c>
      <c r="B420" s="13">
        <v>44620</v>
      </c>
      <c r="C420" t="s">
        <v>1482</v>
      </c>
      <c r="D420" t="s">
        <v>371</v>
      </c>
      <c r="E420" t="s">
        <v>80</v>
      </c>
      <c r="F420" t="s">
        <v>143</v>
      </c>
      <c r="G420" t="s">
        <v>90</v>
      </c>
      <c r="H420">
        <v>3</v>
      </c>
      <c r="I420">
        <v>119.58</v>
      </c>
      <c r="J420">
        <v>0.05</v>
      </c>
      <c r="K420">
        <v>17.04</v>
      </c>
      <c r="L420">
        <v>6.34</v>
      </c>
      <c r="M420">
        <v>364.18</v>
      </c>
      <c r="N420" t="s">
        <v>58</v>
      </c>
      <c r="O420" t="s">
        <v>25</v>
      </c>
      <c r="P420" t="s">
        <v>150</v>
      </c>
      <c r="Q420" t="s">
        <v>69</v>
      </c>
      <c r="R420" t="s">
        <v>28</v>
      </c>
    </row>
    <row r="421" spans="1:18" x14ac:dyDescent="0.3">
      <c r="A421" t="s">
        <v>1520</v>
      </c>
      <c r="B421" s="13">
        <v>44283</v>
      </c>
      <c r="C421" t="s">
        <v>1521</v>
      </c>
      <c r="D421" t="s">
        <v>962</v>
      </c>
      <c r="E421" t="s">
        <v>160</v>
      </c>
      <c r="F421" t="s">
        <v>143</v>
      </c>
      <c r="G421" t="s">
        <v>90</v>
      </c>
      <c r="H421">
        <v>5</v>
      </c>
      <c r="I421">
        <v>304.18</v>
      </c>
      <c r="J421">
        <v>0</v>
      </c>
      <c r="K421">
        <v>76.040000000000006</v>
      </c>
      <c r="L421">
        <v>3.7</v>
      </c>
      <c r="M421">
        <v>1600.64</v>
      </c>
      <c r="N421" t="s">
        <v>67</v>
      </c>
      <c r="O421" t="s">
        <v>25</v>
      </c>
      <c r="P421" t="s">
        <v>26</v>
      </c>
      <c r="Q421" t="s">
        <v>27</v>
      </c>
      <c r="R421" t="s">
        <v>28</v>
      </c>
    </row>
    <row r="422" spans="1:18" x14ac:dyDescent="0.3">
      <c r="A422" t="s">
        <v>1532</v>
      </c>
      <c r="B422" s="13">
        <v>44171</v>
      </c>
      <c r="C422" t="s">
        <v>1533</v>
      </c>
      <c r="D422" t="s">
        <v>201</v>
      </c>
      <c r="E422" t="s">
        <v>324</v>
      </c>
      <c r="F422" t="s">
        <v>143</v>
      </c>
      <c r="G422" t="s">
        <v>268</v>
      </c>
      <c r="H422">
        <v>2</v>
      </c>
      <c r="I422">
        <v>433.81</v>
      </c>
      <c r="J422">
        <v>0</v>
      </c>
      <c r="K422">
        <v>69.41</v>
      </c>
      <c r="L422">
        <v>1.25</v>
      </c>
      <c r="M422">
        <v>938.28</v>
      </c>
      <c r="N422" t="s">
        <v>24</v>
      </c>
      <c r="O422" t="s">
        <v>82</v>
      </c>
      <c r="P422" t="s">
        <v>117</v>
      </c>
      <c r="Q422" t="s">
        <v>118</v>
      </c>
      <c r="R422" t="s">
        <v>38</v>
      </c>
    </row>
    <row r="423" spans="1:18" x14ac:dyDescent="0.3">
      <c r="A423" t="s">
        <v>1543</v>
      </c>
      <c r="B423" s="13">
        <v>45588</v>
      </c>
      <c r="C423" t="s">
        <v>1544</v>
      </c>
      <c r="D423" t="s">
        <v>618</v>
      </c>
      <c r="E423" t="s">
        <v>42</v>
      </c>
      <c r="F423" t="s">
        <v>143</v>
      </c>
      <c r="G423" t="s">
        <v>57</v>
      </c>
      <c r="H423">
        <v>5</v>
      </c>
      <c r="I423">
        <v>407.46</v>
      </c>
      <c r="J423">
        <v>0.2</v>
      </c>
      <c r="K423">
        <v>0</v>
      </c>
      <c r="L423">
        <v>4.6500000000000004</v>
      </c>
      <c r="M423">
        <v>1634.49</v>
      </c>
      <c r="N423" t="s">
        <v>58</v>
      </c>
      <c r="O423" t="s">
        <v>25</v>
      </c>
      <c r="P423" t="s">
        <v>44</v>
      </c>
      <c r="Q423" t="s">
        <v>37</v>
      </c>
      <c r="R423" t="s">
        <v>38</v>
      </c>
    </row>
    <row r="424" spans="1:18" x14ac:dyDescent="0.3">
      <c r="A424" t="s">
        <v>1552</v>
      </c>
      <c r="B424" s="13">
        <v>44352</v>
      </c>
      <c r="C424" t="s">
        <v>1553</v>
      </c>
      <c r="D424" t="s">
        <v>1495</v>
      </c>
      <c r="E424" t="s">
        <v>267</v>
      </c>
      <c r="F424" t="s">
        <v>143</v>
      </c>
      <c r="G424" t="s">
        <v>23</v>
      </c>
      <c r="H424">
        <v>3</v>
      </c>
      <c r="I424">
        <v>20.239999999999998</v>
      </c>
      <c r="J424">
        <v>0.2</v>
      </c>
      <c r="K424">
        <v>2.4300000000000002</v>
      </c>
      <c r="L424">
        <v>14.6</v>
      </c>
      <c r="M424">
        <v>65.61</v>
      </c>
      <c r="N424" t="s">
        <v>24</v>
      </c>
      <c r="O424" t="s">
        <v>107</v>
      </c>
      <c r="P424" t="s">
        <v>178</v>
      </c>
      <c r="Q424" t="s">
        <v>69</v>
      </c>
      <c r="R424" t="s">
        <v>38</v>
      </c>
    </row>
    <row r="425" spans="1:18" x14ac:dyDescent="0.3">
      <c r="A425" t="s">
        <v>1568</v>
      </c>
      <c r="B425" s="13">
        <v>44272</v>
      </c>
      <c r="C425" t="s">
        <v>1569</v>
      </c>
      <c r="D425" t="s">
        <v>246</v>
      </c>
      <c r="E425" t="s">
        <v>106</v>
      </c>
      <c r="F425" t="s">
        <v>143</v>
      </c>
      <c r="G425" t="s">
        <v>49</v>
      </c>
      <c r="H425">
        <v>5</v>
      </c>
      <c r="I425">
        <v>508.77</v>
      </c>
      <c r="J425">
        <v>0</v>
      </c>
      <c r="K425">
        <v>127.19</v>
      </c>
      <c r="L425">
        <v>11.33</v>
      </c>
      <c r="M425">
        <v>2682.37</v>
      </c>
      <c r="N425" t="s">
        <v>58</v>
      </c>
      <c r="O425" t="s">
        <v>25</v>
      </c>
      <c r="P425" t="s">
        <v>173</v>
      </c>
      <c r="Q425" t="s">
        <v>174</v>
      </c>
      <c r="R425" t="s">
        <v>38</v>
      </c>
    </row>
    <row r="426" spans="1:18" x14ac:dyDescent="0.3">
      <c r="A426" t="s">
        <v>1570</v>
      </c>
      <c r="B426" s="13">
        <v>45462</v>
      </c>
      <c r="C426" t="s">
        <v>1571</v>
      </c>
      <c r="D426" t="s">
        <v>904</v>
      </c>
      <c r="E426" t="s">
        <v>111</v>
      </c>
      <c r="F426" t="s">
        <v>143</v>
      </c>
      <c r="G426" t="s">
        <v>268</v>
      </c>
      <c r="H426">
        <v>1</v>
      </c>
      <c r="I426">
        <v>102.17</v>
      </c>
      <c r="J426">
        <v>0.05</v>
      </c>
      <c r="K426">
        <v>7.76</v>
      </c>
      <c r="L426">
        <v>11.53</v>
      </c>
      <c r="M426">
        <v>116.35</v>
      </c>
      <c r="N426" t="s">
        <v>67</v>
      </c>
      <c r="O426" t="s">
        <v>25</v>
      </c>
      <c r="P426" t="s">
        <v>44</v>
      </c>
      <c r="Q426" t="s">
        <v>37</v>
      </c>
      <c r="R426" t="s">
        <v>38</v>
      </c>
    </row>
    <row r="427" spans="1:18" x14ac:dyDescent="0.3">
      <c r="A427" t="s">
        <v>1576</v>
      </c>
      <c r="B427" s="13">
        <v>45179</v>
      </c>
      <c r="C427" t="s">
        <v>1577</v>
      </c>
      <c r="D427" t="s">
        <v>720</v>
      </c>
      <c r="E427" t="s">
        <v>256</v>
      </c>
      <c r="F427" t="s">
        <v>143</v>
      </c>
      <c r="G427" t="s">
        <v>23</v>
      </c>
      <c r="H427">
        <v>2</v>
      </c>
      <c r="I427">
        <v>106.56</v>
      </c>
      <c r="J427">
        <v>0</v>
      </c>
      <c r="K427">
        <v>0</v>
      </c>
      <c r="L427">
        <v>5.84</v>
      </c>
      <c r="M427">
        <v>218.96</v>
      </c>
      <c r="N427" t="s">
        <v>123</v>
      </c>
      <c r="O427" t="s">
        <v>25</v>
      </c>
      <c r="P427" t="s">
        <v>145</v>
      </c>
      <c r="Q427" t="s">
        <v>146</v>
      </c>
      <c r="R427" t="s">
        <v>38</v>
      </c>
    </row>
    <row r="428" spans="1:18" x14ac:dyDescent="0.3">
      <c r="A428" t="s">
        <v>1578</v>
      </c>
      <c r="B428" s="13">
        <v>44346</v>
      </c>
      <c r="C428" t="s">
        <v>1579</v>
      </c>
      <c r="D428" t="s">
        <v>1580</v>
      </c>
      <c r="E428" t="s">
        <v>197</v>
      </c>
      <c r="F428" t="s">
        <v>143</v>
      </c>
      <c r="G428" t="s">
        <v>34</v>
      </c>
      <c r="H428">
        <v>3</v>
      </c>
      <c r="I428">
        <v>513.54999999999995</v>
      </c>
      <c r="J428">
        <v>0.1</v>
      </c>
      <c r="K428">
        <v>166.39</v>
      </c>
      <c r="L428">
        <v>1.44</v>
      </c>
      <c r="M428">
        <v>1554.42</v>
      </c>
      <c r="N428" t="s">
        <v>123</v>
      </c>
      <c r="O428" t="s">
        <v>25</v>
      </c>
      <c r="P428" t="s">
        <v>26</v>
      </c>
      <c r="Q428" t="s">
        <v>27</v>
      </c>
      <c r="R428" t="s">
        <v>28</v>
      </c>
    </row>
    <row r="429" spans="1:18" x14ac:dyDescent="0.3">
      <c r="A429" t="s">
        <v>1583</v>
      </c>
      <c r="B429" s="13">
        <v>44622</v>
      </c>
      <c r="C429" t="s">
        <v>1584</v>
      </c>
      <c r="D429" t="s">
        <v>317</v>
      </c>
      <c r="E429" t="s">
        <v>392</v>
      </c>
      <c r="F429" t="s">
        <v>143</v>
      </c>
      <c r="G429" t="s">
        <v>49</v>
      </c>
      <c r="H429">
        <v>5</v>
      </c>
      <c r="I429">
        <v>80.2</v>
      </c>
      <c r="J429">
        <v>0.05</v>
      </c>
      <c r="K429">
        <v>0</v>
      </c>
      <c r="L429">
        <v>7.31</v>
      </c>
      <c r="M429">
        <v>388.26</v>
      </c>
      <c r="N429" t="s">
        <v>123</v>
      </c>
      <c r="O429" t="s">
        <v>25</v>
      </c>
      <c r="P429" t="s">
        <v>101</v>
      </c>
      <c r="Q429" t="s">
        <v>102</v>
      </c>
      <c r="R429" t="s">
        <v>38</v>
      </c>
    </row>
    <row r="430" spans="1:18" x14ac:dyDescent="0.3">
      <c r="A430" t="s">
        <v>1612</v>
      </c>
      <c r="B430" s="13">
        <v>44787</v>
      </c>
      <c r="C430" t="s">
        <v>1613</v>
      </c>
      <c r="D430" t="s">
        <v>357</v>
      </c>
      <c r="E430" t="s">
        <v>324</v>
      </c>
      <c r="F430" t="s">
        <v>143</v>
      </c>
      <c r="G430" t="s">
        <v>66</v>
      </c>
      <c r="H430">
        <v>3</v>
      </c>
      <c r="I430">
        <v>223.77</v>
      </c>
      <c r="J430">
        <v>0</v>
      </c>
      <c r="K430">
        <v>53.7</v>
      </c>
      <c r="L430">
        <v>11.24</v>
      </c>
      <c r="M430">
        <v>736.25</v>
      </c>
      <c r="N430" t="s">
        <v>58</v>
      </c>
      <c r="O430" t="s">
        <v>107</v>
      </c>
      <c r="P430" t="s">
        <v>257</v>
      </c>
      <c r="Q430" t="s">
        <v>69</v>
      </c>
      <c r="R430" t="s">
        <v>38</v>
      </c>
    </row>
    <row r="431" spans="1:18" x14ac:dyDescent="0.3">
      <c r="A431" t="s">
        <v>1616</v>
      </c>
      <c r="B431" s="13">
        <v>45281</v>
      </c>
      <c r="C431" t="s">
        <v>1617</v>
      </c>
      <c r="D431" t="s">
        <v>400</v>
      </c>
      <c r="E431" t="s">
        <v>287</v>
      </c>
      <c r="F431" t="s">
        <v>143</v>
      </c>
      <c r="G431" t="s">
        <v>198</v>
      </c>
      <c r="H431">
        <v>2</v>
      </c>
      <c r="I431">
        <v>479.12</v>
      </c>
      <c r="J431">
        <v>0.1</v>
      </c>
      <c r="K431">
        <v>0</v>
      </c>
      <c r="L431">
        <v>3.92</v>
      </c>
      <c r="M431">
        <v>866.34</v>
      </c>
      <c r="N431" t="s">
        <v>35</v>
      </c>
      <c r="O431" t="s">
        <v>25</v>
      </c>
      <c r="P431" t="s">
        <v>26</v>
      </c>
      <c r="Q431" t="s">
        <v>27</v>
      </c>
      <c r="R431" t="s">
        <v>28</v>
      </c>
    </row>
    <row r="432" spans="1:18" x14ac:dyDescent="0.3">
      <c r="A432" t="s">
        <v>1624</v>
      </c>
      <c r="B432" s="13">
        <v>45271</v>
      </c>
      <c r="C432" t="s">
        <v>1625</v>
      </c>
      <c r="D432" t="s">
        <v>249</v>
      </c>
      <c r="E432" t="s">
        <v>94</v>
      </c>
      <c r="F432" t="s">
        <v>143</v>
      </c>
      <c r="G432" t="s">
        <v>268</v>
      </c>
      <c r="H432">
        <v>1</v>
      </c>
      <c r="I432">
        <v>141.41</v>
      </c>
      <c r="J432">
        <v>0.2</v>
      </c>
      <c r="K432">
        <v>5.66</v>
      </c>
      <c r="L432">
        <v>4.46</v>
      </c>
      <c r="M432">
        <v>123.25</v>
      </c>
      <c r="N432" t="s">
        <v>24</v>
      </c>
      <c r="O432" t="s">
        <v>25</v>
      </c>
      <c r="P432" t="s">
        <v>117</v>
      </c>
      <c r="Q432" t="s">
        <v>118</v>
      </c>
      <c r="R432" t="s">
        <v>183</v>
      </c>
    </row>
    <row r="433" spans="1:18" x14ac:dyDescent="0.3">
      <c r="A433" t="s">
        <v>1664</v>
      </c>
      <c r="B433" s="13">
        <v>44852</v>
      </c>
      <c r="C433" t="s">
        <v>1665</v>
      </c>
      <c r="D433" t="s">
        <v>711</v>
      </c>
      <c r="E433" t="s">
        <v>142</v>
      </c>
      <c r="F433" t="s">
        <v>143</v>
      </c>
      <c r="G433" t="s">
        <v>100</v>
      </c>
      <c r="H433">
        <v>4</v>
      </c>
      <c r="I433">
        <v>404.87</v>
      </c>
      <c r="J433">
        <v>0</v>
      </c>
      <c r="K433">
        <v>80.97</v>
      </c>
      <c r="L433">
        <v>2.58</v>
      </c>
      <c r="M433">
        <v>1703.03</v>
      </c>
      <c r="N433" t="s">
        <v>58</v>
      </c>
      <c r="O433" t="s">
        <v>107</v>
      </c>
      <c r="P433" t="s">
        <v>150</v>
      </c>
      <c r="Q433" t="s">
        <v>69</v>
      </c>
      <c r="R433" t="s">
        <v>76</v>
      </c>
    </row>
    <row r="434" spans="1:18" x14ac:dyDescent="0.3">
      <c r="A434" t="s">
        <v>1666</v>
      </c>
      <c r="B434" s="13">
        <v>44248</v>
      </c>
      <c r="C434" t="s">
        <v>1667</v>
      </c>
      <c r="D434" t="s">
        <v>1032</v>
      </c>
      <c r="E434" t="s">
        <v>156</v>
      </c>
      <c r="F434" t="s">
        <v>143</v>
      </c>
      <c r="G434" t="s">
        <v>198</v>
      </c>
      <c r="H434">
        <v>3</v>
      </c>
      <c r="I434">
        <v>5.5</v>
      </c>
      <c r="J434">
        <v>0.05</v>
      </c>
      <c r="K434">
        <v>1.25</v>
      </c>
      <c r="L434">
        <v>0.92</v>
      </c>
      <c r="M434">
        <v>17.84</v>
      </c>
      <c r="N434" t="s">
        <v>123</v>
      </c>
      <c r="O434" t="s">
        <v>25</v>
      </c>
      <c r="P434" t="s">
        <v>44</v>
      </c>
      <c r="Q434" t="s">
        <v>37</v>
      </c>
      <c r="R434" t="s">
        <v>38</v>
      </c>
    </row>
    <row r="435" spans="1:18" x14ac:dyDescent="0.3">
      <c r="A435" t="s">
        <v>1668</v>
      </c>
      <c r="B435" s="13">
        <v>43945</v>
      </c>
      <c r="C435" t="s">
        <v>1669</v>
      </c>
      <c r="D435" t="s">
        <v>916</v>
      </c>
      <c r="E435" t="s">
        <v>220</v>
      </c>
      <c r="F435" t="s">
        <v>143</v>
      </c>
      <c r="G435" t="s">
        <v>100</v>
      </c>
      <c r="H435">
        <v>3</v>
      </c>
      <c r="I435">
        <v>22.11</v>
      </c>
      <c r="J435">
        <v>0.1</v>
      </c>
      <c r="K435">
        <v>10.75</v>
      </c>
      <c r="L435">
        <v>2.8</v>
      </c>
      <c r="M435">
        <v>73.25</v>
      </c>
      <c r="N435" t="s">
        <v>24</v>
      </c>
      <c r="O435" t="s">
        <v>25</v>
      </c>
      <c r="P435" t="s">
        <v>44</v>
      </c>
      <c r="Q435" t="s">
        <v>37</v>
      </c>
      <c r="R435" t="s">
        <v>38</v>
      </c>
    </row>
    <row r="436" spans="1:18" x14ac:dyDescent="0.3">
      <c r="A436" t="s">
        <v>1670</v>
      </c>
      <c r="B436" s="13">
        <v>44447</v>
      </c>
      <c r="C436" t="s">
        <v>1671</v>
      </c>
      <c r="D436" t="s">
        <v>1632</v>
      </c>
      <c r="E436" t="s">
        <v>392</v>
      </c>
      <c r="F436" t="s">
        <v>143</v>
      </c>
      <c r="G436" t="s">
        <v>100</v>
      </c>
      <c r="H436">
        <v>2</v>
      </c>
      <c r="I436">
        <v>72.88</v>
      </c>
      <c r="J436">
        <v>0</v>
      </c>
      <c r="K436">
        <v>7.29</v>
      </c>
      <c r="L436">
        <v>2.83</v>
      </c>
      <c r="M436">
        <v>155.88</v>
      </c>
      <c r="N436" t="s">
        <v>50</v>
      </c>
      <c r="O436" t="s">
        <v>25</v>
      </c>
      <c r="P436" t="s">
        <v>101</v>
      </c>
      <c r="Q436" t="s">
        <v>102</v>
      </c>
      <c r="R436" t="s">
        <v>61</v>
      </c>
    </row>
    <row r="437" spans="1:18" x14ac:dyDescent="0.3">
      <c r="A437" t="s">
        <v>1686</v>
      </c>
      <c r="B437" s="13">
        <v>45230</v>
      </c>
      <c r="C437" t="s">
        <v>1687</v>
      </c>
      <c r="D437" t="s">
        <v>436</v>
      </c>
      <c r="E437" t="s">
        <v>202</v>
      </c>
      <c r="F437" t="s">
        <v>143</v>
      </c>
      <c r="G437" t="s">
        <v>57</v>
      </c>
      <c r="H437">
        <v>4</v>
      </c>
      <c r="I437">
        <v>339.26</v>
      </c>
      <c r="J437">
        <v>0.2</v>
      </c>
      <c r="K437">
        <v>86.85</v>
      </c>
      <c r="L437">
        <v>11.98</v>
      </c>
      <c r="M437">
        <v>1184.46</v>
      </c>
      <c r="N437" t="s">
        <v>24</v>
      </c>
      <c r="O437" t="s">
        <v>25</v>
      </c>
      <c r="P437" t="s">
        <v>150</v>
      </c>
      <c r="Q437" t="s">
        <v>69</v>
      </c>
      <c r="R437" t="s">
        <v>38</v>
      </c>
    </row>
    <row r="438" spans="1:18" x14ac:dyDescent="0.3">
      <c r="A438" t="s">
        <v>1692</v>
      </c>
      <c r="B438" s="13">
        <v>45131</v>
      </c>
      <c r="C438" t="s">
        <v>1693</v>
      </c>
      <c r="D438" t="s">
        <v>1495</v>
      </c>
      <c r="E438" t="s">
        <v>73</v>
      </c>
      <c r="F438" t="s">
        <v>143</v>
      </c>
      <c r="G438" t="s">
        <v>66</v>
      </c>
      <c r="H438">
        <v>1</v>
      </c>
      <c r="I438">
        <v>597.04999999999995</v>
      </c>
      <c r="J438">
        <v>0.05</v>
      </c>
      <c r="K438">
        <v>45.38</v>
      </c>
      <c r="L438">
        <v>1.88</v>
      </c>
      <c r="M438">
        <v>614.46</v>
      </c>
      <c r="N438" t="s">
        <v>58</v>
      </c>
      <c r="O438" t="s">
        <v>25</v>
      </c>
      <c r="P438" t="s">
        <v>165</v>
      </c>
      <c r="Q438" t="s">
        <v>37</v>
      </c>
      <c r="R438" t="s">
        <v>38</v>
      </c>
    </row>
    <row r="439" spans="1:18" x14ac:dyDescent="0.3">
      <c r="A439" t="s">
        <v>1698</v>
      </c>
      <c r="B439" s="13">
        <v>44506</v>
      </c>
      <c r="C439" t="s">
        <v>1699</v>
      </c>
      <c r="D439" t="s">
        <v>418</v>
      </c>
      <c r="E439" t="s">
        <v>365</v>
      </c>
      <c r="F439" t="s">
        <v>143</v>
      </c>
      <c r="G439" t="s">
        <v>34</v>
      </c>
      <c r="H439">
        <v>1</v>
      </c>
      <c r="I439">
        <v>189.19</v>
      </c>
      <c r="J439">
        <v>0.3</v>
      </c>
      <c r="K439">
        <v>6.62</v>
      </c>
      <c r="L439">
        <v>14.37</v>
      </c>
      <c r="M439">
        <v>153.41999999999999</v>
      </c>
      <c r="N439" t="s">
        <v>58</v>
      </c>
      <c r="O439" t="s">
        <v>25</v>
      </c>
      <c r="P439" t="s">
        <v>165</v>
      </c>
      <c r="Q439" t="s">
        <v>37</v>
      </c>
      <c r="R439" t="s">
        <v>38</v>
      </c>
    </row>
    <row r="440" spans="1:18" x14ac:dyDescent="0.3">
      <c r="A440" t="s">
        <v>1748</v>
      </c>
      <c r="B440" s="13">
        <v>45127</v>
      </c>
      <c r="C440" t="s">
        <v>1749</v>
      </c>
      <c r="D440" t="s">
        <v>460</v>
      </c>
      <c r="E440" t="s">
        <v>287</v>
      </c>
      <c r="F440" t="s">
        <v>143</v>
      </c>
      <c r="G440" t="s">
        <v>198</v>
      </c>
      <c r="H440">
        <v>5</v>
      </c>
      <c r="I440">
        <v>148.75</v>
      </c>
      <c r="J440">
        <v>0</v>
      </c>
      <c r="K440">
        <v>59.5</v>
      </c>
      <c r="L440">
        <v>1.38</v>
      </c>
      <c r="M440">
        <v>804.63</v>
      </c>
      <c r="N440" t="s">
        <v>58</v>
      </c>
      <c r="O440" t="s">
        <v>25</v>
      </c>
      <c r="P440" t="s">
        <v>36</v>
      </c>
      <c r="Q440" t="s">
        <v>37</v>
      </c>
      <c r="R440" t="s">
        <v>76</v>
      </c>
    </row>
    <row r="441" spans="1:18" x14ac:dyDescent="0.3">
      <c r="A441" t="s">
        <v>1762</v>
      </c>
      <c r="B441" s="13">
        <v>44873</v>
      </c>
      <c r="C441" t="s">
        <v>1763</v>
      </c>
      <c r="D441" t="s">
        <v>172</v>
      </c>
      <c r="E441" t="s">
        <v>65</v>
      </c>
      <c r="F441" t="s">
        <v>143</v>
      </c>
      <c r="G441" t="s">
        <v>100</v>
      </c>
      <c r="H441">
        <v>2</v>
      </c>
      <c r="I441">
        <v>391.78</v>
      </c>
      <c r="J441">
        <v>0.1</v>
      </c>
      <c r="K441">
        <v>84.62</v>
      </c>
      <c r="L441">
        <v>14.35</v>
      </c>
      <c r="M441">
        <v>804.17</v>
      </c>
      <c r="N441" t="s">
        <v>58</v>
      </c>
      <c r="O441" t="s">
        <v>82</v>
      </c>
      <c r="P441" t="s">
        <v>165</v>
      </c>
      <c r="Q441" t="s">
        <v>37</v>
      </c>
      <c r="R441" t="s">
        <v>28</v>
      </c>
    </row>
    <row r="442" spans="1:18" x14ac:dyDescent="0.3">
      <c r="A442" t="s">
        <v>1770</v>
      </c>
      <c r="B442" s="13">
        <v>44275</v>
      </c>
      <c r="C442" t="s">
        <v>1771</v>
      </c>
      <c r="D442" t="s">
        <v>539</v>
      </c>
      <c r="E442" t="s">
        <v>349</v>
      </c>
      <c r="F442" t="s">
        <v>143</v>
      </c>
      <c r="G442" t="s">
        <v>23</v>
      </c>
      <c r="H442">
        <v>2</v>
      </c>
      <c r="I442">
        <v>299.49</v>
      </c>
      <c r="J442">
        <v>0</v>
      </c>
      <c r="K442">
        <v>29.95</v>
      </c>
      <c r="L442">
        <v>0.04</v>
      </c>
      <c r="M442">
        <v>628.97</v>
      </c>
      <c r="N442" t="s">
        <v>58</v>
      </c>
      <c r="O442" t="s">
        <v>25</v>
      </c>
      <c r="P442" t="s">
        <v>178</v>
      </c>
      <c r="Q442" t="s">
        <v>69</v>
      </c>
      <c r="R442" t="s">
        <v>28</v>
      </c>
    </row>
    <row r="443" spans="1:18" x14ac:dyDescent="0.3">
      <c r="A443" t="s">
        <v>1778</v>
      </c>
      <c r="B443" s="13">
        <v>44285</v>
      </c>
      <c r="C443" t="s">
        <v>1779</v>
      </c>
      <c r="D443" t="s">
        <v>1780</v>
      </c>
      <c r="E443" t="s">
        <v>65</v>
      </c>
      <c r="F443" t="s">
        <v>143</v>
      </c>
      <c r="G443" t="s">
        <v>34</v>
      </c>
      <c r="H443">
        <v>1</v>
      </c>
      <c r="I443">
        <v>598.22</v>
      </c>
      <c r="J443">
        <v>0.2</v>
      </c>
      <c r="K443">
        <v>23.93</v>
      </c>
      <c r="L443">
        <v>9.98</v>
      </c>
      <c r="M443">
        <v>512.49</v>
      </c>
      <c r="N443" t="s">
        <v>58</v>
      </c>
      <c r="O443" t="s">
        <v>82</v>
      </c>
      <c r="P443" t="s">
        <v>83</v>
      </c>
      <c r="Q443" t="s">
        <v>84</v>
      </c>
      <c r="R443" t="s">
        <v>38</v>
      </c>
    </row>
    <row r="444" spans="1:18" x14ac:dyDescent="0.3">
      <c r="A444" t="s">
        <v>1783</v>
      </c>
      <c r="B444" s="13">
        <v>44548</v>
      </c>
      <c r="C444" t="s">
        <v>1784</v>
      </c>
      <c r="D444" t="s">
        <v>249</v>
      </c>
      <c r="E444" t="s">
        <v>287</v>
      </c>
      <c r="F444" t="s">
        <v>143</v>
      </c>
      <c r="G444" t="s">
        <v>34</v>
      </c>
      <c r="H444">
        <v>5</v>
      </c>
      <c r="I444">
        <v>144.61000000000001</v>
      </c>
      <c r="J444">
        <v>0</v>
      </c>
      <c r="K444">
        <v>130.15</v>
      </c>
      <c r="L444">
        <v>5.13</v>
      </c>
      <c r="M444">
        <v>858.33</v>
      </c>
      <c r="N444" t="s">
        <v>35</v>
      </c>
      <c r="O444" t="s">
        <v>144</v>
      </c>
      <c r="P444" t="s">
        <v>101</v>
      </c>
      <c r="Q444" t="s">
        <v>102</v>
      </c>
      <c r="R444" t="s">
        <v>183</v>
      </c>
    </row>
    <row r="445" spans="1:18" x14ac:dyDescent="0.3">
      <c r="A445" t="s">
        <v>1789</v>
      </c>
      <c r="B445" s="13">
        <v>45418</v>
      </c>
      <c r="C445" t="s">
        <v>1790</v>
      </c>
      <c r="D445" t="s">
        <v>260</v>
      </c>
      <c r="E445" t="s">
        <v>142</v>
      </c>
      <c r="F445" t="s">
        <v>143</v>
      </c>
      <c r="G445" t="s">
        <v>66</v>
      </c>
      <c r="H445">
        <v>3</v>
      </c>
      <c r="I445">
        <v>304.31</v>
      </c>
      <c r="J445">
        <v>0</v>
      </c>
      <c r="K445">
        <v>109.55</v>
      </c>
      <c r="L445">
        <v>7.02</v>
      </c>
      <c r="M445">
        <v>1029.5</v>
      </c>
      <c r="N445" t="s">
        <v>24</v>
      </c>
      <c r="O445" t="s">
        <v>25</v>
      </c>
      <c r="P445" t="s">
        <v>74</v>
      </c>
      <c r="Q445" t="s">
        <v>75</v>
      </c>
      <c r="R445" t="s">
        <v>38</v>
      </c>
    </row>
    <row r="446" spans="1:18" x14ac:dyDescent="0.3">
      <c r="A446" t="s">
        <v>1809</v>
      </c>
      <c r="B446" s="13">
        <v>44778</v>
      </c>
      <c r="C446" t="s">
        <v>1810</v>
      </c>
      <c r="D446" t="s">
        <v>882</v>
      </c>
      <c r="E446" t="s">
        <v>231</v>
      </c>
      <c r="F446" t="s">
        <v>143</v>
      </c>
      <c r="G446" t="s">
        <v>34</v>
      </c>
      <c r="H446">
        <v>2</v>
      </c>
      <c r="I446">
        <v>541.34</v>
      </c>
      <c r="J446">
        <v>0</v>
      </c>
      <c r="K446">
        <v>129.91999999999999</v>
      </c>
      <c r="L446">
        <v>8.0299999999999994</v>
      </c>
      <c r="M446">
        <v>1220.6300000000001</v>
      </c>
      <c r="N446" t="s">
        <v>58</v>
      </c>
      <c r="O446" t="s">
        <v>25</v>
      </c>
      <c r="P446" t="s">
        <v>95</v>
      </c>
      <c r="Q446" t="s">
        <v>37</v>
      </c>
      <c r="R446" t="s">
        <v>28</v>
      </c>
    </row>
    <row r="447" spans="1:18" x14ac:dyDescent="0.3">
      <c r="A447" t="s">
        <v>1817</v>
      </c>
      <c r="B447" s="13">
        <v>45419</v>
      </c>
      <c r="C447" t="s">
        <v>1818</v>
      </c>
      <c r="D447" t="s">
        <v>389</v>
      </c>
      <c r="E447" t="s">
        <v>300</v>
      </c>
      <c r="F447" t="s">
        <v>143</v>
      </c>
      <c r="G447" t="s">
        <v>66</v>
      </c>
      <c r="H447">
        <v>2</v>
      </c>
      <c r="I447">
        <v>569.66999999999996</v>
      </c>
      <c r="J447">
        <v>0</v>
      </c>
      <c r="K447">
        <v>91.15</v>
      </c>
      <c r="L447">
        <v>3.4</v>
      </c>
      <c r="M447">
        <v>1233.8900000000001</v>
      </c>
      <c r="N447" t="s">
        <v>58</v>
      </c>
      <c r="O447" t="s">
        <v>107</v>
      </c>
      <c r="P447" t="s">
        <v>145</v>
      </c>
      <c r="Q447" t="s">
        <v>146</v>
      </c>
      <c r="R447" t="s">
        <v>183</v>
      </c>
    </row>
    <row r="448" spans="1:18" x14ac:dyDescent="0.3">
      <c r="A448" t="s">
        <v>1839</v>
      </c>
      <c r="B448" s="13">
        <v>45077</v>
      </c>
      <c r="C448" t="s">
        <v>1840</v>
      </c>
      <c r="D448" t="s">
        <v>193</v>
      </c>
      <c r="E448" t="s">
        <v>231</v>
      </c>
      <c r="F448" t="s">
        <v>143</v>
      </c>
      <c r="G448" t="s">
        <v>23</v>
      </c>
      <c r="H448">
        <v>1</v>
      </c>
      <c r="I448">
        <v>341.91</v>
      </c>
      <c r="J448">
        <v>0.1</v>
      </c>
      <c r="K448">
        <v>15.39</v>
      </c>
      <c r="L448">
        <v>12.55</v>
      </c>
      <c r="M448">
        <v>335.66</v>
      </c>
      <c r="N448" t="s">
        <v>58</v>
      </c>
      <c r="O448" t="s">
        <v>25</v>
      </c>
      <c r="P448" t="s">
        <v>74</v>
      </c>
      <c r="Q448" t="s">
        <v>75</v>
      </c>
      <c r="R448" t="s">
        <v>38</v>
      </c>
    </row>
    <row r="449" spans="1:18" x14ac:dyDescent="0.3">
      <c r="A449" t="s">
        <v>1853</v>
      </c>
      <c r="B449" s="13">
        <v>44488</v>
      </c>
      <c r="C449" t="s">
        <v>1854</v>
      </c>
      <c r="D449" t="s">
        <v>110</v>
      </c>
      <c r="E449" t="s">
        <v>42</v>
      </c>
      <c r="F449" t="s">
        <v>143</v>
      </c>
      <c r="G449" t="s">
        <v>90</v>
      </c>
      <c r="H449">
        <v>4</v>
      </c>
      <c r="I449">
        <v>72.73</v>
      </c>
      <c r="J449">
        <v>0.05</v>
      </c>
      <c r="K449">
        <v>13.82</v>
      </c>
      <c r="L449">
        <v>0.72</v>
      </c>
      <c r="M449">
        <v>290.91000000000003</v>
      </c>
      <c r="N449" t="s">
        <v>35</v>
      </c>
      <c r="O449" t="s">
        <v>25</v>
      </c>
      <c r="P449" t="s">
        <v>60</v>
      </c>
      <c r="Q449" t="s">
        <v>37</v>
      </c>
      <c r="R449" t="s">
        <v>38</v>
      </c>
    </row>
    <row r="450" spans="1:18" x14ac:dyDescent="0.3">
      <c r="A450" t="s">
        <v>1866</v>
      </c>
      <c r="B450" s="13">
        <v>44743</v>
      </c>
      <c r="C450" t="s">
        <v>1867</v>
      </c>
      <c r="D450" t="s">
        <v>655</v>
      </c>
      <c r="E450" t="s">
        <v>498</v>
      </c>
      <c r="F450" t="s">
        <v>143</v>
      </c>
      <c r="G450" t="s">
        <v>49</v>
      </c>
      <c r="H450">
        <v>3</v>
      </c>
      <c r="I450">
        <v>442.03</v>
      </c>
      <c r="J450">
        <v>0.2</v>
      </c>
      <c r="K450">
        <v>53.04</v>
      </c>
      <c r="L450">
        <v>2.11</v>
      </c>
      <c r="M450">
        <v>1116.02</v>
      </c>
      <c r="N450" t="s">
        <v>58</v>
      </c>
      <c r="O450" t="s">
        <v>25</v>
      </c>
      <c r="P450" t="s">
        <v>165</v>
      </c>
      <c r="Q450" t="s">
        <v>37</v>
      </c>
      <c r="R450" t="s">
        <v>183</v>
      </c>
    </row>
    <row r="451" spans="1:18" x14ac:dyDescent="0.3">
      <c r="A451" t="s">
        <v>1889</v>
      </c>
      <c r="B451" s="13">
        <v>44464</v>
      </c>
      <c r="C451" t="s">
        <v>1890</v>
      </c>
      <c r="D451" t="s">
        <v>550</v>
      </c>
      <c r="E451" t="s">
        <v>294</v>
      </c>
      <c r="F451" t="s">
        <v>143</v>
      </c>
      <c r="G451" t="s">
        <v>49</v>
      </c>
      <c r="H451">
        <v>1</v>
      </c>
      <c r="I451">
        <v>532.6</v>
      </c>
      <c r="J451">
        <v>0.05</v>
      </c>
      <c r="K451">
        <v>60.72</v>
      </c>
      <c r="L451">
        <v>10.38</v>
      </c>
      <c r="M451">
        <v>577.07000000000005</v>
      </c>
      <c r="N451" t="s">
        <v>24</v>
      </c>
      <c r="O451" t="s">
        <v>25</v>
      </c>
      <c r="P451" t="s">
        <v>60</v>
      </c>
      <c r="Q451" t="s">
        <v>37</v>
      </c>
      <c r="R451" t="s">
        <v>38</v>
      </c>
    </row>
    <row r="452" spans="1:18" x14ac:dyDescent="0.3">
      <c r="A452" t="s">
        <v>1903</v>
      </c>
      <c r="B452" s="13">
        <v>45502</v>
      </c>
      <c r="C452" t="s">
        <v>1904</v>
      </c>
      <c r="D452" t="s">
        <v>791</v>
      </c>
      <c r="E452" t="s">
        <v>577</v>
      </c>
      <c r="F452" t="s">
        <v>143</v>
      </c>
      <c r="G452" t="s">
        <v>66</v>
      </c>
      <c r="H452">
        <v>4</v>
      </c>
      <c r="I452">
        <v>475.21</v>
      </c>
      <c r="J452">
        <v>0.15</v>
      </c>
      <c r="K452">
        <v>290.83</v>
      </c>
      <c r="L452">
        <v>1.88</v>
      </c>
      <c r="M452">
        <v>1908.42</v>
      </c>
      <c r="N452" t="s">
        <v>24</v>
      </c>
      <c r="O452" t="s">
        <v>144</v>
      </c>
      <c r="P452" t="s">
        <v>150</v>
      </c>
      <c r="Q452" t="s">
        <v>69</v>
      </c>
      <c r="R452" t="s">
        <v>28</v>
      </c>
    </row>
    <row r="453" spans="1:18" x14ac:dyDescent="0.3">
      <c r="A453" t="s">
        <v>1906</v>
      </c>
      <c r="B453" s="13">
        <v>45219</v>
      </c>
      <c r="C453" t="s">
        <v>1907</v>
      </c>
      <c r="D453" t="s">
        <v>87</v>
      </c>
      <c r="E453" t="s">
        <v>324</v>
      </c>
      <c r="F453" t="s">
        <v>143</v>
      </c>
      <c r="G453" t="s">
        <v>268</v>
      </c>
      <c r="H453">
        <v>1</v>
      </c>
      <c r="I453">
        <v>8.06</v>
      </c>
      <c r="J453">
        <v>0</v>
      </c>
      <c r="K453">
        <v>0</v>
      </c>
      <c r="L453">
        <v>2.93</v>
      </c>
      <c r="M453">
        <v>10.99</v>
      </c>
      <c r="N453" t="s">
        <v>50</v>
      </c>
      <c r="O453" t="s">
        <v>25</v>
      </c>
      <c r="P453" t="s">
        <v>68</v>
      </c>
      <c r="Q453" t="s">
        <v>69</v>
      </c>
      <c r="R453" t="s">
        <v>38</v>
      </c>
    </row>
    <row r="454" spans="1:18" x14ac:dyDescent="0.3">
      <c r="A454" t="s">
        <v>1912</v>
      </c>
      <c r="B454" s="13">
        <v>45511</v>
      </c>
      <c r="C454" t="s">
        <v>1913</v>
      </c>
      <c r="D454" t="s">
        <v>971</v>
      </c>
      <c r="E454" t="s">
        <v>577</v>
      </c>
      <c r="F454" t="s">
        <v>143</v>
      </c>
      <c r="G454" t="s">
        <v>100</v>
      </c>
      <c r="H454">
        <v>3</v>
      </c>
      <c r="I454">
        <v>402.32</v>
      </c>
      <c r="J454">
        <v>0</v>
      </c>
      <c r="K454">
        <v>144.84</v>
      </c>
      <c r="L454">
        <v>12.57</v>
      </c>
      <c r="M454">
        <v>1364.37</v>
      </c>
      <c r="N454" t="s">
        <v>35</v>
      </c>
      <c r="O454" t="s">
        <v>25</v>
      </c>
      <c r="P454" t="s">
        <v>74</v>
      </c>
      <c r="Q454" t="s">
        <v>75</v>
      </c>
      <c r="R454" t="s">
        <v>38</v>
      </c>
    </row>
    <row r="455" spans="1:18" x14ac:dyDescent="0.3">
      <c r="A455" t="s">
        <v>1937</v>
      </c>
      <c r="B455" s="13">
        <v>43997</v>
      </c>
      <c r="C455" t="s">
        <v>1938</v>
      </c>
      <c r="D455" t="s">
        <v>1329</v>
      </c>
      <c r="E455" t="s">
        <v>164</v>
      </c>
      <c r="F455" t="s">
        <v>143</v>
      </c>
      <c r="G455" t="s">
        <v>100</v>
      </c>
      <c r="H455">
        <v>2</v>
      </c>
      <c r="I455">
        <v>469.24</v>
      </c>
      <c r="J455">
        <v>0</v>
      </c>
      <c r="K455">
        <v>75.08</v>
      </c>
      <c r="L455">
        <v>5.79</v>
      </c>
      <c r="M455">
        <v>1019.35</v>
      </c>
      <c r="N455" t="s">
        <v>24</v>
      </c>
      <c r="O455" t="s">
        <v>25</v>
      </c>
      <c r="P455" t="s">
        <v>173</v>
      </c>
      <c r="Q455" t="s">
        <v>174</v>
      </c>
      <c r="R455" t="s">
        <v>38</v>
      </c>
    </row>
    <row r="456" spans="1:18" x14ac:dyDescent="0.3">
      <c r="A456" t="s">
        <v>1953</v>
      </c>
      <c r="B456" s="13">
        <v>44483</v>
      </c>
      <c r="C456" t="s">
        <v>1954</v>
      </c>
      <c r="D456" t="s">
        <v>79</v>
      </c>
      <c r="E456" t="s">
        <v>88</v>
      </c>
      <c r="F456" t="s">
        <v>143</v>
      </c>
      <c r="G456" t="s">
        <v>66</v>
      </c>
      <c r="H456">
        <v>2</v>
      </c>
      <c r="I456">
        <v>48.23</v>
      </c>
      <c r="J456">
        <v>0</v>
      </c>
      <c r="K456">
        <v>11.58</v>
      </c>
      <c r="L456">
        <v>14.55</v>
      </c>
      <c r="M456">
        <v>122.59</v>
      </c>
      <c r="N456" t="s">
        <v>58</v>
      </c>
      <c r="O456" t="s">
        <v>107</v>
      </c>
      <c r="P456" t="s">
        <v>44</v>
      </c>
      <c r="Q456" t="s">
        <v>37</v>
      </c>
      <c r="R456" t="s">
        <v>76</v>
      </c>
    </row>
    <row r="457" spans="1:18" x14ac:dyDescent="0.3">
      <c r="A457" t="s">
        <v>1971</v>
      </c>
      <c r="B457" s="13">
        <v>44725</v>
      </c>
      <c r="C457" t="s">
        <v>1972</v>
      </c>
      <c r="D457" t="s">
        <v>704</v>
      </c>
      <c r="E457" t="s">
        <v>283</v>
      </c>
      <c r="F457" t="s">
        <v>143</v>
      </c>
      <c r="G457" t="s">
        <v>66</v>
      </c>
      <c r="H457">
        <v>5</v>
      </c>
      <c r="I457">
        <v>15.79</v>
      </c>
      <c r="J457">
        <v>0</v>
      </c>
      <c r="K457">
        <v>6.32</v>
      </c>
      <c r="L457">
        <v>7.15</v>
      </c>
      <c r="M457">
        <v>92.42</v>
      </c>
      <c r="N457" t="s">
        <v>24</v>
      </c>
      <c r="O457" t="s">
        <v>25</v>
      </c>
      <c r="P457" t="s">
        <v>60</v>
      </c>
      <c r="Q457" t="s">
        <v>37</v>
      </c>
      <c r="R457" t="s">
        <v>38</v>
      </c>
    </row>
    <row r="458" spans="1:18" x14ac:dyDescent="0.3">
      <c r="A458" t="s">
        <v>1981</v>
      </c>
      <c r="B458" s="13">
        <v>44020</v>
      </c>
      <c r="C458" t="s">
        <v>1982</v>
      </c>
      <c r="D458" t="s">
        <v>558</v>
      </c>
      <c r="E458" t="s">
        <v>216</v>
      </c>
      <c r="F458" t="s">
        <v>143</v>
      </c>
      <c r="G458" t="s">
        <v>203</v>
      </c>
      <c r="H458">
        <v>4</v>
      </c>
      <c r="I458">
        <v>405.52</v>
      </c>
      <c r="J458">
        <v>0</v>
      </c>
      <c r="K458">
        <v>129.77000000000001</v>
      </c>
      <c r="L458">
        <v>11.13</v>
      </c>
      <c r="M458">
        <v>1762.98</v>
      </c>
      <c r="N458" t="s">
        <v>50</v>
      </c>
      <c r="O458" t="s">
        <v>25</v>
      </c>
      <c r="P458" t="s">
        <v>173</v>
      </c>
      <c r="Q458" t="s">
        <v>174</v>
      </c>
      <c r="R458" t="s">
        <v>38</v>
      </c>
    </row>
    <row r="459" spans="1:18" x14ac:dyDescent="0.3">
      <c r="A459" t="s">
        <v>1989</v>
      </c>
      <c r="B459" s="13">
        <v>45223</v>
      </c>
      <c r="C459" t="s">
        <v>1990</v>
      </c>
      <c r="D459" t="s">
        <v>153</v>
      </c>
      <c r="E459" t="s">
        <v>197</v>
      </c>
      <c r="F459" t="s">
        <v>143</v>
      </c>
      <c r="G459" t="s">
        <v>23</v>
      </c>
      <c r="H459">
        <v>1</v>
      </c>
      <c r="I459">
        <v>515.89</v>
      </c>
      <c r="J459">
        <v>0.1</v>
      </c>
      <c r="K459">
        <v>55.72</v>
      </c>
      <c r="L459">
        <v>5.7</v>
      </c>
      <c r="M459">
        <v>525.72</v>
      </c>
      <c r="N459" t="s">
        <v>35</v>
      </c>
      <c r="O459" t="s">
        <v>107</v>
      </c>
      <c r="P459" t="s">
        <v>150</v>
      </c>
      <c r="Q459" t="s">
        <v>69</v>
      </c>
      <c r="R459" t="s">
        <v>61</v>
      </c>
    </row>
    <row r="460" spans="1:18" x14ac:dyDescent="0.3">
      <c r="A460" t="s">
        <v>1995</v>
      </c>
      <c r="B460" s="13">
        <v>44759</v>
      </c>
      <c r="C460" t="s">
        <v>1996</v>
      </c>
      <c r="D460" t="s">
        <v>517</v>
      </c>
      <c r="E460" t="s">
        <v>138</v>
      </c>
      <c r="F460" t="s">
        <v>143</v>
      </c>
      <c r="G460" t="s">
        <v>90</v>
      </c>
      <c r="H460">
        <v>1</v>
      </c>
      <c r="I460">
        <v>504.76</v>
      </c>
      <c r="J460">
        <v>0.2</v>
      </c>
      <c r="K460">
        <v>32.299999999999997</v>
      </c>
      <c r="L460">
        <v>3.51</v>
      </c>
      <c r="M460">
        <v>439.62</v>
      </c>
      <c r="N460" t="s">
        <v>24</v>
      </c>
      <c r="O460" t="s">
        <v>25</v>
      </c>
      <c r="P460" t="s">
        <v>173</v>
      </c>
      <c r="Q460" t="s">
        <v>174</v>
      </c>
      <c r="R460" t="s">
        <v>38</v>
      </c>
    </row>
    <row r="461" spans="1:18" x14ac:dyDescent="0.3">
      <c r="A461" t="s">
        <v>1997</v>
      </c>
      <c r="B461" s="13">
        <v>44764</v>
      </c>
      <c r="C461" t="s">
        <v>1998</v>
      </c>
      <c r="D461" t="s">
        <v>457</v>
      </c>
      <c r="E461" t="s">
        <v>32</v>
      </c>
      <c r="F461" t="s">
        <v>143</v>
      </c>
      <c r="G461" t="s">
        <v>268</v>
      </c>
      <c r="H461">
        <v>3</v>
      </c>
      <c r="I461">
        <v>447.99</v>
      </c>
      <c r="J461">
        <v>0</v>
      </c>
      <c r="K461">
        <v>161.28</v>
      </c>
      <c r="L461">
        <v>5.32</v>
      </c>
      <c r="M461">
        <v>1510.57</v>
      </c>
      <c r="N461" t="s">
        <v>50</v>
      </c>
      <c r="O461" t="s">
        <v>25</v>
      </c>
      <c r="P461" t="s">
        <v>165</v>
      </c>
      <c r="Q461" t="s">
        <v>37</v>
      </c>
      <c r="R461" t="s">
        <v>61</v>
      </c>
    </row>
    <row r="462" spans="1:18" x14ac:dyDescent="0.3">
      <c r="A462" t="s">
        <v>1999</v>
      </c>
      <c r="B462" s="13">
        <v>44971</v>
      </c>
      <c r="C462" t="s">
        <v>2000</v>
      </c>
      <c r="D462" t="s">
        <v>242</v>
      </c>
      <c r="E462" t="s">
        <v>386</v>
      </c>
      <c r="F462" t="s">
        <v>143</v>
      </c>
      <c r="G462" t="s">
        <v>100</v>
      </c>
      <c r="H462">
        <v>5</v>
      </c>
      <c r="I462">
        <v>562.46</v>
      </c>
      <c r="J462">
        <v>0</v>
      </c>
      <c r="K462">
        <v>224.98</v>
      </c>
      <c r="L462">
        <v>9.83</v>
      </c>
      <c r="M462">
        <v>3047.11</v>
      </c>
      <c r="N462" t="s">
        <v>58</v>
      </c>
      <c r="O462" t="s">
        <v>25</v>
      </c>
      <c r="P462" t="s">
        <v>145</v>
      </c>
      <c r="Q462" t="s">
        <v>146</v>
      </c>
      <c r="R462" t="s">
        <v>38</v>
      </c>
    </row>
    <row r="463" spans="1:18" x14ac:dyDescent="0.3">
      <c r="A463" t="s">
        <v>2007</v>
      </c>
      <c r="B463" s="13">
        <v>44515</v>
      </c>
      <c r="C463" t="s">
        <v>2008</v>
      </c>
      <c r="D463" t="s">
        <v>47</v>
      </c>
      <c r="E463" t="s">
        <v>111</v>
      </c>
      <c r="F463" t="s">
        <v>143</v>
      </c>
      <c r="G463" t="s">
        <v>34</v>
      </c>
      <c r="H463">
        <v>3</v>
      </c>
      <c r="I463">
        <v>571.48</v>
      </c>
      <c r="J463">
        <v>0</v>
      </c>
      <c r="K463">
        <v>205.73</v>
      </c>
      <c r="L463">
        <v>0.15</v>
      </c>
      <c r="M463">
        <v>1920.32</v>
      </c>
      <c r="N463" t="s">
        <v>58</v>
      </c>
      <c r="O463" t="s">
        <v>25</v>
      </c>
      <c r="P463" t="s">
        <v>112</v>
      </c>
      <c r="Q463" t="s">
        <v>113</v>
      </c>
      <c r="R463" t="s">
        <v>38</v>
      </c>
    </row>
    <row r="464" spans="1:18" x14ac:dyDescent="0.3">
      <c r="A464" t="s">
        <v>2039</v>
      </c>
      <c r="B464" s="13">
        <v>45256</v>
      </c>
      <c r="C464" t="s">
        <v>2040</v>
      </c>
      <c r="D464" t="s">
        <v>645</v>
      </c>
      <c r="E464" t="s">
        <v>177</v>
      </c>
      <c r="F464" t="s">
        <v>143</v>
      </c>
      <c r="G464" t="s">
        <v>23</v>
      </c>
      <c r="H464">
        <v>2</v>
      </c>
      <c r="I464">
        <v>531.69000000000005</v>
      </c>
      <c r="J464">
        <v>0</v>
      </c>
      <c r="K464">
        <v>85.07</v>
      </c>
      <c r="L464">
        <v>10.11</v>
      </c>
      <c r="M464">
        <v>1158.56</v>
      </c>
      <c r="N464" t="s">
        <v>123</v>
      </c>
      <c r="O464" t="s">
        <v>25</v>
      </c>
      <c r="P464" t="s">
        <v>68</v>
      </c>
      <c r="Q464" t="s">
        <v>69</v>
      </c>
      <c r="R464" t="s">
        <v>28</v>
      </c>
    </row>
    <row r="465" spans="1:18" x14ac:dyDescent="0.3">
      <c r="A465" t="s">
        <v>2051</v>
      </c>
      <c r="B465" s="13">
        <v>45269</v>
      </c>
      <c r="C465" t="s">
        <v>629</v>
      </c>
      <c r="D465" t="s">
        <v>276</v>
      </c>
      <c r="E465" t="s">
        <v>271</v>
      </c>
      <c r="F465" t="s">
        <v>143</v>
      </c>
      <c r="G465" t="s">
        <v>66</v>
      </c>
      <c r="H465">
        <v>1</v>
      </c>
      <c r="I465">
        <v>196.13</v>
      </c>
      <c r="J465">
        <v>0</v>
      </c>
      <c r="K465">
        <v>15.69</v>
      </c>
      <c r="L465">
        <v>10.44</v>
      </c>
      <c r="M465">
        <v>222.26</v>
      </c>
      <c r="N465" t="s">
        <v>24</v>
      </c>
      <c r="O465" t="s">
        <v>25</v>
      </c>
      <c r="P465" t="s">
        <v>60</v>
      </c>
      <c r="Q465" t="s">
        <v>37</v>
      </c>
      <c r="R465" t="s">
        <v>28</v>
      </c>
    </row>
    <row r="466" spans="1:18" x14ac:dyDescent="0.3">
      <c r="A466" t="s">
        <v>2056</v>
      </c>
      <c r="B466" s="13">
        <v>45420</v>
      </c>
      <c r="C466" t="s">
        <v>2057</v>
      </c>
      <c r="D466" t="s">
        <v>352</v>
      </c>
      <c r="E466" t="s">
        <v>142</v>
      </c>
      <c r="F466" t="s">
        <v>143</v>
      </c>
      <c r="G466" t="s">
        <v>23</v>
      </c>
      <c r="H466">
        <v>4</v>
      </c>
      <c r="I466">
        <v>40.69</v>
      </c>
      <c r="J466">
        <v>0.05</v>
      </c>
      <c r="K466">
        <v>12.37</v>
      </c>
      <c r="L466">
        <v>12.4</v>
      </c>
      <c r="M466">
        <v>179.39</v>
      </c>
      <c r="N466" t="s">
        <v>123</v>
      </c>
      <c r="O466" t="s">
        <v>25</v>
      </c>
      <c r="P466" t="s">
        <v>117</v>
      </c>
      <c r="Q466" t="s">
        <v>118</v>
      </c>
      <c r="R466" t="s">
        <v>76</v>
      </c>
    </row>
    <row r="467" spans="1:18" x14ac:dyDescent="0.3">
      <c r="A467" t="s">
        <v>2064</v>
      </c>
      <c r="B467" s="13">
        <v>44801</v>
      </c>
      <c r="C467" t="s">
        <v>2065</v>
      </c>
      <c r="D467" t="s">
        <v>1176</v>
      </c>
      <c r="E467" t="s">
        <v>597</v>
      </c>
      <c r="F467" t="s">
        <v>143</v>
      </c>
      <c r="G467" t="s">
        <v>49</v>
      </c>
      <c r="H467">
        <v>4</v>
      </c>
      <c r="I467">
        <v>557.83000000000004</v>
      </c>
      <c r="J467">
        <v>0</v>
      </c>
      <c r="K467">
        <v>267.76</v>
      </c>
      <c r="L467">
        <v>7.45</v>
      </c>
      <c r="M467">
        <v>2506.5300000000002</v>
      </c>
      <c r="N467" t="s">
        <v>58</v>
      </c>
      <c r="O467" t="s">
        <v>25</v>
      </c>
      <c r="P467" t="s">
        <v>133</v>
      </c>
      <c r="Q467" t="s">
        <v>134</v>
      </c>
      <c r="R467" t="s">
        <v>38</v>
      </c>
    </row>
    <row r="468" spans="1:18" x14ac:dyDescent="0.3">
      <c r="A468" t="s">
        <v>2078</v>
      </c>
      <c r="B468" s="13">
        <v>44802</v>
      </c>
      <c r="C468" t="s">
        <v>2079</v>
      </c>
      <c r="D468" t="s">
        <v>343</v>
      </c>
      <c r="E468" t="s">
        <v>271</v>
      </c>
      <c r="F468" t="s">
        <v>143</v>
      </c>
      <c r="G468" t="s">
        <v>34</v>
      </c>
      <c r="H468">
        <v>4</v>
      </c>
      <c r="I468">
        <v>261.41000000000003</v>
      </c>
      <c r="J468">
        <v>0.1</v>
      </c>
      <c r="K468">
        <v>47.05</v>
      </c>
      <c r="L468">
        <v>14.63</v>
      </c>
      <c r="M468">
        <v>1002.76</v>
      </c>
      <c r="N468" t="s">
        <v>35</v>
      </c>
      <c r="O468" t="s">
        <v>25</v>
      </c>
      <c r="P468" t="s">
        <v>112</v>
      </c>
      <c r="Q468" t="s">
        <v>113</v>
      </c>
      <c r="R468" t="s">
        <v>28</v>
      </c>
    </row>
    <row r="469" spans="1:18" x14ac:dyDescent="0.3">
      <c r="A469" t="s">
        <v>2080</v>
      </c>
      <c r="B469" s="13">
        <v>45262</v>
      </c>
      <c r="C469" t="s">
        <v>2081</v>
      </c>
      <c r="D469" t="s">
        <v>400</v>
      </c>
      <c r="E469" t="s">
        <v>386</v>
      </c>
      <c r="F469" t="s">
        <v>143</v>
      </c>
      <c r="G469" t="s">
        <v>90</v>
      </c>
      <c r="H469">
        <v>5</v>
      </c>
      <c r="I469">
        <v>510.26</v>
      </c>
      <c r="J469">
        <v>0.05</v>
      </c>
      <c r="K469">
        <v>121.19</v>
      </c>
      <c r="L469">
        <v>1.85</v>
      </c>
      <c r="M469">
        <v>2546.7800000000002</v>
      </c>
      <c r="N469" t="s">
        <v>24</v>
      </c>
      <c r="O469" t="s">
        <v>107</v>
      </c>
      <c r="P469" t="s">
        <v>101</v>
      </c>
      <c r="Q469" t="s">
        <v>102</v>
      </c>
      <c r="R469" t="s">
        <v>76</v>
      </c>
    </row>
    <row r="470" spans="1:18" x14ac:dyDescent="0.3">
      <c r="A470" t="s">
        <v>2108</v>
      </c>
      <c r="B470" s="13">
        <v>44699</v>
      </c>
      <c r="C470" t="s">
        <v>2109</v>
      </c>
      <c r="D470" t="s">
        <v>807</v>
      </c>
      <c r="E470" t="s">
        <v>231</v>
      </c>
      <c r="F470" t="s">
        <v>143</v>
      </c>
      <c r="G470" t="s">
        <v>57</v>
      </c>
      <c r="H470">
        <v>1</v>
      </c>
      <c r="I470">
        <v>499.56</v>
      </c>
      <c r="J470">
        <v>0.25</v>
      </c>
      <c r="K470">
        <v>29.97</v>
      </c>
      <c r="L470">
        <v>6.6</v>
      </c>
      <c r="M470">
        <v>411.24</v>
      </c>
      <c r="N470" t="s">
        <v>58</v>
      </c>
      <c r="O470" t="s">
        <v>59</v>
      </c>
      <c r="P470" t="s">
        <v>74</v>
      </c>
      <c r="Q470" t="s">
        <v>75</v>
      </c>
      <c r="R470" t="s">
        <v>38</v>
      </c>
    </row>
    <row r="471" spans="1:18" x14ac:dyDescent="0.3">
      <c r="A471" t="s">
        <v>2136</v>
      </c>
      <c r="B471" s="13">
        <v>45412</v>
      </c>
      <c r="C471" t="s">
        <v>2137</v>
      </c>
      <c r="D471" t="s">
        <v>128</v>
      </c>
      <c r="E471" t="s">
        <v>48</v>
      </c>
      <c r="F471" t="s">
        <v>143</v>
      </c>
      <c r="G471" t="s">
        <v>198</v>
      </c>
      <c r="H471">
        <v>3</v>
      </c>
      <c r="I471">
        <v>591.16999999999996</v>
      </c>
      <c r="J471">
        <v>0</v>
      </c>
      <c r="K471">
        <v>212.82</v>
      </c>
      <c r="L471">
        <v>9.48</v>
      </c>
      <c r="M471">
        <v>1995.81</v>
      </c>
      <c r="N471" t="s">
        <v>58</v>
      </c>
      <c r="O471" t="s">
        <v>107</v>
      </c>
      <c r="P471" t="s">
        <v>36</v>
      </c>
      <c r="Q471" t="s">
        <v>37</v>
      </c>
      <c r="R471" t="s">
        <v>38</v>
      </c>
    </row>
    <row r="472" spans="1:18" x14ac:dyDescent="0.3">
      <c r="A472" t="s">
        <v>2148</v>
      </c>
      <c r="B472" s="13">
        <v>44086</v>
      </c>
      <c r="C472" t="s">
        <v>2149</v>
      </c>
      <c r="D472" t="s">
        <v>655</v>
      </c>
      <c r="E472" t="s">
        <v>256</v>
      </c>
      <c r="F472" t="s">
        <v>143</v>
      </c>
      <c r="G472" t="s">
        <v>23</v>
      </c>
      <c r="H472">
        <v>3</v>
      </c>
      <c r="I472">
        <v>528.51</v>
      </c>
      <c r="J472">
        <v>0.1</v>
      </c>
      <c r="K472">
        <v>114.16</v>
      </c>
      <c r="L472">
        <v>6.75</v>
      </c>
      <c r="M472">
        <v>1547.89</v>
      </c>
      <c r="N472" t="s">
        <v>50</v>
      </c>
      <c r="O472" t="s">
        <v>25</v>
      </c>
      <c r="P472" t="s">
        <v>257</v>
      </c>
      <c r="Q472" t="s">
        <v>69</v>
      </c>
      <c r="R472" t="s">
        <v>38</v>
      </c>
    </row>
    <row r="473" spans="1:18" x14ac:dyDescent="0.3">
      <c r="A473" t="s">
        <v>2158</v>
      </c>
      <c r="B473" s="13">
        <v>44628</v>
      </c>
      <c r="C473" t="s">
        <v>2159</v>
      </c>
      <c r="D473" t="s">
        <v>1780</v>
      </c>
      <c r="E473" t="s">
        <v>197</v>
      </c>
      <c r="F473" t="s">
        <v>143</v>
      </c>
      <c r="G473" t="s">
        <v>66</v>
      </c>
      <c r="H473">
        <v>1</v>
      </c>
      <c r="I473">
        <v>73.239999999999995</v>
      </c>
      <c r="J473">
        <v>0.05</v>
      </c>
      <c r="K473">
        <v>5.57</v>
      </c>
      <c r="L473">
        <v>3.42</v>
      </c>
      <c r="M473">
        <v>78.569999999999993</v>
      </c>
      <c r="N473" t="s">
        <v>67</v>
      </c>
      <c r="O473" t="s">
        <v>25</v>
      </c>
      <c r="P473" t="s">
        <v>117</v>
      </c>
      <c r="Q473" t="s">
        <v>118</v>
      </c>
      <c r="R473" t="s">
        <v>183</v>
      </c>
    </row>
    <row r="474" spans="1:18" x14ac:dyDescent="0.3">
      <c r="A474" t="s">
        <v>2160</v>
      </c>
      <c r="B474" s="13">
        <v>45096</v>
      </c>
      <c r="C474" t="s">
        <v>2161</v>
      </c>
      <c r="D474" t="s">
        <v>569</v>
      </c>
      <c r="E474" t="s">
        <v>48</v>
      </c>
      <c r="F474" t="s">
        <v>143</v>
      </c>
      <c r="G474" t="s">
        <v>203</v>
      </c>
      <c r="H474">
        <v>4</v>
      </c>
      <c r="I474">
        <v>103.58</v>
      </c>
      <c r="J474">
        <v>0.1</v>
      </c>
      <c r="K474">
        <v>18.64</v>
      </c>
      <c r="L474">
        <v>8.36</v>
      </c>
      <c r="M474">
        <v>399.89</v>
      </c>
      <c r="N474" t="s">
        <v>67</v>
      </c>
      <c r="O474" t="s">
        <v>25</v>
      </c>
      <c r="P474" t="s">
        <v>95</v>
      </c>
      <c r="Q474" t="s">
        <v>37</v>
      </c>
      <c r="R474" t="s">
        <v>38</v>
      </c>
    </row>
    <row r="475" spans="1:18" x14ac:dyDescent="0.3">
      <c r="A475" t="s">
        <v>2164</v>
      </c>
      <c r="B475" s="13">
        <v>44707</v>
      </c>
      <c r="C475" t="s">
        <v>2165</v>
      </c>
      <c r="D475" t="s">
        <v>558</v>
      </c>
      <c r="E475" t="s">
        <v>498</v>
      </c>
      <c r="F475" t="s">
        <v>143</v>
      </c>
      <c r="G475" t="s">
        <v>49</v>
      </c>
      <c r="H475">
        <v>3</v>
      </c>
      <c r="I475">
        <v>32.54</v>
      </c>
      <c r="J475">
        <v>0.1</v>
      </c>
      <c r="K475">
        <v>0</v>
      </c>
      <c r="L475">
        <v>12.4</v>
      </c>
      <c r="M475">
        <v>100.26</v>
      </c>
      <c r="N475" t="s">
        <v>67</v>
      </c>
      <c r="O475" t="s">
        <v>25</v>
      </c>
      <c r="P475" t="s">
        <v>173</v>
      </c>
      <c r="Q475" t="s">
        <v>174</v>
      </c>
      <c r="R475" t="s">
        <v>38</v>
      </c>
    </row>
    <row r="476" spans="1:18" x14ac:dyDescent="0.3">
      <c r="A476" t="s">
        <v>2180</v>
      </c>
      <c r="B476" s="13">
        <v>44054</v>
      </c>
      <c r="C476" t="s">
        <v>2181</v>
      </c>
      <c r="D476" t="s">
        <v>655</v>
      </c>
      <c r="E476" t="s">
        <v>597</v>
      </c>
      <c r="F476" t="s">
        <v>143</v>
      </c>
      <c r="G476" t="s">
        <v>34</v>
      </c>
      <c r="H476">
        <v>5</v>
      </c>
      <c r="I476">
        <v>549.70000000000005</v>
      </c>
      <c r="J476">
        <v>0.05</v>
      </c>
      <c r="K476">
        <v>130.55000000000001</v>
      </c>
      <c r="L476">
        <v>4.1900000000000004</v>
      </c>
      <c r="M476">
        <v>2745.82</v>
      </c>
      <c r="N476" t="s">
        <v>35</v>
      </c>
      <c r="O476" t="s">
        <v>25</v>
      </c>
      <c r="P476" t="s">
        <v>83</v>
      </c>
      <c r="Q476" t="s">
        <v>84</v>
      </c>
      <c r="R476" t="s">
        <v>38</v>
      </c>
    </row>
    <row r="477" spans="1:18" x14ac:dyDescent="0.3">
      <c r="A477" t="s">
        <v>2188</v>
      </c>
      <c r="B477" s="13">
        <v>44683</v>
      </c>
      <c r="C477" t="s">
        <v>2189</v>
      </c>
      <c r="D477" t="s">
        <v>1189</v>
      </c>
      <c r="E477" t="s">
        <v>349</v>
      </c>
      <c r="F477" t="s">
        <v>143</v>
      </c>
      <c r="G477" t="s">
        <v>66</v>
      </c>
      <c r="H477">
        <v>2</v>
      </c>
      <c r="I477">
        <v>85.61</v>
      </c>
      <c r="J477">
        <v>0</v>
      </c>
      <c r="K477">
        <v>20.55</v>
      </c>
      <c r="L477">
        <v>13.9</v>
      </c>
      <c r="M477">
        <v>205.67</v>
      </c>
      <c r="N477" t="s">
        <v>35</v>
      </c>
      <c r="O477" t="s">
        <v>25</v>
      </c>
      <c r="P477" t="s">
        <v>74</v>
      </c>
      <c r="Q477" t="s">
        <v>75</v>
      </c>
      <c r="R477" t="s">
        <v>183</v>
      </c>
    </row>
    <row r="478" spans="1:18" x14ac:dyDescent="0.3">
      <c r="A478" t="s">
        <v>2190</v>
      </c>
      <c r="B478" s="13">
        <v>45136</v>
      </c>
      <c r="C478" t="s">
        <v>2191</v>
      </c>
      <c r="D478" t="s">
        <v>1580</v>
      </c>
      <c r="E478" t="s">
        <v>65</v>
      </c>
      <c r="F478" t="s">
        <v>143</v>
      </c>
      <c r="G478" t="s">
        <v>203</v>
      </c>
      <c r="H478">
        <v>3</v>
      </c>
      <c r="I478">
        <v>472.98</v>
      </c>
      <c r="J478">
        <v>0.1</v>
      </c>
      <c r="K478">
        <v>63.85</v>
      </c>
      <c r="L478">
        <v>10.51</v>
      </c>
      <c r="M478">
        <v>1351.41</v>
      </c>
      <c r="N478" t="s">
        <v>58</v>
      </c>
      <c r="O478" t="s">
        <v>25</v>
      </c>
      <c r="P478" t="s">
        <v>257</v>
      </c>
      <c r="Q478" t="s">
        <v>69</v>
      </c>
      <c r="R478" t="s">
        <v>38</v>
      </c>
    </row>
    <row r="479" spans="1:18" x14ac:dyDescent="0.3">
      <c r="A479" t="s">
        <v>2192</v>
      </c>
      <c r="B479" s="13">
        <v>43893</v>
      </c>
      <c r="C479" t="s">
        <v>2193</v>
      </c>
      <c r="D479" t="s">
        <v>436</v>
      </c>
      <c r="E479" t="s">
        <v>160</v>
      </c>
      <c r="F479" t="s">
        <v>143</v>
      </c>
      <c r="G479" t="s">
        <v>66</v>
      </c>
      <c r="H479">
        <v>2</v>
      </c>
      <c r="I479">
        <v>211.1</v>
      </c>
      <c r="J479">
        <v>0.05</v>
      </c>
      <c r="K479">
        <v>20.05</v>
      </c>
      <c r="L479">
        <v>2.83</v>
      </c>
      <c r="M479">
        <v>423.97</v>
      </c>
      <c r="N479" t="s">
        <v>58</v>
      </c>
      <c r="O479" t="s">
        <v>25</v>
      </c>
      <c r="P479" t="s">
        <v>74</v>
      </c>
      <c r="Q479" t="s">
        <v>75</v>
      </c>
      <c r="R479" t="s">
        <v>38</v>
      </c>
    </row>
    <row r="480" spans="1:18" x14ac:dyDescent="0.3">
      <c r="A480" t="s">
        <v>2208</v>
      </c>
      <c r="B480" s="13">
        <v>44953</v>
      </c>
      <c r="C480" t="s">
        <v>2209</v>
      </c>
      <c r="D480" t="s">
        <v>128</v>
      </c>
      <c r="E480" t="s">
        <v>256</v>
      </c>
      <c r="F480" t="s">
        <v>143</v>
      </c>
      <c r="G480" t="s">
        <v>23</v>
      </c>
      <c r="H480">
        <v>3</v>
      </c>
      <c r="I480">
        <v>321.52</v>
      </c>
      <c r="J480">
        <v>0</v>
      </c>
      <c r="K480">
        <v>115.75</v>
      </c>
      <c r="L480">
        <v>8.6300000000000008</v>
      </c>
      <c r="M480">
        <v>1088.94</v>
      </c>
      <c r="N480" t="s">
        <v>123</v>
      </c>
      <c r="O480" t="s">
        <v>25</v>
      </c>
      <c r="P480" t="s">
        <v>36</v>
      </c>
      <c r="Q480" t="s">
        <v>37</v>
      </c>
      <c r="R480" t="s">
        <v>38</v>
      </c>
    </row>
    <row r="481" spans="1:18" x14ac:dyDescent="0.3">
      <c r="A481" t="s">
        <v>2224</v>
      </c>
      <c r="B481" s="13">
        <v>45499</v>
      </c>
      <c r="C481" t="s">
        <v>2225</v>
      </c>
      <c r="D481" t="s">
        <v>558</v>
      </c>
      <c r="E481" t="s">
        <v>202</v>
      </c>
      <c r="F481" t="s">
        <v>143</v>
      </c>
      <c r="G481" t="s">
        <v>23</v>
      </c>
      <c r="H481">
        <v>1</v>
      </c>
      <c r="I481">
        <v>237.09</v>
      </c>
      <c r="J481">
        <v>0</v>
      </c>
      <c r="K481">
        <v>28.45</v>
      </c>
      <c r="L481">
        <v>10.17</v>
      </c>
      <c r="M481">
        <v>275.70999999999998</v>
      </c>
      <c r="N481" t="s">
        <v>24</v>
      </c>
      <c r="O481" t="s">
        <v>25</v>
      </c>
      <c r="P481" t="s">
        <v>112</v>
      </c>
      <c r="Q481" t="s">
        <v>113</v>
      </c>
      <c r="R481" t="s">
        <v>38</v>
      </c>
    </row>
    <row r="482" spans="1:18" x14ac:dyDescent="0.3">
      <c r="A482" t="s">
        <v>2240</v>
      </c>
      <c r="B482" s="13">
        <v>45312</v>
      </c>
      <c r="C482" t="s">
        <v>2241</v>
      </c>
      <c r="D482" t="s">
        <v>1105</v>
      </c>
      <c r="E482" t="s">
        <v>498</v>
      </c>
      <c r="F482" t="s">
        <v>143</v>
      </c>
      <c r="G482" t="s">
        <v>90</v>
      </c>
      <c r="H482">
        <v>3</v>
      </c>
      <c r="I482">
        <v>416.67</v>
      </c>
      <c r="J482">
        <v>0.1</v>
      </c>
      <c r="K482">
        <v>56.25</v>
      </c>
      <c r="L482">
        <v>11.92</v>
      </c>
      <c r="M482">
        <v>1193.18</v>
      </c>
      <c r="N482" t="s">
        <v>67</v>
      </c>
      <c r="O482" t="s">
        <v>107</v>
      </c>
      <c r="P482" t="s">
        <v>117</v>
      </c>
      <c r="Q482" t="s">
        <v>118</v>
      </c>
      <c r="R482" t="s">
        <v>38</v>
      </c>
    </row>
    <row r="483" spans="1:18" x14ac:dyDescent="0.3">
      <c r="A483" t="s">
        <v>2244</v>
      </c>
      <c r="B483" s="13">
        <v>44999</v>
      </c>
      <c r="C483" t="s">
        <v>2245</v>
      </c>
      <c r="D483" t="s">
        <v>2246</v>
      </c>
      <c r="E483" t="s">
        <v>349</v>
      </c>
      <c r="F483" t="s">
        <v>143</v>
      </c>
      <c r="G483" t="s">
        <v>57</v>
      </c>
      <c r="H483">
        <v>1</v>
      </c>
      <c r="I483">
        <v>453.85</v>
      </c>
      <c r="J483">
        <v>0.2</v>
      </c>
      <c r="K483">
        <v>43.57</v>
      </c>
      <c r="L483">
        <v>2</v>
      </c>
      <c r="M483">
        <v>408.65</v>
      </c>
      <c r="N483" t="s">
        <v>123</v>
      </c>
      <c r="O483" t="s">
        <v>107</v>
      </c>
      <c r="P483" t="s">
        <v>60</v>
      </c>
      <c r="Q483" t="s">
        <v>37</v>
      </c>
      <c r="R483" t="s">
        <v>38</v>
      </c>
    </row>
    <row r="484" spans="1:18" x14ac:dyDescent="0.3">
      <c r="A484" t="s">
        <v>2257</v>
      </c>
      <c r="B484" s="13">
        <v>44515</v>
      </c>
      <c r="C484" t="s">
        <v>2258</v>
      </c>
      <c r="D484" t="s">
        <v>159</v>
      </c>
      <c r="E484" t="s">
        <v>42</v>
      </c>
      <c r="F484" t="s">
        <v>143</v>
      </c>
      <c r="G484" t="s">
        <v>198</v>
      </c>
      <c r="H484">
        <v>2</v>
      </c>
      <c r="I484">
        <v>466.37</v>
      </c>
      <c r="J484">
        <v>0.1</v>
      </c>
      <c r="K484">
        <v>67.16</v>
      </c>
      <c r="L484">
        <v>6.31</v>
      </c>
      <c r="M484">
        <v>912.94</v>
      </c>
      <c r="N484" t="s">
        <v>35</v>
      </c>
      <c r="O484" t="s">
        <v>25</v>
      </c>
      <c r="P484" t="s">
        <v>124</v>
      </c>
      <c r="Q484" t="s">
        <v>125</v>
      </c>
      <c r="R484" t="s">
        <v>38</v>
      </c>
    </row>
    <row r="485" spans="1:18" x14ac:dyDescent="0.3">
      <c r="A485" t="s">
        <v>2263</v>
      </c>
      <c r="B485" s="13">
        <v>45300</v>
      </c>
      <c r="C485" t="s">
        <v>2264</v>
      </c>
      <c r="D485" t="s">
        <v>312</v>
      </c>
      <c r="E485" t="s">
        <v>294</v>
      </c>
      <c r="F485" t="s">
        <v>143</v>
      </c>
      <c r="G485" t="s">
        <v>90</v>
      </c>
      <c r="H485">
        <v>4</v>
      </c>
      <c r="I485">
        <v>578.16999999999996</v>
      </c>
      <c r="J485">
        <v>0</v>
      </c>
      <c r="K485">
        <v>115.63</v>
      </c>
      <c r="L485">
        <v>0.88</v>
      </c>
      <c r="M485">
        <v>2429.19</v>
      </c>
      <c r="N485" t="s">
        <v>58</v>
      </c>
      <c r="O485" t="s">
        <v>25</v>
      </c>
      <c r="P485" t="s">
        <v>257</v>
      </c>
      <c r="Q485" t="s">
        <v>69</v>
      </c>
      <c r="R485" t="s">
        <v>28</v>
      </c>
    </row>
    <row r="486" spans="1:18" x14ac:dyDescent="0.3">
      <c r="A486" t="s">
        <v>2267</v>
      </c>
      <c r="B486" s="13">
        <v>44711</v>
      </c>
      <c r="C486" t="s">
        <v>2268</v>
      </c>
      <c r="D486" t="s">
        <v>749</v>
      </c>
      <c r="E486" t="s">
        <v>132</v>
      </c>
      <c r="F486" t="s">
        <v>143</v>
      </c>
      <c r="G486" t="s">
        <v>57</v>
      </c>
      <c r="H486">
        <v>2</v>
      </c>
      <c r="I486">
        <v>464.64</v>
      </c>
      <c r="J486">
        <v>0.05</v>
      </c>
      <c r="K486">
        <v>0</v>
      </c>
      <c r="L486">
        <v>4.32</v>
      </c>
      <c r="M486">
        <v>887.14</v>
      </c>
      <c r="N486" t="s">
        <v>123</v>
      </c>
      <c r="O486" t="s">
        <v>107</v>
      </c>
      <c r="P486" t="s">
        <v>133</v>
      </c>
      <c r="Q486" t="s">
        <v>134</v>
      </c>
      <c r="R486" t="s">
        <v>38</v>
      </c>
    </row>
    <row r="487" spans="1:18" x14ac:dyDescent="0.3">
      <c r="A487" t="s">
        <v>2272</v>
      </c>
      <c r="B487" s="13">
        <v>43864</v>
      </c>
      <c r="C487" t="s">
        <v>2273</v>
      </c>
      <c r="D487" t="s">
        <v>360</v>
      </c>
      <c r="E487" t="s">
        <v>386</v>
      </c>
      <c r="F487" t="s">
        <v>143</v>
      </c>
      <c r="G487" t="s">
        <v>198</v>
      </c>
      <c r="H487">
        <v>1</v>
      </c>
      <c r="I487">
        <v>452.51</v>
      </c>
      <c r="J487">
        <v>0.2</v>
      </c>
      <c r="K487">
        <v>28.96</v>
      </c>
      <c r="L487">
        <v>13.73</v>
      </c>
      <c r="M487">
        <v>404.7</v>
      </c>
      <c r="N487" t="s">
        <v>24</v>
      </c>
      <c r="O487" t="s">
        <v>107</v>
      </c>
      <c r="P487" t="s">
        <v>36</v>
      </c>
      <c r="Q487" t="s">
        <v>37</v>
      </c>
      <c r="R487" t="s">
        <v>76</v>
      </c>
    </row>
    <row r="488" spans="1:18" x14ac:dyDescent="0.3">
      <c r="A488" t="s">
        <v>2276</v>
      </c>
      <c r="B488" s="13">
        <v>43925</v>
      </c>
      <c r="C488" t="s">
        <v>2277</v>
      </c>
      <c r="D488" t="s">
        <v>957</v>
      </c>
      <c r="E488" t="s">
        <v>231</v>
      </c>
      <c r="F488" t="s">
        <v>143</v>
      </c>
      <c r="G488" t="s">
        <v>198</v>
      </c>
      <c r="H488">
        <v>3</v>
      </c>
      <c r="I488">
        <v>449.66</v>
      </c>
      <c r="J488">
        <v>0</v>
      </c>
      <c r="K488">
        <v>107.92</v>
      </c>
      <c r="L488">
        <v>0.12</v>
      </c>
      <c r="M488">
        <v>1457.02</v>
      </c>
      <c r="N488" t="s">
        <v>58</v>
      </c>
      <c r="O488" t="s">
        <v>25</v>
      </c>
      <c r="P488" t="s">
        <v>150</v>
      </c>
      <c r="Q488" t="s">
        <v>69</v>
      </c>
      <c r="R488" t="s">
        <v>38</v>
      </c>
    </row>
    <row r="489" spans="1:18" x14ac:dyDescent="0.3">
      <c r="A489" t="s">
        <v>2280</v>
      </c>
      <c r="B489" s="13">
        <v>45405</v>
      </c>
      <c r="C489" t="s">
        <v>2281</v>
      </c>
      <c r="D489" t="s">
        <v>662</v>
      </c>
      <c r="E489" t="s">
        <v>88</v>
      </c>
      <c r="F489" t="s">
        <v>143</v>
      </c>
      <c r="G489" t="s">
        <v>23</v>
      </c>
      <c r="H489">
        <v>1</v>
      </c>
      <c r="I489">
        <v>210.25</v>
      </c>
      <c r="J489">
        <v>0</v>
      </c>
      <c r="K489">
        <v>10.51</v>
      </c>
      <c r="L489">
        <v>1.21</v>
      </c>
      <c r="M489">
        <v>221.97</v>
      </c>
      <c r="N489" t="s">
        <v>123</v>
      </c>
      <c r="O489" t="s">
        <v>25</v>
      </c>
      <c r="P489" t="s">
        <v>150</v>
      </c>
      <c r="Q489" t="s">
        <v>69</v>
      </c>
      <c r="R489" t="s">
        <v>183</v>
      </c>
    </row>
    <row r="490" spans="1:18" x14ac:dyDescent="0.3">
      <c r="A490" t="s">
        <v>2294</v>
      </c>
      <c r="B490" s="13">
        <v>45160</v>
      </c>
      <c r="C490" t="s">
        <v>2295</v>
      </c>
      <c r="D490" t="s">
        <v>574</v>
      </c>
      <c r="E490" t="s">
        <v>287</v>
      </c>
      <c r="F490" t="s">
        <v>143</v>
      </c>
      <c r="G490" t="s">
        <v>49</v>
      </c>
      <c r="H490">
        <v>2</v>
      </c>
      <c r="I490">
        <v>427.16</v>
      </c>
      <c r="J490">
        <v>0</v>
      </c>
      <c r="K490">
        <v>102.52</v>
      </c>
      <c r="L490">
        <v>4.1500000000000004</v>
      </c>
      <c r="M490">
        <v>960.99</v>
      </c>
      <c r="N490" t="s">
        <v>123</v>
      </c>
      <c r="O490" t="s">
        <v>25</v>
      </c>
      <c r="P490" t="s">
        <v>36</v>
      </c>
      <c r="Q490" t="s">
        <v>37</v>
      </c>
      <c r="R490" t="s">
        <v>76</v>
      </c>
    </row>
    <row r="491" spans="1:18" x14ac:dyDescent="0.3">
      <c r="A491" t="s">
        <v>2296</v>
      </c>
      <c r="B491" s="13">
        <v>44098</v>
      </c>
      <c r="C491" t="s">
        <v>2297</v>
      </c>
      <c r="D491" t="s">
        <v>690</v>
      </c>
      <c r="E491" t="s">
        <v>156</v>
      </c>
      <c r="F491" t="s">
        <v>143</v>
      </c>
      <c r="G491" t="s">
        <v>268</v>
      </c>
      <c r="H491">
        <v>5</v>
      </c>
      <c r="I491">
        <v>498.31</v>
      </c>
      <c r="J491">
        <v>0</v>
      </c>
      <c r="K491">
        <v>199.32</v>
      </c>
      <c r="L491">
        <v>12.95</v>
      </c>
      <c r="M491">
        <v>2703.82</v>
      </c>
      <c r="N491" t="s">
        <v>67</v>
      </c>
      <c r="O491" t="s">
        <v>25</v>
      </c>
      <c r="P491" t="s">
        <v>165</v>
      </c>
      <c r="Q491" t="s">
        <v>37</v>
      </c>
      <c r="R491" t="s">
        <v>38</v>
      </c>
    </row>
    <row r="492" spans="1:18" x14ac:dyDescent="0.3">
      <c r="A492" t="s">
        <v>2304</v>
      </c>
      <c r="B492" s="13">
        <v>44820</v>
      </c>
      <c r="C492" t="s">
        <v>2305</v>
      </c>
      <c r="D492" t="s">
        <v>855</v>
      </c>
      <c r="E492" t="s">
        <v>577</v>
      </c>
      <c r="F492" t="s">
        <v>143</v>
      </c>
      <c r="G492" t="s">
        <v>100</v>
      </c>
      <c r="H492">
        <v>1</v>
      </c>
      <c r="I492">
        <v>202.33</v>
      </c>
      <c r="J492">
        <v>0</v>
      </c>
      <c r="K492">
        <v>10.119999999999999</v>
      </c>
      <c r="L492">
        <v>9.1</v>
      </c>
      <c r="M492">
        <v>221.55</v>
      </c>
      <c r="N492" t="s">
        <v>24</v>
      </c>
      <c r="O492" t="s">
        <v>25</v>
      </c>
      <c r="P492" t="s">
        <v>150</v>
      </c>
      <c r="Q492" t="s">
        <v>69</v>
      </c>
      <c r="R492" t="s">
        <v>28</v>
      </c>
    </row>
    <row r="493" spans="1:18" x14ac:dyDescent="0.3">
      <c r="A493" t="s">
        <v>2308</v>
      </c>
      <c r="B493" s="13">
        <v>44593</v>
      </c>
      <c r="C493" t="s">
        <v>2309</v>
      </c>
      <c r="D493" t="s">
        <v>424</v>
      </c>
      <c r="E493" t="s">
        <v>48</v>
      </c>
      <c r="F493" t="s">
        <v>143</v>
      </c>
      <c r="G493" t="s">
        <v>100</v>
      </c>
      <c r="H493">
        <v>1</v>
      </c>
      <c r="I493">
        <v>28.68</v>
      </c>
      <c r="J493">
        <v>0</v>
      </c>
      <c r="K493">
        <v>2.29</v>
      </c>
      <c r="L493">
        <v>4.46</v>
      </c>
      <c r="M493">
        <v>35.43</v>
      </c>
      <c r="N493" t="s">
        <v>35</v>
      </c>
      <c r="O493" t="s">
        <v>25</v>
      </c>
      <c r="P493" t="s">
        <v>145</v>
      </c>
      <c r="Q493" t="s">
        <v>146</v>
      </c>
      <c r="R493" t="s">
        <v>38</v>
      </c>
    </row>
    <row r="494" spans="1:18" x14ac:dyDescent="0.3">
      <c r="A494" t="s">
        <v>2318</v>
      </c>
      <c r="B494" s="13">
        <v>44749</v>
      </c>
      <c r="C494" t="s">
        <v>2319</v>
      </c>
      <c r="D494" t="s">
        <v>405</v>
      </c>
      <c r="E494" t="s">
        <v>425</v>
      </c>
      <c r="F494" t="s">
        <v>143</v>
      </c>
      <c r="G494" t="s">
        <v>23</v>
      </c>
      <c r="H494">
        <v>5</v>
      </c>
      <c r="I494">
        <v>137.56</v>
      </c>
      <c r="J494">
        <v>0</v>
      </c>
      <c r="K494">
        <v>34.39</v>
      </c>
      <c r="L494">
        <v>9.0399999999999991</v>
      </c>
      <c r="M494">
        <v>731.23</v>
      </c>
      <c r="N494" t="s">
        <v>123</v>
      </c>
      <c r="O494" t="s">
        <v>144</v>
      </c>
      <c r="P494" t="s">
        <v>83</v>
      </c>
      <c r="Q494" t="s">
        <v>84</v>
      </c>
      <c r="R494" t="s">
        <v>38</v>
      </c>
    </row>
    <row r="495" spans="1:18" x14ac:dyDescent="0.3">
      <c r="A495" t="s">
        <v>29</v>
      </c>
      <c r="B495" s="13">
        <v>45290</v>
      </c>
      <c r="C495" t="s">
        <v>30</v>
      </c>
      <c r="D495" t="s">
        <v>31</v>
      </c>
      <c r="E495" t="s">
        <v>32</v>
      </c>
      <c r="F495" t="s">
        <v>33</v>
      </c>
      <c r="G495" t="s">
        <v>34</v>
      </c>
      <c r="H495">
        <v>1</v>
      </c>
      <c r="I495">
        <v>251.37</v>
      </c>
      <c r="J495">
        <v>0.05</v>
      </c>
      <c r="K495">
        <v>19.100000000000001</v>
      </c>
      <c r="L495">
        <v>1.74</v>
      </c>
      <c r="M495">
        <v>259.64</v>
      </c>
      <c r="N495" t="s">
        <v>35</v>
      </c>
      <c r="O495" t="s">
        <v>25</v>
      </c>
      <c r="P495" t="s">
        <v>36</v>
      </c>
      <c r="Q495" t="s">
        <v>37</v>
      </c>
      <c r="R495" t="s">
        <v>38</v>
      </c>
    </row>
    <row r="496" spans="1:18" x14ac:dyDescent="0.3">
      <c r="A496" t="s">
        <v>45</v>
      </c>
      <c r="B496" s="13">
        <v>45125</v>
      </c>
      <c r="C496" t="s">
        <v>46</v>
      </c>
      <c r="D496" t="s">
        <v>47</v>
      </c>
      <c r="E496" t="s">
        <v>48</v>
      </c>
      <c r="F496" t="s">
        <v>33</v>
      </c>
      <c r="G496" t="s">
        <v>49</v>
      </c>
      <c r="H496">
        <v>5</v>
      </c>
      <c r="I496">
        <v>33.58</v>
      </c>
      <c r="J496">
        <v>0.15</v>
      </c>
      <c r="K496">
        <v>11.42</v>
      </c>
      <c r="L496">
        <v>5.53</v>
      </c>
      <c r="M496">
        <v>159.66</v>
      </c>
      <c r="N496" t="s">
        <v>50</v>
      </c>
      <c r="O496" t="s">
        <v>25</v>
      </c>
      <c r="P496" t="s">
        <v>51</v>
      </c>
      <c r="Q496" t="s">
        <v>52</v>
      </c>
      <c r="R496" t="s">
        <v>28</v>
      </c>
    </row>
    <row r="497" spans="1:18" x14ac:dyDescent="0.3">
      <c r="A497" t="s">
        <v>103</v>
      </c>
      <c r="B497" s="13">
        <v>45069</v>
      </c>
      <c r="C497" t="s">
        <v>104</v>
      </c>
      <c r="D497" t="s">
        <v>105</v>
      </c>
      <c r="E497" t="s">
        <v>106</v>
      </c>
      <c r="F497" t="s">
        <v>33</v>
      </c>
      <c r="G497" t="s">
        <v>57</v>
      </c>
      <c r="H497">
        <v>5</v>
      </c>
      <c r="I497">
        <v>346.56</v>
      </c>
      <c r="J497">
        <v>0.05</v>
      </c>
      <c r="K497">
        <v>131.69</v>
      </c>
      <c r="L497">
        <v>13.38</v>
      </c>
      <c r="M497">
        <v>1791.23</v>
      </c>
      <c r="N497" t="s">
        <v>58</v>
      </c>
      <c r="O497" t="s">
        <v>107</v>
      </c>
      <c r="P497" t="s">
        <v>51</v>
      </c>
      <c r="Q497" t="s">
        <v>52</v>
      </c>
      <c r="R497" t="s">
        <v>76</v>
      </c>
    </row>
    <row r="498" spans="1:18" x14ac:dyDescent="0.3">
      <c r="A498" t="s">
        <v>108</v>
      </c>
      <c r="B498" s="13">
        <v>44161</v>
      </c>
      <c r="C498" t="s">
        <v>109</v>
      </c>
      <c r="D498" t="s">
        <v>110</v>
      </c>
      <c r="E498" t="s">
        <v>111</v>
      </c>
      <c r="F498" t="s">
        <v>33</v>
      </c>
      <c r="G498" t="s">
        <v>49</v>
      </c>
      <c r="H498">
        <v>4</v>
      </c>
      <c r="I498">
        <v>496.76</v>
      </c>
      <c r="J498">
        <v>0.05</v>
      </c>
      <c r="K498">
        <v>94.38</v>
      </c>
      <c r="L498">
        <v>4.43</v>
      </c>
      <c r="M498">
        <v>1986.5</v>
      </c>
      <c r="N498" t="s">
        <v>67</v>
      </c>
      <c r="O498" t="s">
        <v>25</v>
      </c>
      <c r="P498" t="s">
        <v>112</v>
      </c>
      <c r="Q498" t="s">
        <v>113</v>
      </c>
      <c r="R498" t="s">
        <v>38</v>
      </c>
    </row>
    <row r="499" spans="1:18" x14ac:dyDescent="0.3">
      <c r="A499" t="s">
        <v>114</v>
      </c>
      <c r="B499" s="13">
        <v>45313</v>
      </c>
      <c r="C499" t="s">
        <v>115</v>
      </c>
      <c r="D499" t="s">
        <v>116</v>
      </c>
      <c r="E499" t="s">
        <v>32</v>
      </c>
      <c r="F499" t="s">
        <v>33</v>
      </c>
      <c r="G499" t="s">
        <v>90</v>
      </c>
      <c r="H499">
        <v>3</v>
      </c>
      <c r="I499">
        <v>523.27</v>
      </c>
      <c r="J499">
        <v>0</v>
      </c>
      <c r="K499">
        <v>188.38</v>
      </c>
      <c r="L499">
        <v>8.0399999999999991</v>
      </c>
      <c r="M499">
        <v>1766.23</v>
      </c>
      <c r="N499" t="s">
        <v>24</v>
      </c>
      <c r="O499" t="s">
        <v>107</v>
      </c>
      <c r="P499" t="s">
        <v>117</v>
      </c>
      <c r="Q499" t="s">
        <v>118</v>
      </c>
      <c r="R499" t="s">
        <v>38</v>
      </c>
    </row>
    <row r="500" spans="1:18" x14ac:dyDescent="0.3">
      <c r="A500" t="s">
        <v>129</v>
      </c>
      <c r="B500" s="13">
        <v>44954</v>
      </c>
      <c r="C500" t="s">
        <v>130</v>
      </c>
      <c r="D500" t="s">
        <v>131</v>
      </c>
      <c r="E500" t="s">
        <v>132</v>
      </c>
      <c r="F500" t="s">
        <v>33</v>
      </c>
      <c r="G500" t="s">
        <v>49</v>
      </c>
      <c r="H500">
        <v>4</v>
      </c>
      <c r="I500">
        <v>453.47</v>
      </c>
      <c r="J500">
        <v>0.1</v>
      </c>
      <c r="K500">
        <v>0</v>
      </c>
      <c r="L500">
        <v>4.3899999999999997</v>
      </c>
      <c r="M500">
        <v>1636.88</v>
      </c>
      <c r="N500" t="s">
        <v>35</v>
      </c>
      <c r="O500" t="s">
        <v>25</v>
      </c>
      <c r="P500" t="s">
        <v>133</v>
      </c>
      <c r="Q500" t="s">
        <v>134</v>
      </c>
      <c r="R500" t="s">
        <v>38</v>
      </c>
    </row>
    <row r="501" spans="1:18" x14ac:dyDescent="0.3">
      <c r="A501" t="s">
        <v>221</v>
      </c>
      <c r="B501" s="13">
        <v>45415</v>
      </c>
      <c r="C501" t="s">
        <v>222</v>
      </c>
      <c r="D501" t="s">
        <v>223</v>
      </c>
      <c r="E501" t="s">
        <v>32</v>
      </c>
      <c r="F501" t="s">
        <v>33</v>
      </c>
      <c r="G501" t="s">
        <v>198</v>
      </c>
      <c r="H501">
        <v>5</v>
      </c>
      <c r="I501">
        <v>512.88</v>
      </c>
      <c r="J501">
        <v>0.25</v>
      </c>
      <c r="K501">
        <v>96.17</v>
      </c>
      <c r="L501">
        <v>11.33</v>
      </c>
      <c r="M501">
        <v>2030.8</v>
      </c>
      <c r="N501" t="s">
        <v>35</v>
      </c>
      <c r="O501" t="s">
        <v>25</v>
      </c>
      <c r="P501" t="s">
        <v>60</v>
      </c>
      <c r="Q501" t="s">
        <v>37</v>
      </c>
      <c r="R501" t="s">
        <v>183</v>
      </c>
    </row>
    <row r="502" spans="1:18" x14ac:dyDescent="0.3">
      <c r="A502" t="s">
        <v>232</v>
      </c>
      <c r="B502" s="13">
        <v>45536</v>
      </c>
      <c r="C502" t="s">
        <v>233</v>
      </c>
      <c r="D502" t="s">
        <v>234</v>
      </c>
      <c r="E502" t="s">
        <v>88</v>
      </c>
      <c r="F502" t="s">
        <v>33</v>
      </c>
      <c r="G502" t="s">
        <v>198</v>
      </c>
      <c r="H502">
        <v>4</v>
      </c>
      <c r="I502">
        <v>109.59</v>
      </c>
      <c r="J502">
        <v>0</v>
      </c>
      <c r="K502">
        <v>35.07</v>
      </c>
      <c r="L502">
        <v>7.59</v>
      </c>
      <c r="M502">
        <v>481.02</v>
      </c>
      <c r="N502" t="s">
        <v>35</v>
      </c>
      <c r="O502" t="s">
        <v>25</v>
      </c>
      <c r="P502" t="s">
        <v>150</v>
      </c>
      <c r="Q502" t="s">
        <v>69</v>
      </c>
      <c r="R502" t="s">
        <v>28</v>
      </c>
    </row>
    <row r="503" spans="1:18" x14ac:dyDescent="0.3">
      <c r="A503" t="s">
        <v>274</v>
      </c>
      <c r="B503" s="13">
        <v>45359</v>
      </c>
      <c r="C503" t="s">
        <v>275</v>
      </c>
      <c r="D503" t="s">
        <v>276</v>
      </c>
      <c r="E503" t="s">
        <v>42</v>
      </c>
      <c r="F503" t="s">
        <v>33</v>
      </c>
      <c r="G503" t="s">
        <v>90</v>
      </c>
      <c r="H503">
        <v>4</v>
      </c>
      <c r="I503">
        <v>364.08</v>
      </c>
      <c r="J503">
        <v>0.25</v>
      </c>
      <c r="K503">
        <v>131.07</v>
      </c>
      <c r="L503">
        <v>12.95</v>
      </c>
      <c r="M503">
        <v>1236.26</v>
      </c>
      <c r="N503" t="s">
        <v>58</v>
      </c>
      <c r="O503" t="s">
        <v>82</v>
      </c>
      <c r="P503" t="s">
        <v>74</v>
      </c>
      <c r="Q503" t="s">
        <v>75</v>
      </c>
      <c r="R503" t="s">
        <v>38</v>
      </c>
    </row>
    <row r="504" spans="1:18" x14ac:dyDescent="0.3">
      <c r="A504" t="s">
        <v>295</v>
      </c>
      <c r="B504" s="13">
        <v>43997</v>
      </c>
      <c r="C504" t="s">
        <v>296</v>
      </c>
      <c r="D504" t="s">
        <v>297</v>
      </c>
      <c r="E504" t="s">
        <v>132</v>
      </c>
      <c r="F504" t="s">
        <v>33</v>
      </c>
      <c r="G504" t="s">
        <v>66</v>
      </c>
      <c r="H504">
        <v>3</v>
      </c>
      <c r="I504">
        <v>131.36000000000001</v>
      </c>
      <c r="J504">
        <v>0</v>
      </c>
      <c r="K504">
        <v>70.930000000000007</v>
      </c>
      <c r="L504">
        <v>7.25</v>
      </c>
      <c r="M504">
        <v>472.26</v>
      </c>
      <c r="N504" t="s">
        <v>67</v>
      </c>
      <c r="O504" t="s">
        <v>25</v>
      </c>
      <c r="P504" t="s">
        <v>51</v>
      </c>
      <c r="Q504" t="s">
        <v>52</v>
      </c>
      <c r="R504" t="s">
        <v>61</v>
      </c>
    </row>
    <row r="505" spans="1:18" x14ac:dyDescent="0.3">
      <c r="A505" t="s">
        <v>308</v>
      </c>
      <c r="B505" s="13">
        <v>43844</v>
      </c>
      <c r="C505" t="s">
        <v>309</v>
      </c>
      <c r="D505" t="s">
        <v>137</v>
      </c>
      <c r="E505" t="s">
        <v>99</v>
      </c>
      <c r="F505" t="s">
        <v>33</v>
      </c>
      <c r="G505" t="s">
        <v>23</v>
      </c>
      <c r="H505">
        <v>4</v>
      </c>
      <c r="I505">
        <v>203.84</v>
      </c>
      <c r="J505">
        <v>0.1</v>
      </c>
      <c r="K505">
        <v>36.69</v>
      </c>
      <c r="L505">
        <v>13.68</v>
      </c>
      <c r="M505">
        <v>784.19</v>
      </c>
      <c r="N505" t="s">
        <v>123</v>
      </c>
      <c r="O505" t="s">
        <v>25</v>
      </c>
      <c r="P505" t="s">
        <v>51</v>
      </c>
      <c r="Q505" t="s">
        <v>52</v>
      </c>
      <c r="R505" t="s">
        <v>28</v>
      </c>
    </row>
    <row r="506" spans="1:18" x14ac:dyDescent="0.3">
      <c r="A506" t="s">
        <v>321</v>
      </c>
      <c r="B506" s="13">
        <v>44728</v>
      </c>
      <c r="C506" t="s">
        <v>322</v>
      </c>
      <c r="D506" t="s">
        <v>323</v>
      </c>
      <c r="E506" t="s">
        <v>324</v>
      </c>
      <c r="F506" t="s">
        <v>33</v>
      </c>
      <c r="G506" t="s">
        <v>49</v>
      </c>
      <c r="H506">
        <v>3</v>
      </c>
      <c r="I506">
        <v>137.1</v>
      </c>
      <c r="J506">
        <v>0</v>
      </c>
      <c r="K506">
        <v>32.9</v>
      </c>
      <c r="L506">
        <v>12.88</v>
      </c>
      <c r="M506">
        <v>457.08</v>
      </c>
      <c r="N506" t="s">
        <v>35</v>
      </c>
      <c r="O506" t="s">
        <v>107</v>
      </c>
      <c r="P506" t="s">
        <v>101</v>
      </c>
      <c r="Q506" t="s">
        <v>102</v>
      </c>
      <c r="R506" t="s">
        <v>38</v>
      </c>
    </row>
    <row r="507" spans="1:18" x14ac:dyDescent="0.3">
      <c r="A507" t="s">
        <v>328</v>
      </c>
      <c r="B507" s="13">
        <v>43922</v>
      </c>
      <c r="C507" t="s">
        <v>329</v>
      </c>
      <c r="D507" t="s">
        <v>330</v>
      </c>
      <c r="E507" t="s">
        <v>138</v>
      </c>
      <c r="F507" t="s">
        <v>33</v>
      </c>
      <c r="G507" t="s">
        <v>203</v>
      </c>
      <c r="H507">
        <v>2</v>
      </c>
      <c r="I507">
        <v>522.55999999999995</v>
      </c>
      <c r="J507">
        <v>0</v>
      </c>
      <c r="K507">
        <v>83.61</v>
      </c>
      <c r="L507">
        <v>0.43</v>
      </c>
      <c r="M507">
        <v>1129.1600000000001</v>
      </c>
      <c r="N507" t="s">
        <v>58</v>
      </c>
      <c r="O507" t="s">
        <v>107</v>
      </c>
      <c r="P507" t="s">
        <v>124</v>
      </c>
      <c r="Q507" t="s">
        <v>125</v>
      </c>
      <c r="R507" t="s">
        <v>38</v>
      </c>
    </row>
    <row r="508" spans="1:18" x14ac:dyDescent="0.3">
      <c r="A508" t="s">
        <v>344</v>
      </c>
      <c r="B508" s="13">
        <v>44339</v>
      </c>
      <c r="C508" t="s">
        <v>345</v>
      </c>
      <c r="D508" t="s">
        <v>346</v>
      </c>
      <c r="E508" t="s">
        <v>243</v>
      </c>
      <c r="F508" t="s">
        <v>33</v>
      </c>
      <c r="G508" t="s">
        <v>203</v>
      </c>
      <c r="H508">
        <v>2</v>
      </c>
      <c r="I508">
        <v>76.97</v>
      </c>
      <c r="J508">
        <v>0</v>
      </c>
      <c r="K508">
        <v>7.7</v>
      </c>
      <c r="L508">
        <v>4.91</v>
      </c>
      <c r="M508">
        <v>166.55</v>
      </c>
      <c r="N508" t="s">
        <v>24</v>
      </c>
      <c r="O508" t="s">
        <v>25</v>
      </c>
      <c r="P508" t="s">
        <v>74</v>
      </c>
      <c r="Q508" t="s">
        <v>75</v>
      </c>
      <c r="R508" t="s">
        <v>76</v>
      </c>
    </row>
    <row r="509" spans="1:18" x14ac:dyDescent="0.3">
      <c r="A509" t="s">
        <v>353</v>
      </c>
      <c r="B509" s="13">
        <v>44036</v>
      </c>
      <c r="C509" t="s">
        <v>354</v>
      </c>
      <c r="D509" t="s">
        <v>186</v>
      </c>
      <c r="E509" t="s">
        <v>73</v>
      </c>
      <c r="F509" t="s">
        <v>33</v>
      </c>
      <c r="G509" t="s">
        <v>66</v>
      </c>
      <c r="H509">
        <v>3</v>
      </c>
      <c r="I509">
        <v>335.1</v>
      </c>
      <c r="J509">
        <v>0.1</v>
      </c>
      <c r="K509">
        <v>72.38</v>
      </c>
      <c r="L509">
        <v>4.24</v>
      </c>
      <c r="M509">
        <v>981.39</v>
      </c>
      <c r="N509" t="s">
        <v>35</v>
      </c>
      <c r="O509" t="s">
        <v>107</v>
      </c>
      <c r="P509" t="s">
        <v>74</v>
      </c>
      <c r="Q509" t="s">
        <v>75</v>
      </c>
      <c r="R509" t="s">
        <v>38</v>
      </c>
    </row>
    <row r="510" spans="1:18" x14ac:dyDescent="0.3">
      <c r="A510" t="s">
        <v>380</v>
      </c>
      <c r="B510" s="13">
        <v>44533</v>
      </c>
      <c r="C510" t="s">
        <v>381</v>
      </c>
      <c r="D510" t="s">
        <v>382</v>
      </c>
      <c r="E510" t="s">
        <v>231</v>
      </c>
      <c r="F510" t="s">
        <v>33</v>
      </c>
      <c r="G510" t="s">
        <v>34</v>
      </c>
      <c r="H510">
        <v>5</v>
      </c>
      <c r="I510">
        <v>138.56</v>
      </c>
      <c r="J510">
        <v>0.2</v>
      </c>
      <c r="K510">
        <v>27.71</v>
      </c>
      <c r="L510">
        <v>7.71</v>
      </c>
      <c r="M510">
        <v>589.66</v>
      </c>
      <c r="N510" t="s">
        <v>67</v>
      </c>
      <c r="O510" t="s">
        <v>107</v>
      </c>
      <c r="P510" t="s">
        <v>178</v>
      </c>
      <c r="Q510" t="s">
        <v>69</v>
      </c>
      <c r="R510" t="s">
        <v>38</v>
      </c>
    </row>
    <row r="511" spans="1:18" x14ac:dyDescent="0.3">
      <c r="A511" t="s">
        <v>408</v>
      </c>
      <c r="B511" s="13">
        <v>44286</v>
      </c>
      <c r="C511" t="s">
        <v>409</v>
      </c>
      <c r="D511" t="s">
        <v>410</v>
      </c>
      <c r="E511" t="s">
        <v>190</v>
      </c>
      <c r="F511" t="s">
        <v>33</v>
      </c>
      <c r="G511" t="s">
        <v>90</v>
      </c>
      <c r="H511">
        <v>2</v>
      </c>
      <c r="I511">
        <v>159.82</v>
      </c>
      <c r="J511">
        <v>0.05</v>
      </c>
      <c r="K511">
        <v>15.18</v>
      </c>
      <c r="L511">
        <v>2.5499999999999998</v>
      </c>
      <c r="M511">
        <v>321.39</v>
      </c>
      <c r="N511" t="s">
        <v>24</v>
      </c>
      <c r="O511" t="s">
        <v>25</v>
      </c>
      <c r="P511" t="s">
        <v>150</v>
      </c>
      <c r="Q511" t="s">
        <v>69</v>
      </c>
      <c r="R511" t="s">
        <v>38</v>
      </c>
    </row>
    <row r="512" spans="1:18" x14ac:dyDescent="0.3">
      <c r="A512" t="s">
        <v>441</v>
      </c>
      <c r="B512" s="13">
        <v>44907</v>
      </c>
      <c r="C512" t="s">
        <v>442</v>
      </c>
      <c r="D512" t="s">
        <v>282</v>
      </c>
      <c r="E512" t="s">
        <v>256</v>
      </c>
      <c r="F512" t="s">
        <v>33</v>
      </c>
      <c r="G512" t="s">
        <v>34</v>
      </c>
      <c r="H512">
        <v>3</v>
      </c>
      <c r="I512">
        <v>167.08</v>
      </c>
      <c r="J512">
        <v>0</v>
      </c>
      <c r="K512">
        <v>40.1</v>
      </c>
      <c r="L512">
        <v>7.29</v>
      </c>
      <c r="M512">
        <v>548.63</v>
      </c>
      <c r="N512" t="s">
        <v>35</v>
      </c>
      <c r="O512" t="s">
        <v>25</v>
      </c>
      <c r="P512" t="s">
        <v>68</v>
      </c>
      <c r="Q512" t="s">
        <v>69</v>
      </c>
      <c r="R512" t="s">
        <v>38</v>
      </c>
    </row>
    <row r="513" spans="1:18" x14ac:dyDescent="0.3">
      <c r="A513" t="s">
        <v>451</v>
      </c>
      <c r="B513" s="13">
        <v>44018</v>
      </c>
      <c r="C513" t="s">
        <v>452</v>
      </c>
      <c r="D513" t="s">
        <v>98</v>
      </c>
      <c r="E513" t="s">
        <v>243</v>
      </c>
      <c r="F513" t="s">
        <v>33</v>
      </c>
      <c r="G513" t="s">
        <v>198</v>
      </c>
      <c r="H513">
        <v>2</v>
      </c>
      <c r="I513">
        <v>433.24</v>
      </c>
      <c r="J513">
        <v>0.05</v>
      </c>
      <c r="K513">
        <v>98.78</v>
      </c>
      <c r="L513">
        <v>10.23</v>
      </c>
      <c r="M513">
        <v>932.17</v>
      </c>
      <c r="N513" t="s">
        <v>50</v>
      </c>
      <c r="O513" t="s">
        <v>107</v>
      </c>
      <c r="P513" t="s">
        <v>133</v>
      </c>
      <c r="Q513" t="s">
        <v>134</v>
      </c>
      <c r="R513" t="s">
        <v>38</v>
      </c>
    </row>
    <row r="514" spans="1:18" x14ac:dyDescent="0.3">
      <c r="A514" t="s">
        <v>461</v>
      </c>
      <c r="B514" s="13">
        <v>45011</v>
      </c>
      <c r="C514" t="s">
        <v>462</v>
      </c>
      <c r="D514" t="s">
        <v>193</v>
      </c>
      <c r="E514" t="s">
        <v>267</v>
      </c>
      <c r="F514" t="s">
        <v>33</v>
      </c>
      <c r="G514" t="s">
        <v>66</v>
      </c>
      <c r="H514">
        <v>1</v>
      </c>
      <c r="I514">
        <v>18.66</v>
      </c>
      <c r="J514">
        <v>0</v>
      </c>
      <c r="K514">
        <v>0.93</v>
      </c>
      <c r="L514">
        <v>5.03</v>
      </c>
      <c r="M514">
        <v>24.62</v>
      </c>
      <c r="N514" t="s">
        <v>35</v>
      </c>
      <c r="O514" t="s">
        <v>25</v>
      </c>
      <c r="P514" t="s">
        <v>178</v>
      </c>
      <c r="Q514" t="s">
        <v>69</v>
      </c>
      <c r="R514" t="s">
        <v>38</v>
      </c>
    </row>
    <row r="515" spans="1:18" x14ac:dyDescent="0.3">
      <c r="A515" t="s">
        <v>473</v>
      </c>
      <c r="B515" s="13">
        <v>44983</v>
      </c>
      <c r="C515" t="s">
        <v>474</v>
      </c>
      <c r="D515" t="s">
        <v>121</v>
      </c>
      <c r="E515" t="s">
        <v>267</v>
      </c>
      <c r="F515" t="s">
        <v>33</v>
      </c>
      <c r="G515" t="s">
        <v>49</v>
      </c>
      <c r="H515">
        <v>5</v>
      </c>
      <c r="I515">
        <v>141.31</v>
      </c>
      <c r="J515">
        <v>0.15</v>
      </c>
      <c r="K515">
        <v>72.069999999999993</v>
      </c>
      <c r="L515">
        <v>14.56</v>
      </c>
      <c r="M515">
        <v>687.2</v>
      </c>
      <c r="N515" t="s">
        <v>24</v>
      </c>
      <c r="O515" t="s">
        <v>25</v>
      </c>
      <c r="P515" t="s">
        <v>83</v>
      </c>
      <c r="Q515" t="s">
        <v>84</v>
      </c>
      <c r="R515" t="s">
        <v>38</v>
      </c>
    </row>
    <row r="516" spans="1:18" x14ac:dyDescent="0.3">
      <c r="A516" t="s">
        <v>512</v>
      </c>
      <c r="B516" s="13">
        <v>44061</v>
      </c>
      <c r="C516" t="s">
        <v>513</v>
      </c>
      <c r="D516" t="s">
        <v>514</v>
      </c>
      <c r="E516" t="s">
        <v>365</v>
      </c>
      <c r="F516" t="s">
        <v>33</v>
      </c>
      <c r="G516" t="s">
        <v>34</v>
      </c>
      <c r="H516">
        <v>5</v>
      </c>
      <c r="I516">
        <v>544.52</v>
      </c>
      <c r="J516">
        <v>0.25</v>
      </c>
      <c r="K516">
        <v>245.03</v>
      </c>
      <c r="L516">
        <v>2.79</v>
      </c>
      <c r="M516">
        <v>2289.77</v>
      </c>
      <c r="N516" t="s">
        <v>50</v>
      </c>
      <c r="O516" t="s">
        <v>82</v>
      </c>
      <c r="P516" t="s">
        <v>60</v>
      </c>
      <c r="Q516" t="s">
        <v>37</v>
      </c>
      <c r="R516" t="s">
        <v>38</v>
      </c>
    </row>
    <row r="517" spans="1:18" x14ac:dyDescent="0.3">
      <c r="A517" t="s">
        <v>523</v>
      </c>
      <c r="B517" s="13">
        <v>43965</v>
      </c>
      <c r="C517" t="s">
        <v>524</v>
      </c>
      <c r="D517" t="s">
        <v>525</v>
      </c>
      <c r="E517" t="s">
        <v>220</v>
      </c>
      <c r="F517" t="s">
        <v>33</v>
      </c>
      <c r="G517" t="s">
        <v>100</v>
      </c>
      <c r="H517">
        <v>4</v>
      </c>
      <c r="I517">
        <v>596.79999999999995</v>
      </c>
      <c r="J517">
        <v>0.05</v>
      </c>
      <c r="K517">
        <v>272.14</v>
      </c>
      <c r="L517">
        <v>2.1</v>
      </c>
      <c r="M517">
        <v>2542.08</v>
      </c>
      <c r="N517" t="s">
        <v>58</v>
      </c>
      <c r="O517" t="s">
        <v>25</v>
      </c>
      <c r="P517" t="s">
        <v>26</v>
      </c>
      <c r="Q517" t="s">
        <v>27</v>
      </c>
      <c r="R517" t="s">
        <v>28</v>
      </c>
    </row>
    <row r="518" spans="1:18" x14ac:dyDescent="0.3">
      <c r="A518" t="s">
        <v>556</v>
      </c>
      <c r="B518" s="13">
        <v>44556</v>
      </c>
      <c r="C518" t="s">
        <v>557</v>
      </c>
      <c r="D518" t="s">
        <v>558</v>
      </c>
      <c r="E518" t="s">
        <v>349</v>
      </c>
      <c r="F518" t="s">
        <v>33</v>
      </c>
      <c r="G518" t="s">
        <v>198</v>
      </c>
      <c r="H518">
        <v>3</v>
      </c>
      <c r="I518">
        <v>479.99</v>
      </c>
      <c r="J518">
        <v>0.25</v>
      </c>
      <c r="K518">
        <v>129.6</v>
      </c>
      <c r="L518">
        <v>8.69</v>
      </c>
      <c r="M518">
        <v>1218.27</v>
      </c>
      <c r="N518" t="s">
        <v>67</v>
      </c>
      <c r="O518" t="s">
        <v>25</v>
      </c>
      <c r="P518" t="s">
        <v>44</v>
      </c>
      <c r="Q518" t="s">
        <v>37</v>
      </c>
      <c r="R518" t="s">
        <v>38</v>
      </c>
    </row>
    <row r="519" spans="1:18" x14ac:dyDescent="0.3">
      <c r="A519" t="s">
        <v>567</v>
      </c>
      <c r="B519" s="13">
        <v>44443</v>
      </c>
      <c r="C519" t="s">
        <v>568</v>
      </c>
      <c r="D519" t="s">
        <v>569</v>
      </c>
      <c r="E519" t="s">
        <v>138</v>
      </c>
      <c r="F519" t="s">
        <v>33</v>
      </c>
      <c r="G519" t="s">
        <v>66</v>
      </c>
      <c r="H519">
        <v>3</v>
      </c>
      <c r="I519">
        <v>38.53</v>
      </c>
      <c r="J519">
        <v>0</v>
      </c>
      <c r="K519">
        <v>5.78</v>
      </c>
      <c r="L519">
        <v>8.4</v>
      </c>
      <c r="M519">
        <v>129.77000000000001</v>
      </c>
      <c r="N519" t="s">
        <v>24</v>
      </c>
      <c r="O519" t="s">
        <v>25</v>
      </c>
      <c r="P519" t="s">
        <v>60</v>
      </c>
      <c r="Q519" t="s">
        <v>37</v>
      </c>
      <c r="R519" t="s">
        <v>38</v>
      </c>
    </row>
    <row r="520" spans="1:18" x14ac:dyDescent="0.3">
      <c r="A520" t="s">
        <v>575</v>
      </c>
      <c r="B520" s="13">
        <v>45623</v>
      </c>
      <c r="C520" t="s">
        <v>576</v>
      </c>
      <c r="D520" t="s">
        <v>333</v>
      </c>
      <c r="E520" t="s">
        <v>577</v>
      </c>
      <c r="F520" t="s">
        <v>33</v>
      </c>
      <c r="G520" t="s">
        <v>34</v>
      </c>
      <c r="H520">
        <v>2</v>
      </c>
      <c r="I520">
        <v>82.5</v>
      </c>
      <c r="J520">
        <v>0.05</v>
      </c>
      <c r="K520">
        <v>18.809999999999999</v>
      </c>
      <c r="L520">
        <v>13.79</v>
      </c>
      <c r="M520">
        <v>189.35</v>
      </c>
      <c r="N520" t="s">
        <v>58</v>
      </c>
      <c r="O520" t="s">
        <v>25</v>
      </c>
      <c r="P520" t="s">
        <v>178</v>
      </c>
      <c r="Q520" t="s">
        <v>69</v>
      </c>
      <c r="R520" t="s">
        <v>38</v>
      </c>
    </row>
    <row r="521" spans="1:18" x14ac:dyDescent="0.3">
      <c r="A521" t="s">
        <v>578</v>
      </c>
      <c r="B521" s="13">
        <v>44859</v>
      </c>
      <c r="C521" t="s">
        <v>579</v>
      </c>
      <c r="D521" t="s">
        <v>472</v>
      </c>
      <c r="E521" t="s">
        <v>122</v>
      </c>
      <c r="F521" t="s">
        <v>33</v>
      </c>
      <c r="G521" t="s">
        <v>57</v>
      </c>
      <c r="H521">
        <v>4</v>
      </c>
      <c r="I521">
        <v>298.95999999999998</v>
      </c>
      <c r="J521">
        <v>0.1</v>
      </c>
      <c r="K521">
        <v>86.1</v>
      </c>
      <c r="L521">
        <v>3.63</v>
      </c>
      <c r="M521">
        <v>1165.99</v>
      </c>
      <c r="N521" t="s">
        <v>35</v>
      </c>
      <c r="O521" t="s">
        <v>25</v>
      </c>
      <c r="P521" t="s">
        <v>101</v>
      </c>
      <c r="Q521" t="s">
        <v>102</v>
      </c>
      <c r="R521" t="s">
        <v>38</v>
      </c>
    </row>
    <row r="522" spans="1:18" x14ac:dyDescent="0.3">
      <c r="A522" t="s">
        <v>611</v>
      </c>
      <c r="B522" s="13">
        <v>45429</v>
      </c>
      <c r="C522" t="s">
        <v>612</v>
      </c>
      <c r="D522" t="s">
        <v>613</v>
      </c>
      <c r="E522" t="s">
        <v>156</v>
      </c>
      <c r="F522" t="s">
        <v>33</v>
      </c>
      <c r="G522" t="s">
        <v>66</v>
      </c>
      <c r="H522">
        <v>2</v>
      </c>
      <c r="I522">
        <v>531.4</v>
      </c>
      <c r="J522">
        <v>0</v>
      </c>
      <c r="K522">
        <v>127.54</v>
      </c>
      <c r="L522">
        <v>4.49</v>
      </c>
      <c r="M522">
        <v>1194.83</v>
      </c>
      <c r="N522" t="s">
        <v>50</v>
      </c>
      <c r="O522" t="s">
        <v>25</v>
      </c>
      <c r="P522" t="s">
        <v>165</v>
      </c>
      <c r="Q522" t="s">
        <v>37</v>
      </c>
      <c r="R522" t="s">
        <v>38</v>
      </c>
    </row>
    <row r="523" spans="1:18" x14ac:dyDescent="0.3">
      <c r="A523" t="s">
        <v>619</v>
      </c>
      <c r="B523" s="13">
        <v>45095</v>
      </c>
      <c r="C523" t="s">
        <v>620</v>
      </c>
      <c r="D523" t="s">
        <v>511</v>
      </c>
      <c r="E523" t="s">
        <v>132</v>
      </c>
      <c r="F523" t="s">
        <v>33</v>
      </c>
      <c r="G523" t="s">
        <v>198</v>
      </c>
      <c r="H523">
        <v>3</v>
      </c>
      <c r="I523">
        <v>99.26</v>
      </c>
      <c r="J523">
        <v>0</v>
      </c>
      <c r="K523">
        <v>23.82</v>
      </c>
      <c r="L523">
        <v>5.19</v>
      </c>
      <c r="M523">
        <v>326.79000000000002</v>
      </c>
      <c r="N523" t="s">
        <v>67</v>
      </c>
      <c r="O523" t="s">
        <v>107</v>
      </c>
      <c r="P523" t="s">
        <v>36</v>
      </c>
      <c r="Q523" t="s">
        <v>37</v>
      </c>
      <c r="R523" t="s">
        <v>38</v>
      </c>
    </row>
    <row r="524" spans="1:18" x14ac:dyDescent="0.3">
      <c r="A524" t="s">
        <v>621</v>
      </c>
      <c r="B524" s="13">
        <v>44394</v>
      </c>
      <c r="C524" t="s">
        <v>622</v>
      </c>
      <c r="D524" t="s">
        <v>623</v>
      </c>
      <c r="E524" t="s">
        <v>340</v>
      </c>
      <c r="F524" t="s">
        <v>33</v>
      </c>
      <c r="G524" t="s">
        <v>49</v>
      </c>
      <c r="H524">
        <v>2</v>
      </c>
      <c r="I524">
        <v>572.09</v>
      </c>
      <c r="J524">
        <v>0</v>
      </c>
      <c r="K524">
        <v>91.53</v>
      </c>
      <c r="L524">
        <v>2.64</v>
      </c>
      <c r="M524">
        <v>1238.3499999999999</v>
      </c>
      <c r="N524" t="s">
        <v>58</v>
      </c>
      <c r="O524" t="s">
        <v>107</v>
      </c>
      <c r="P524" t="s">
        <v>74</v>
      </c>
      <c r="Q524" t="s">
        <v>75</v>
      </c>
      <c r="R524" t="s">
        <v>38</v>
      </c>
    </row>
    <row r="525" spans="1:18" x14ac:dyDescent="0.3">
      <c r="A525" t="s">
        <v>628</v>
      </c>
      <c r="B525" s="13">
        <v>45588</v>
      </c>
      <c r="C525" t="s">
        <v>629</v>
      </c>
      <c r="D525" t="s">
        <v>494</v>
      </c>
      <c r="E525" t="s">
        <v>300</v>
      </c>
      <c r="F525" t="s">
        <v>33</v>
      </c>
      <c r="G525" t="s">
        <v>23</v>
      </c>
      <c r="H525">
        <v>1</v>
      </c>
      <c r="I525">
        <v>50.92</v>
      </c>
      <c r="J525">
        <v>0.2</v>
      </c>
      <c r="K525">
        <v>3.26</v>
      </c>
      <c r="L525">
        <v>1.3</v>
      </c>
      <c r="M525">
        <v>45.3</v>
      </c>
      <c r="N525" t="s">
        <v>123</v>
      </c>
      <c r="O525" t="s">
        <v>25</v>
      </c>
      <c r="P525" t="s">
        <v>133</v>
      </c>
      <c r="Q525" t="s">
        <v>134</v>
      </c>
      <c r="R525" t="s">
        <v>38</v>
      </c>
    </row>
    <row r="526" spans="1:18" x14ac:dyDescent="0.3">
      <c r="A526" t="s">
        <v>641</v>
      </c>
      <c r="B526" s="13">
        <v>45025</v>
      </c>
      <c r="C526" t="s">
        <v>642</v>
      </c>
      <c r="D526" t="s">
        <v>457</v>
      </c>
      <c r="E526" t="s">
        <v>182</v>
      </c>
      <c r="F526" t="s">
        <v>33</v>
      </c>
      <c r="G526" t="s">
        <v>66</v>
      </c>
      <c r="H526">
        <v>2</v>
      </c>
      <c r="I526">
        <v>373.58</v>
      </c>
      <c r="J526">
        <v>0.2</v>
      </c>
      <c r="K526">
        <v>47.82</v>
      </c>
      <c r="L526">
        <v>8.74</v>
      </c>
      <c r="M526">
        <v>654.29</v>
      </c>
      <c r="N526" t="s">
        <v>58</v>
      </c>
      <c r="O526" t="s">
        <v>25</v>
      </c>
      <c r="P526" t="s">
        <v>257</v>
      </c>
      <c r="Q526" t="s">
        <v>69</v>
      </c>
      <c r="R526" t="s">
        <v>38</v>
      </c>
    </row>
    <row r="527" spans="1:18" x14ac:dyDescent="0.3">
      <c r="A527" t="s">
        <v>651</v>
      </c>
      <c r="B527" s="13">
        <v>45014</v>
      </c>
      <c r="C527" t="s">
        <v>652</v>
      </c>
      <c r="D527" t="s">
        <v>193</v>
      </c>
      <c r="E527" t="s">
        <v>182</v>
      </c>
      <c r="F527" t="s">
        <v>33</v>
      </c>
      <c r="G527" t="s">
        <v>203</v>
      </c>
      <c r="H527">
        <v>2</v>
      </c>
      <c r="I527">
        <v>387.31</v>
      </c>
      <c r="J527">
        <v>0</v>
      </c>
      <c r="K527">
        <v>92.95</v>
      </c>
      <c r="L527">
        <v>7.12</v>
      </c>
      <c r="M527">
        <v>874.69</v>
      </c>
      <c r="N527" t="s">
        <v>24</v>
      </c>
      <c r="O527" t="s">
        <v>25</v>
      </c>
      <c r="P527" t="s">
        <v>178</v>
      </c>
      <c r="Q527" t="s">
        <v>69</v>
      </c>
      <c r="R527" t="s">
        <v>38</v>
      </c>
    </row>
    <row r="528" spans="1:18" x14ac:dyDescent="0.3">
      <c r="A528" t="s">
        <v>656</v>
      </c>
      <c r="B528" s="13">
        <v>45097</v>
      </c>
      <c r="C528" t="s">
        <v>657</v>
      </c>
      <c r="D528" t="s">
        <v>290</v>
      </c>
      <c r="E528" t="s">
        <v>425</v>
      </c>
      <c r="F528" t="s">
        <v>33</v>
      </c>
      <c r="G528" t="s">
        <v>198</v>
      </c>
      <c r="H528">
        <v>1</v>
      </c>
      <c r="I528">
        <v>420.62</v>
      </c>
      <c r="J528">
        <v>0</v>
      </c>
      <c r="K528">
        <v>21.03</v>
      </c>
      <c r="L528">
        <v>5.69</v>
      </c>
      <c r="M528">
        <v>447.34</v>
      </c>
      <c r="N528" t="s">
        <v>35</v>
      </c>
      <c r="O528" t="s">
        <v>107</v>
      </c>
      <c r="P528" t="s">
        <v>165</v>
      </c>
      <c r="Q528" t="s">
        <v>37</v>
      </c>
      <c r="R528" t="s">
        <v>38</v>
      </c>
    </row>
    <row r="529" spans="1:18" x14ac:dyDescent="0.3">
      <c r="A529" t="s">
        <v>682</v>
      </c>
      <c r="B529" s="13">
        <v>45410</v>
      </c>
      <c r="C529" t="s">
        <v>683</v>
      </c>
      <c r="D529" t="s">
        <v>234</v>
      </c>
      <c r="E529" t="s">
        <v>216</v>
      </c>
      <c r="F529" t="s">
        <v>33</v>
      </c>
      <c r="G529" t="s">
        <v>23</v>
      </c>
      <c r="H529">
        <v>5</v>
      </c>
      <c r="I529">
        <v>104.68</v>
      </c>
      <c r="J529">
        <v>0.15</v>
      </c>
      <c r="K529">
        <v>35.590000000000003</v>
      </c>
      <c r="L529">
        <v>2.38</v>
      </c>
      <c r="M529">
        <v>482.86</v>
      </c>
      <c r="N529" t="s">
        <v>67</v>
      </c>
      <c r="O529" t="s">
        <v>25</v>
      </c>
      <c r="P529" t="s">
        <v>26</v>
      </c>
      <c r="Q529" t="s">
        <v>27</v>
      </c>
      <c r="R529" t="s">
        <v>38</v>
      </c>
    </row>
    <row r="530" spans="1:18" x14ac:dyDescent="0.3">
      <c r="A530" t="s">
        <v>692</v>
      </c>
      <c r="B530" s="13">
        <v>45494</v>
      </c>
      <c r="C530" t="s">
        <v>693</v>
      </c>
      <c r="D530" t="s">
        <v>655</v>
      </c>
      <c r="E530" t="s">
        <v>287</v>
      </c>
      <c r="F530" t="s">
        <v>33</v>
      </c>
      <c r="G530" t="s">
        <v>100</v>
      </c>
      <c r="H530">
        <v>3</v>
      </c>
      <c r="I530">
        <v>404.76</v>
      </c>
      <c r="J530">
        <v>0</v>
      </c>
      <c r="K530">
        <v>218.57</v>
      </c>
      <c r="L530">
        <v>10.5</v>
      </c>
      <c r="M530">
        <v>1443.35</v>
      </c>
      <c r="N530" t="s">
        <v>24</v>
      </c>
      <c r="O530" t="s">
        <v>25</v>
      </c>
      <c r="P530" t="s">
        <v>101</v>
      </c>
      <c r="Q530" t="s">
        <v>102</v>
      </c>
      <c r="R530" t="s">
        <v>38</v>
      </c>
    </row>
    <row r="531" spans="1:18" x14ac:dyDescent="0.3">
      <c r="A531" t="s">
        <v>697</v>
      </c>
      <c r="B531" s="13">
        <v>45202</v>
      </c>
      <c r="C531" t="s">
        <v>698</v>
      </c>
      <c r="D531" t="s">
        <v>230</v>
      </c>
      <c r="E531" t="s">
        <v>160</v>
      </c>
      <c r="F531" t="s">
        <v>33</v>
      </c>
      <c r="G531" t="s">
        <v>49</v>
      </c>
      <c r="H531">
        <v>5</v>
      </c>
      <c r="I531">
        <v>88.24</v>
      </c>
      <c r="J531">
        <v>0</v>
      </c>
      <c r="K531">
        <v>35.299999999999997</v>
      </c>
      <c r="L531">
        <v>13.44</v>
      </c>
      <c r="M531">
        <v>489.94</v>
      </c>
      <c r="N531" t="s">
        <v>24</v>
      </c>
      <c r="O531" t="s">
        <v>25</v>
      </c>
      <c r="P531" t="s">
        <v>95</v>
      </c>
      <c r="Q531" t="s">
        <v>37</v>
      </c>
      <c r="R531" t="s">
        <v>28</v>
      </c>
    </row>
    <row r="532" spans="1:18" x14ac:dyDescent="0.3">
      <c r="A532" t="s">
        <v>699</v>
      </c>
      <c r="B532" s="13">
        <v>45327</v>
      </c>
      <c r="C532" t="s">
        <v>700</v>
      </c>
      <c r="D532" t="s">
        <v>701</v>
      </c>
      <c r="E532" t="s">
        <v>164</v>
      </c>
      <c r="F532" t="s">
        <v>33</v>
      </c>
      <c r="G532" t="s">
        <v>90</v>
      </c>
      <c r="H532">
        <v>3</v>
      </c>
      <c r="I532">
        <v>410.9</v>
      </c>
      <c r="J532">
        <v>0</v>
      </c>
      <c r="K532">
        <v>98.62</v>
      </c>
      <c r="L532">
        <v>0.56999999999999995</v>
      </c>
      <c r="M532">
        <v>1331.89</v>
      </c>
      <c r="N532" t="s">
        <v>58</v>
      </c>
      <c r="O532" t="s">
        <v>25</v>
      </c>
      <c r="P532" t="s">
        <v>150</v>
      </c>
      <c r="Q532" t="s">
        <v>69</v>
      </c>
      <c r="R532" t="s">
        <v>28</v>
      </c>
    </row>
    <row r="533" spans="1:18" x14ac:dyDescent="0.3">
      <c r="A533" t="s">
        <v>709</v>
      </c>
      <c r="B533" s="13">
        <v>45239</v>
      </c>
      <c r="C533" t="s">
        <v>710</v>
      </c>
      <c r="D533" t="s">
        <v>711</v>
      </c>
      <c r="E533" t="s">
        <v>294</v>
      </c>
      <c r="F533" t="s">
        <v>33</v>
      </c>
      <c r="G533" t="s">
        <v>198</v>
      </c>
      <c r="H533">
        <v>1</v>
      </c>
      <c r="I533">
        <v>450.05</v>
      </c>
      <c r="J533">
        <v>0</v>
      </c>
      <c r="K533">
        <v>22.5</v>
      </c>
      <c r="L533">
        <v>1.2</v>
      </c>
      <c r="M533">
        <v>473.75</v>
      </c>
      <c r="N533" t="s">
        <v>123</v>
      </c>
      <c r="O533" t="s">
        <v>107</v>
      </c>
      <c r="P533" t="s">
        <v>44</v>
      </c>
      <c r="Q533" t="s">
        <v>37</v>
      </c>
      <c r="R533" t="s">
        <v>38</v>
      </c>
    </row>
    <row r="534" spans="1:18" x14ac:dyDescent="0.3">
      <c r="A534" t="s">
        <v>712</v>
      </c>
      <c r="B534" s="13">
        <v>45231</v>
      </c>
      <c r="C534" t="s">
        <v>713</v>
      </c>
      <c r="D534" t="s">
        <v>237</v>
      </c>
      <c r="E534" t="s">
        <v>111</v>
      </c>
      <c r="F534" t="s">
        <v>33</v>
      </c>
      <c r="G534" t="s">
        <v>66</v>
      </c>
      <c r="H534">
        <v>3</v>
      </c>
      <c r="I534">
        <v>137.33000000000001</v>
      </c>
      <c r="J534">
        <v>0.1</v>
      </c>
      <c r="K534">
        <v>29.66</v>
      </c>
      <c r="L534">
        <v>13.56</v>
      </c>
      <c r="M534">
        <v>414.01</v>
      </c>
      <c r="N534" t="s">
        <v>58</v>
      </c>
      <c r="O534" t="s">
        <v>25</v>
      </c>
      <c r="P534" t="s">
        <v>60</v>
      </c>
      <c r="Q534" t="s">
        <v>37</v>
      </c>
      <c r="R534" t="s">
        <v>28</v>
      </c>
    </row>
    <row r="535" spans="1:18" x14ac:dyDescent="0.3">
      <c r="A535" t="s">
        <v>714</v>
      </c>
      <c r="B535" s="13">
        <v>45137</v>
      </c>
      <c r="C535" t="s">
        <v>715</v>
      </c>
      <c r="D535" t="s">
        <v>589</v>
      </c>
      <c r="E535" t="s">
        <v>386</v>
      </c>
      <c r="F535" t="s">
        <v>33</v>
      </c>
      <c r="G535" t="s">
        <v>23</v>
      </c>
      <c r="H535">
        <v>2</v>
      </c>
      <c r="I535">
        <v>114.61</v>
      </c>
      <c r="J535">
        <v>0</v>
      </c>
      <c r="K535">
        <v>18.34</v>
      </c>
      <c r="L535">
        <v>0.91</v>
      </c>
      <c r="M535">
        <v>248.47</v>
      </c>
      <c r="N535" t="s">
        <v>123</v>
      </c>
      <c r="O535" t="s">
        <v>25</v>
      </c>
      <c r="P535" t="s">
        <v>145</v>
      </c>
      <c r="Q535" t="s">
        <v>146</v>
      </c>
      <c r="R535" t="s">
        <v>38</v>
      </c>
    </row>
    <row r="536" spans="1:18" x14ac:dyDescent="0.3">
      <c r="A536" t="s">
        <v>727</v>
      </c>
      <c r="B536" s="13">
        <v>45213</v>
      </c>
      <c r="C536" t="s">
        <v>728</v>
      </c>
      <c r="D536" t="s">
        <v>550</v>
      </c>
      <c r="E536" t="s">
        <v>156</v>
      </c>
      <c r="F536" t="s">
        <v>33</v>
      </c>
      <c r="G536" t="s">
        <v>203</v>
      </c>
      <c r="H536">
        <v>1</v>
      </c>
      <c r="I536">
        <v>590.16999999999996</v>
      </c>
      <c r="J536">
        <v>0.15</v>
      </c>
      <c r="K536">
        <v>25.08</v>
      </c>
      <c r="L536">
        <v>3.79</v>
      </c>
      <c r="M536">
        <v>530.51</v>
      </c>
      <c r="N536" t="s">
        <v>58</v>
      </c>
      <c r="O536" t="s">
        <v>107</v>
      </c>
      <c r="P536" t="s">
        <v>83</v>
      </c>
      <c r="Q536" t="s">
        <v>84</v>
      </c>
      <c r="R536" t="s">
        <v>38</v>
      </c>
    </row>
    <row r="537" spans="1:18" x14ac:dyDescent="0.3">
      <c r="A537" t="s">
        <v>732</v>
      </c>
      <c r="B537" s="13">
        <v>45310</v>
      </c>
      <c r="C537" t="s">
        <v>733</v>
      </c>
      <c r="D537" t="s">
        <v>734</v>
      </c>
      <c r="E537" t="s">
        <v>283</v>
      </c>
      <c r="F537" t="s">
        <v>33</v>
      </c>
      <c r="G537" t="s">
        <v>34</v>
      </c>
      <c r="H537">
        <v>3</v>
      </c>
      <c r="I537">
        <v>512.13</v>
      </c>
      <c r="J537">
        <v>0</v>
      </c>
      <c r="K537">
        <v>122.91</v>
      </c>
      <c r="L537">
        <v>14.93</v>
      </c>
      <c r="M537">
        <v>1674.23</v>
      </c>
      <c r="N537" t="s">
        <v>123</v>
      </c>
      <c r="O537" t="s">
        <v>25</v>
      </c>
      <c r="P537" t="s">
        <v>74</v>
      </c>
      <c r="Q537" t="s">
        <v>75</v>
      </c>
      <c r="R537" t="s">
        <v>38</v>
      </c>
    </row>
    <row r="538" spans="1:18" x14ac:dyDescent="0.3">
      <c r="A538" t="s">
        <v>755</v>
      </c>
      <c r="B538" s="13">
        <v>45526</v>
      </c>
      <c r="C538" t="s">
        <v>756</v>
      </c>
      <c r="D538" t="s">
        <v>696</v>
      </c>
      <c r="E538" t="s">
        <v>32</v>
      </c>
      <c r="F538" t="s">
        <v>33</v>
      </c>
      <c r="G538" t="s">
        <v>57</v>
      </c>
      <c r="H538">
        <v>4</v>
      </c>
      <c r="I538">
        <v>319.11</v>
      </c>
      <c r="J538">
        <v>0</v>
      </c>
      <c r="K538">
        <v>63.82</v>
      </c>
      <c r="L538">
        <v>4.1500000000000004</v>
      </c>
      <c r="M538">
        <v>1344.41</v>
      </c>
      <c r="N538" t="s">
        <v>50</v>
      </c>
      <c r="O538" t="s">
        <v>25</v>
      </c>
      <c r="P538" t="s">
        <v>60</v>
      </c>
      <c r="Q538" t="s">
        <v>37</v>
      </c>
      <c r="R538" t="s">
        <v>38</v>
      </c>
    </row>
    <row r="539" spans="1:18" x14ac:dyDescent="0.3">
      <c r="A539" t="s">
        <v>757</v>
      </c>
      <c r="B539" s="13">
        <v>45462</v>
      </c>
      <c r="C539" t="s">
        <v>758</v>
      </c>
      <c r="D539" t="s">
        <v>317</v>
      </c>
      <c r="E539" t="s">
        <v>21</v>
      </c>
      <c r="F539" t="s">
        <v>33</v>
      </c>
      <c r="G539" t="s">
        <v>49</v>
      </c>
      <c r="H539">
        <v>1</v>
      </c>
      <c r="I539">
        <v>370.47</v>
      </c>
      <c r="J539">
        <v>0.15</v>
      </c>
      <c r="K539">
        <v>37.79</v>
      </c>
      <c r="L539">
        <v>0.89</v>
      </c>
      <c r="M539">
        <v>353.58</v>
      </c>
      <c r="N539" t="s">
        <v>35</v>
      </c>
      <c r="O539" t="s">
        <v>25</v>
      </c>
      <c r="P539" t="s">
        <v>173</v>
      </c>
      <c r="Q539" t="s">
        <v>174</v>
      </c>
      <c r="R539" t="s">
        <v>38</v>
      </c>
    </row>
    <row r="540" spans="1:18" x14ac:dyDescent="0.3">
      <c r="A540" t="s">
        <v>771</v>
      </c>
      <c r="B540" s="13">
        <v>44272</v>
      </c>
      <c r="C540" t="s">
        <v>772</v>
      </c>
      <c r="D540" t="s">
        <v>385</v>
      </c>
      <c r="E540" t="s">
        <v>177</v>
      </c>
      <c r="F540" t="s">
        <v>33</v>
      </c>
      <c r="G540" t="s">
        <v>203</v>
      </c>
      <c r="H540">
        <v>4</v>
      </c>
      <c r="I540">
        <v>214.42</v>
      </c>
      <c r="J540">
        <v>0</v>
      </c>
      <c r="K540">
        <v>102.92</v>
      </c>
      <c r="L540">
        <v>9.31</v>
      </c>
      <c r="M540">
        <v>969.91</v>
      </c>
      <c r="N540" t="s">
        <v>58</v>
      </c>
      <c r="O540" t="s">
        <v>25</v>
      </c>
      <c r="P540" t="s">
        <v>133</v>
      </c>
      <c r="Q540" t="s">
        <v>134</v>
      </c>
      <c r="R540" t="s">
        <v>38</v>
      </c>
    </row>
    <row r="541" spans="1:18" x14ac:dyDescent="0.3">
      <c r="A541" t="s">
        <v>773</v>
      </c>
      <c r="B541" s="13">
        <v>44394</v>
      </c>
      <c r="C541" t="s">
        <v>774</v>
      </c>
      <c r="D541" t="s">
        <v>525</v>
      </c>
      <c r="E541" t="s">
        <v>138</v>
      </c>
      <c r="F541" t="s">
        <v>33</v>
      </c>
      <c r="G541" t="s">
        <v>203</v>
      </c>
      <c r="H541">
        <v>4</v>
      </c>
      <c r="I541">
        <v>234.78</v>
      </c>
      <c r="J541">
        <v>0.1</v>
      </c>
      <c r="K541">
        <v>101.42</v>
      </c>
      <c r="L541">
        <v>0.79</v>
      </c>
      <c r="M541">
        <v>947.42</v>
      </c>
      <c r="N541" t="s">
        <v>58</v>
      </c>
      <c r="O541" t="s">
        <v>25</v>
      </c>
      <c r="P541" t="s">
        <v>74</v>
      </c>
      <c r="Q541" t="s">
        <v>75</v>
      </c>
      <c r="R541" t="s">
        <v>38</v>
      </c>
    </row>
    <row r="542" spans="1:18" x14ac:dyDescent="0.3">
      <c r="A542" t="s">
        <v>802</v>
      </c>
      <c r="B542" s="13">
        <v>43832</v>
      </c>
      <c r="C542" t="s">
        <v>803</v>
      </c>
      <c r="D542" t="s">
        <v>804</v>
      </c>
      <c r="E542" t="s">
        <v>243</v>
      </c>
      <c r="F542" t="s">
        <v>33</v>
      </c>
      <c r="G542" t="s">
        <v>49</v>
      </c>
      <c r="H542">
        <v>3</v>
      </c>
      <c r="I542">
        <v>520.47</v>
      </c>
      <c r="J542">
        <v>0.05</v>
      </c>
      <c r="K542">
        <v>267</v>
      </c>
      <c r="L542">
        <v>0.93</v>
      </c>
      <c r="M542">
        <v>1751.27</v>
      </c>
      <c r="N542" t="s">
        <v>24</v>
      </c>
      <c r="O542" t="s">
        <v>25</v>
      </c>
      <c r="P542" t="s">
        <v>145</v>
      </c>
      <c r="Q542" t="s">
        <v>146</v>
      </c>
      <c r="R542" t="s">
        <v>28</v>
      </c>
    </row>
    <row r="543" spans="1:18" x14ac:dyDescent="0.3">
      <c r="A543" t="s">
        <v>805</v>
      </c>
      <c r="B543" s="13">
        <v>44472</v>
      </c>
      <c r="C543" t="s">
        <v>806</v>
      </c>
      <c r="D543" t="s">
        <v>807</v>
      </c>
      <c r="E543" t="s">
        <v>267</v>
      </c>
      <c r="F543" t="s">
        <v>33</v>
      </c>
      <c r="G543" t="s">
        <v>49</v>
      </c>
      <c r="H543">
        <v>5</v>
      </c>
      <c r="I543">
        <v>567.72</v>
      </c>
      <c r="J543">
        <v>0.05</v>
      </c>
      <c r="K543">
        <v>323.60000000000002</v>
      </c>
      <c r="L543">
        <v>10.53</v>
      </c>
      <c r="M543">
        <v>3030.8</v>
      </c>
      <c r="N543" t="s">
        <v>58</v>
      </c>
      <c r="O543" t="s">
        <v>25</v>
      </c>
      <c r="P543" t="s">
        <v>36</v>
      </c>
      <c r="Q543" t="s">
        <v>37</v>
      </c>
      <c r="R543" t="s">
        <v>38</v>
      </c>
    </row>
    <row r="544" spans="1:18" x14ac:dyDescent="0.3">
      <c r="A544" t="s">
        <v>814</v>
      </c>
      <c r="B544" s="13">
        <v>45590</v>
      </c>
      <c r="C544" t="s">
        <v>815</v>
      </c>
      <c r="D544" t="s">
        <v>816</v>
      </c>
      <c r="E544" t="s">
        <v>111</v>
      </c>
      <c r="F544" t="s">
        <v>33</v>
      </c>
      <c r="G544" t="s">
        <v>49</v>
      </c>
      <c r="H544">
        <v>5</v>
      </c>
      <c r="I544">
        <v>492.27</v>
      </c>
      <c r="J544">
        <v>0.1</v>
      </c>
      <c r="K544">
        <v>110.76</v>
      </c>
      <c r="L544">
        <v>7.62</v>
      </c>
      <c r="M544">
        <v>2333.6</v>
      </c>
      <c r="N544" t="s">
        <v>67</v>
      </c>
      <c r="O544" t="s">
        <v>25</v>
      </c>
      <c r="P544" t="s">
        <v>60</v>
      </c>
      <c r="Q544" t="s">
        <v>37</v>
      </c>
      <c r="R544" t="s">
        <v>76</v>
      </c>
    </row>
    <row r="545" spans="1:18" x14ac:dyDescent="0.3">
      <c r="A545" t="s">
        <v>823</v>
      </c>
      <c r="B545" s="13">
        <v>45492</v>
      </c>
      <c r="C545" t="s">
        <v>824</v>
      </c>
      <c r="D545" t="s">
        <v>825</v>
      </c>
      <c r="E545" t="s">
        <v>156</v>
      </c>
      <c r="F545" t="s">
        <v>33</v>
      </c>
      <c r="G545" t="s">
        <v>203</v>
      </c>
      <c r="H545">
        <v>3</v>
      </c>
      <c r="I545">
        <v>476.94</v>
      </c>
      <c r="J545">
        <v>0.15</v>
      </c>
      <c r="K545">
        <v>60.81</v>
      </c>
      <c r="L545">
        <v>5.78</v>
      </c>
      <c r="M545">
        <v>1282.79</v>
      </c>
      <c r="N545" t="s">
        <v>67</v>
      </c>
      <c r="O545" t="s">
        <v>107</v>
      </c>
      <c r="P545" t="s">
        <v>173</v>
      </c>
      <c r="Q545" t="s">
        <v>174</v>
      </c>
      <c r="R545" t="s">
        <v>28</v>
      </c>
    </row>
    <row r="546" spans="1:18" x14ac:dyDescent="0.3">
      <c r="A546" t="s">
        <v>829</v>
      </c>
      <c r="B546" s="13">
        <v>44907</v>
      </c>
      <c r="C546" t="s">
        <v>830</v>
      </c>
      <c r="D546" t="s">
        <v>589</v>
      </c>
      <c r="E546" t="s">
        <v>349</v>
      </c>
      <c r="F546" t="s">
        <v>33</v>
      </c>
      <c r="G546" t="s">
        <v>34</v>
      </c>
      <c r="H546">
        <v>4</v>
      </c>
      <c r="I546">
        <v>312.92</v>
      </c>
      <c r="J546">
        <v>0.15</v>
      </c>
      <c r="K546">
        <v>127.67</v>
      </c>
      <c r="L546">
        <v>6.21</v>
      </c>
      <c r="M546">
        <v>1197.81</v>
      </c>
      <c r="N546" t="s">
        <v>58</v>
      </c>
      <c r="O546" t="s">
        <v>25</v>
      </c>
      <c r="P546" t="s">
        <v>26</v>
      </c>
      <c r="Q546" t="s">
        <v>27</v>
      </c>
      <c r="R546" t="s">
        <v>28</v>
      </c>
    </row>
    <row r="547" spans="1:18" x14ac:dyDescent="0.3">
      <c r="A547" t="s">
        <v>866</v>
      </c>
      <c r="B547" s="13">
        <v>45464</v>
      </c>
      <c r="C547" t="s">
        <v>867</v>
      </c>
      <c r="D547" t="s">
        <v>868</v>
      </c>
      <c r="E547" t="s">
        <v>386</v>
      </c>
      <c r="F547" t="s">
        <v>33</v>
      </c>
      <c r="G547" t="s">
        <v>268</v>
      </c>
      <c r="H547">
        <v>3</v>
      </c>
      <c r="I547">
        <v>432.19</v>
      </c>
      <c r="J547">
        <v>0.05</v>
      </c>
      <c r="K547">
        <v>98.54</v>
      </c>
      <c r="L547">
        <v>1.1399999999999999</v>
      </c>
      <c r="M547">
        <v>1331.42</v>
      </c>
      <c r="N547" t="s">
        <v>123</v>
      </c>
      <c r="O547" t="s">
        <v>144</v>
      </c>
      <c r="P547" t="s">
        <v>173</v>
      </c>
      <c r="Q547" t="s">
        <v>174</v>
      </c>
      <c r="R547" t="s">
        <v>38</v>
      </c>
    </row>
    <row r="548" spans="1:18" x14ac:dyDescent="0.3">
      <c r="A548" t="s">
        <v>871</v>
      </c>
      <c r="B548" s="13">
        <v>44812</v>
      </c>
      <c r="C548" t="s">
        <v>872</v>
      </c>
      <c r="D548" t="s">
        <v>480</v>
      </c>
      <c r="E548" t="s">
        <v>21</v>
      </c>
      <c r="F548" t="s">
        <v>33</v>
      </c>
      <c r="G548" t="s">
        <v>57</v>
      </c>
      <c r="H548">
        <v>5</v>
      </c>
      <c r="I548">
        <v>541.67999999999995</v>
      </c>
      <c r="J548">
        <v>0</v>
      </c>
      <c r="K548">
        <v>135.41999999999999</v>
      </c>
      <c r="L548">
        <v>13.07</v>
      </c>
      <c r="M548">
        <v>2856.89</v>
      </c>
      <c r="N548" t="s">
        <v>67</v>
      </c>
      <c r="O548" t="s">
        <v>25</v>
      </c>
      <c r="P548" t="s">
        <v>112</v>
      </c>
      <c r="Q548" t="s">
        <v>113</v>
      </c>
      <c r="R548" t="s">
        <v>28</v>
      </c>
    </row>
    <row r="549" spans="1:18" x14ac:dyDescent="0.3">
      <c r="A549" t="s">
        <v>900</v>
      </c>
      <c r="B549" s="13">
        <v>44594</v>
      </c>
      <c r="C549" t="s">
        <v>901</v>
      </c>
      <c r="D549" t="s">
        <v>223</v>
      </c>
      <c r="E549" t="s">
        <v>156</v>
      </c>
      <c r="F549" t="s">
        <v>33</v>
      </c>
      <c r="G549" t="s">
        <v>90</v>
      </c>
      <c r="H549">
        <v>4</v>
      </c>
      <c r="I549">
        <v>476.83</v>
      </c>
      <c r="J549">
        <v>0.1</v>
      </c>
      <c r="K549">
        <v>85.83</v>
      </c>
      <c r="L549">
        <v>8.41</v>
      </c>
      <c r="M549">
        <v>1810.83</v>
      </c>
      <c r="N549" t="s">
        <v>50</v>
      </c>
      <c r="O549" t="s">
        <v>25</v>
      </c>
      <c r="P549" t="s">
        <v>112</v>
      </c>
      <c r="Q549" t="s">
        <v>113</v>
      </c>
      <c r="R549" t="s">
        <v>76</v>
      </c>
    </row>
    <row r="550" spans="1:18" x14ac:dyDescent="0.3">
      <c r="A550" t="s">
        <v>932</v>
      </c>
      <c r="B550" s="13">
        <v>44702</v>
      </c>
      <c r="C550" t="s">
        <v>933</v>
      </c>
      <c r="D550" t="s">
        <v>346</v>
      </c>
      <c r="E550" t="s">
        <v>256</v>
      </c>
      <c r="F550" t="s">
        <v>33</v>
      </c>
      <c r="G550" t="s">
        <v>66</v>
      </c>
      <c r="H550">
        <v>2</v>
      </c>
      <c r="I550">
        <v>274.82</v>
      </c>
      <c r="J550">
        <v>0.05</v>
      </c>
      <c r="K550">
        <v>26.11</v>
      </c>
      <c r="L550">
        <v>11.71</v>
      </c>
      <c r="M550">
        <v>559.98</v>
      </c>
      <c r="N550" t="s">
        <v>67</v>
      </c>
      <c r="O550" t="s">
        <v>25</v>
      </c>
      <c r="P550" t="s">
        <v>178</v>
      </c>
      <c r="Q550" t="s">
        <v>69</v>
      </c>
      <c r="R550" t="s">
        <v>38</v>
      </c>
    </row>
    <row r="551" spans="1:18" x14ac:dyDescent="0.3">
      <c r="A551" t="s">
        <v>936</v>
      </c>
      <c r="B551" s="13">
        <v>45633</v>
      </c>
      <c r="C551" t="s">
        <v>937</v>
      </c>
      <c r="D551" t="s">
        <v>209</v>
      </c>
      <c r="E551" t="s">
        <v>597</v>
      </c>
      <c r="F551" t="s">
        <v>33</v>
      </c>
      <c r="G551" t="s">
        <v>49</v>
      </c>
      <c r="H551">
        <v>1</v>
      </c>
      <c r="I551">
        <v>412.78</v>
      </c>
      <c r="J551">
        <v>0</v>
      </c>
      <c r="K551">
        <v>0</v>
      </c>
      <c r="L551">
        <v>13.23</v>
      </c>
      <c r="M551">
        <v>426.01</v>
      </c>
      <c r="N551" t="s">
        <v>123</v>
      </c>
      <c r="O551" t="s">
        <v>25</v>
      </c>
      <c r="P551" t="s">
        <v>117</v>
      </c>
      <c r="Q551" t="s">
        <v>118</v>
      </c>
      <c r="R551" t="s">
        <v>38</v>
      </c>
    </row>
    <row r="552" spans="1:18" x14ac:dyDescent="0.3">
      <c r="A552" t="s">
        <v>940</v>
      </c>
      <c r="B552" s="13">
        <v>43981</v>
      </c>
      <c r="C552" t="s">
        <v>941</v>
      </c>
      <c r="D552" t="s">
        <v>942</v>
      </c>
      <c r="E552" t="s">
        <v>202</v>
      </c>
      <c r="F552" t="s">
        <v>33</v>
      </c>
      <c r="G552" t="s">
        <v>198</v>
      </c>
      <c r="H552">
        <v>5</v>
      </c>
      <c r="I552">
        <v>234.78</v>
      </c>
      <c r="J552">
        <v>0.1</v>
      </c>
      <c r="K552">
        <v>126.78</v>
      </c>
      <c r="L552">
        <v>13.1</v>
      </c>
      <c r="M552">
        <v>1196.3900000000001</v>
      </c>
      <c r="N552" t="s">
        <v>24</v>
      </c>
      <c r="O552" t="s">
        <v>25</v>
      </c>
      <c r="P552" t="s">
        <v>173</v>
      </c>
      <c r="Q552" t="s">
        <v>174</v>
      </c>
      <c r="R552" t="s">
        <v>38</v>
      </c>
    </row>
    <row r="553" spans="1:18" x14ac:dyDescent="0.3">
      <c r="A553" t="s">
        <v>953</v>
      </c>
      <c r="B553" s="13">
        <v>43974</v>
      </c>
      <c r="C553" t="s">
        <v>954</v>
      </c>
      <c r="D553" t="s">
        <v>491</v>
      </c>
      <c r="E553" t="s">
        <v>111</v>
      </c>
      <c r="F553" t="s">
        <v>33</v>
      </c>
      <c r="G553" t="s">
        <v>198</v>
      </c>
      <c r="H553">
        <v>3</v>
      </c>
      <c r="I553">
        <v>94.03</v>
      </c>
      <c r="J553">
        <v>0.05</v>
      </c>
      <c r="K553">
        <v>13.4</v>
      </c>
      <c r="L553">
        <v>8.6199999999999992</v>
      </c>
      <c r="M553">
        <v>290.01</v>
      </c>
      <c r="N553" t="s">
        <v>58</v>
      </c>
      <c r="O553" t="s">
        <v>25</v>
      </c>
      <c r="P553" t="s">
        <v>173</v>
      </c>
      <c r="Q553" t="s">
        <v>174</v>
      </c>
      <c r="R553" t="s">
        <v>38</v>
      </c>
    </row>
    <row r="554" spans="1:18" x14ac:dyDescent="0.3">
      <c r="A554" t="s">
        <v>965</v>
      </c>
      <c r="B554" s="13">
        <v>44711</v>
      </c>
      <c r="C554" t="s">
        <v>966</v>
      </c>
      <c r="D554" t="s">
        <v>911</v>
      </c>
      <c r="E554" t="s">
        <v>94</v>
      </c>
      <c r="F554" t="s">
        <v>33</v>
      </c>
      <c r="G554" t="s">
        <v>57</v>
      </c>
      <c r="H554">
        <v>3</v>
      </c>
      <c r="I554">
        <v>400.38</v>
      </c>
      <c r="J554">
        <v>0</v>
      </c>
      <c r="K554">
        <v>216.21</v>
      </c>
      <c r="L554">
        <v>8.35</v>
      </c>
      <c r="M554">
        <v>1425.7</v>
      </c>
      <c r="N554" t="s">
        <v>67</v>
      </c>
      <c r="O554" t="s">
        <v>25</v>
      </c>
      <c r="P554" t="s">
        <v>124</v>
      </c>
      <c r="Q554" t="s">
        <v>125</v>
      </c>
      <c r="R554" t="s">
        <v>28</v>
      </c>
    </row>
    <row r="555" spans="1:18" x14ac:dyDescent="0.3">
      <c r="A555" t="s">
        <v>972</v>
      </c>
      <c r="B555" s="13">
        <v>45158</v>
      </c>
      <c r="C555" t="s">
        <v>973</v>
      </c>
      <c r="D555" t="s">
        <v>181</v>
      </c>
      <c r="E555" t="s">
        <v>349</v>
      </c>
      <c r="F555" t="s">
        <v>33</v>
      </c>
      <c r="G555" t="s">
        <v>203</v>
      </c>
      <c r="H555">
        <v>2</v>
      </c>
      <c r="I555">
        <v>30.67</v>
      </c>
      <c r="J555">
        <v>0.05</v>
      </c>
      <c r="K555">
        <v>2.91</v>
      </c>
      <c r="L555">
        <v>6.88</v>
      </c>
      <c r="M555">
        <v>68.06</v>
      </c>
      <c r="N555" t="s">
        <v>58</v>
      </c>
      <c r="O555" t="s">
        <v>107</v>
      </c>
      <c r="P555" t="s">
        <v>36</v>
      </c>
      <c r="Q555" t="s">
        <v>37</v>
      </c>
      <c r="R555" t="s">
        <v>38</v>
      </c>
    </row>
    <row r="556" spans="1:18" x14ac:dyDescent="0.3">
      <c r="A556" t="s">
        <v>990</v>
      </c>
      <c r="B556" s="13">
        <v>44953</v>
      </c>
      <c r="C556" t="s">
        <v>991</v>
      </c>
      <c r="D556" t="s">
        <v>440</v>
      </c>
      <c r="E556" t="s">
        <v>94</v>
      </c>
      <c r="F556" t="s">
        <v>33</v>
      </c>
      <c r="G556" t="s">
        <v>268</v>
      </c>
      <c r="H556">
        <v>5</v>
      </c>
      <c r="I556">
        <v>410.33</v>
      </c>
      <c r="J556">
        <v>0</v>
      </c>
      <c r="K556">
        <v>164.13</v>
      </c>
      <c r="L556">
        <v>4.18</v>
      </c>
      <c r="M556">
        <v>2219.96</v>
      </c>
      <c r="N556" t="s">
        <v>24</v>
      </c>
      <c r="O556" t="s">
        <v>25</v>
      </c>
      <c r="P556" t="s">
        <v>133</v>
      </c>
      <c r="Q556" t="s">
        <v>134</v>
      </c>
      <c r="R556" t="s">
        <v>38</v>
      </c>
    </row>
    <row r="557" spans="1:18" x14ac:dyDescent="0.3">
      <c r="A557" t="s">
        <v>992</v>
      </c>
      <c r="B557" s="13">
        <v>45513</v>
      </c>
      <c r="C557" t="s">
        <v>993</v>
      </c>
      <c r="D557" t="s">
        <v>163</v>
      </c>
      <c r="E557" t="s">
        <v>597</v>
      </c>
      <c r="F557" t="s">
        <v>33</v>
      </c>
      <c r="G557" t="s">
        <v>90</v>
      </c>
      <c r="H557">
        <v>2</v>
      </c>
      <c r="I557">
        <v>29.1</v>
      </c>
      <c r="J557">
        <v>0.2</v>
      </c>
      <c r="K557">
        <v>2.33</v>
      </c>
      <c r="L557">
        <v>3.83</v>
      </c>
      <c r="M557">
        <v>52.72</v>
      </c>
      <c r="N557" t="s">
        <v>35</v>
      </c>
      <c r="O557" t="s">
        <v>25</v>
      </c>
      <c r="P557" t="s">
        <v>178</v>
      </c>
      <c r="Q557" t="s">
        <v>69</v>
      </c>
      <c r="R557" t="s">
        <v>38</v>
      </c>
    </row>
    <row r="558" spans="1:18" x14ac:dyDescent="0.3">
      <c r="A558" t="s">
        <v>1010</v>
      </c>
      <c r="B558" s="13">
        <v>45527</v>
      </c>
      <c r="C558" t="s">
        <v>1011</v>
      </c>
      <c r="D558" t="s">
        <v>246</v>
      </c>
      <c r="E558" t="s">
        <v>349</v>
      </c>
      <c r="F558" t="s">
        <v>33</v>
      </c>
      <c r="G558" t="s">
        <v>23</v>
      </c>
      <c r="H558">
        <v>2</v>
      </c>
      <c r="I558">
        <v>327.8</v>
      </c>
      <c r="J558">
        <v>0.1</v>
      </c>
      <c r="K558">
        <v>70.8</v>
      </c>
      <c r="L558">
        <v>13.68</v>
      </c>
      <c r="M558">
        <v>674.52</v>
      </c>
      <c r="N558" t="s">
        <v>67</v>
      </c>
      <c r="O558" t="s">
        <v>25</v>
      </c>
      <c r="P558" t="s">
        <v>112</v>
      </c>
      <c r="Q558" t="s">
        <v>113</v>
      </c>
      <c r="R558" t="s">
        <v>183</v>
      </c>
    </row>
    <row r="559" spans="1:18" x14ac:dyDescent="0.3">
      <c r="A559" t="s">
        <v>1018</v>
      </c>
      <c r="B559" s="13">
        <v>45274</v>
      </c>
      <c r="C559" t="s">
        <v>1019</v>
      </c>
      <c r="D559" t="s">
        <v>1020</v>
      </c>
      <c r="E559" t="s">
        <v>88</v>
      </c>
      <c r="F559" t="s">
        <v>33</v>
      </c>
      <c r="G559" t="s">
        <v>198</v>
      </c>
      <c r="H559">
        <v>3</v>
      </c>
      <c r="I559">
        <v>392.25</v>
      </c>
      <c r="J559">
        <v>0.15</v>
      </c>
      <c r="K559">
        <v>80.02</v>
      </c>
      <c r="L559">
        <v>5.31</v>
      </c>
      <c r="M559">
        <v>1085.57</v>
      </c>
      <c r="N559" t="s">
        <v>58</v>
      </c>
      <c r="O559" t="s">
        <v>25</v>
      </c>
      <c r="P559" t="s">
        <v>145</v>
      </c>
      <c r="Q559" t="s">
        <v>146</v>
      </c>
      <c r="R559" t="s">
        <v>38</v>
      </c>
    </row>
    <row r="560" spans="1:18" x14ac:dyDescent="0.3">
      <c r="A560" t="s">
        <v>1026</v>
      </c>
      <c r="B560" s="13">
        <v>44084</v>
      </c>
      <c r="C560" t="s">
        <v>1027</v>
      </c>
      <c r="D560" t="s">
        <v>223</v>
      </c>
      <c r="E560" t="s">
        <v>425</v>
      </c>
      <c r="F560" t="s">
        <v>33</v>
      </c>
      <c r="G560" t="s">
        <v>57</v>
      </c>
      <c r="H560">
        <v>3</v>
      </c>
      <c r="I560">
        <v>62.04</v>
      </c>
      <c r="J560">
        <v>0</v>
      </c>
      <c r="K560">
        <v>22.33</v>
      </c>
      <c r="L560">
        <v>4.3600000000000003</v>
      </c>
      <c r="M560">
        <v>212.81</v>
      </c>
      <c r="N560" t="s">
        <v>67</v>
      </c>
      <c r="O560" t="s">
        <v>59</v>
      </c>
      <c r="P560" t="s">
        <v>257</v>
      </c>
      <c r="Q560" t="s">
        <v>69</v>
      </c>
      <c r="R560" t="s">
        <v>61</v>
      </c>
    </row>
    <row r="561" spans="1:18" x14ac:dyDescent="0.3">
      <c r="A561" t="s">
        <v>1053</v>
      </c>
      <c r="B561" s="13">
        <v>45574</v>
      </c>
      <c r="C561" t="s">
        <v>1054</v>
      </c>
      <c r="D561" t="s">
        <v>804</v>
      </c>
      <c r="E561" t="s">
        <v>271</v>
      </c>
      <c r="F561" t="s">
        <v>33</v>
      </c>
      <c r="G561" t="s">
        <v>268</v>
      </c>
      <c r="H561">
        <v>4</v>
      </c>
      <c r="I561">
        <v>100.2</v>
      </c>
      <c r="J561">
        <v>0.2</v>
      </c>
      <c r="K561">
        <v>38.479999999999997</v>
      </c>
      <c r="L561">
        <v>12.41</v>
      </c>
      <c r="M561">
        <v>371.53</v>
      </c>
      <c r="N561" t="s">
        <v>24</v>
      </c>
      <c r="O561" t="s">
        <v>144</v>
      </c>
      <c r="P561" t="s">
        <v>150</v>
      </c>
      <c r="Q561" t="s">
        <v>69</v>
      </c>
      <c r="R561" t="s">
        <v>38</v>
      </c>
    </row>
    <row r="562" spans="1:18" x14ac:dyDescent="0.3">
      <c r="A562" t="s">
        <v>1064</v>
      </c>
      <c r="B562" s="13">
        <v>44631</v>
      </c>
      <c r="C562" t="s">
        <v>1065</v>
      </c>
      <c r="D562" t="s">
        <v>1066</v>
      </c>
      <c r="E562" t="s">
        <v>498</v>
      </c>
      <c r="F562" t="s">
        <v>33</v>
      </c>
      <c r="G562" t="s">
        <v>49</v>
      </c>
      <c r="H562">
        <v>4</v>
      </c>
      <c r="I562">
        <v>40.92</v>
      </c>
      <c r="J562">
        <v>0.15</v>
      </c>
      <c r="K562">
        <v>11.13</v>
      </c>
      <c r="L562">
        <v>3.59</v>
      </c>
      <c r="M562">
        <v>153.85</v>
      </c>
      <c r="N562" t="s">
        <v>50</v>
      </c>
      <c r="O562" t="s">
        <v>25</v>
      </c>
      <c r="P562" t="s">
        <v>145</v>
      </c>
      <c r="Q562" t="s">
        <v>146</v>
      </c>
      <c r="R562" t="s">
        <v>38</v>
      </c>
    </row>
    <row r="563" spans="1:18" x14ac:dyDescent="0.3">
      <c r="A563" t="s">
        <v>1073</v>
      </c>
      <c r="B563" s="13">
        <v>45358</v>
      </c>
      <c r="C563" t="s">
        <v>1074</v>
      </c>
      <c r="D563" t="s">
        <v>389</v>
      </c>
      <c r="E563" t="s">
        <v>177</v>
      </c>
      <c r="F563" t="s">
        <v>33</v>
      </c>
      <c r="G563" t="s">
        <v>34</v>
      </c>
      <c r="H563">
        <v>2</v>
      </c>
      <c r="I563">
        <v>175.99</v>
      </c>
      <c r="J563">
        <v>0.05</v>
      </c>
      <c r="K563">
        <v>16.72</v>
      </c>
      <c r="L563">
        <v>3.99</v>
      </c>
      <c r="M563">
        <v>355.09</v>
      </c>
      <c r="N563" t="s">
        <v>58</v>
      </c>
      <c r="O563" t="s">
        <v>107</v>
      </c>
      <c r="P563" t="s">
        <v>26</v>
      </c>
      <c r="Q563" t="s">
        <v>27</v>
      </c>
      <c r="R563" t="s">
        <v>76</v>
      </c>
    </row>
    <row r="564" spans="1:18" x14ac:dyDescent="0.3">
      <c r="A564" t="s">
        <v>1077</v>
      </c>
      <c r="B564" s="13">
        <v>44989</v>
      </c>
      <c r="C564" t="s">
        <v>1078</v>
      </c>
      <c r="D564" t="s">
        <v>421</v>
      </c>
      <c r="E564" t="s">
        <v>142</v>
      </c>
      <c r="F564" t="s">
        <v>33</v>
      </c>
      <c r="G564" t="s">
        <v>57</v>
      </c>
      <c r="H564">
        <v>3</v>
      </c>
      <c r="I564">
        <v>555.21</v>
      </c>
      <c r="J564">
        <v>0.2</v>
      </c>
      <c r="K564">
        <v>106.6</v>
      </c>
      <c r="L564">
        <v>5.69</v>
      </c>
      <c r="M564">
        <v>1444.79</v>
      </c>
      <c r="N564" t="s">
        <v>123</v>
      </c>
      <c r="O564" t="s">
        <v>25</v>
      </c>
      <c r="P564" t="s">
        <v>117</v>
      </c>
      <c r="Q564" t="s">
        <v>118</v>
      </c>
      <c r="R564" t="s">
        <v>61</v>
      </c>
    </row>
    <row r="565" spans="1:18" x14ac:dyDescent="0.3">
      <c r="A565" t="s">
        <v>1081</v>
      </c>
      <c r="B565" s="13">
        <v>44231</v>
      </c>
      <c r="C565" t="s">
        <v>1082</v>
      </c>
      <c r="D565" t="s">
        <v>613</v>
      </c>
      <c r="E565" t="s">
        <v>271</v>
      </c>
      <c r="F565" t="s">
        <v>33</v>
      </c>
      <c r="G565" t="s">
        <v>100</v>
      </c>
      <c r="H565">
        <v>4</v>
      </c>
      <c r="I565">
        <v>291.26</v>
      </c>
      <c r="J565">
        <v>0</v>
      </c>
      <c r="K565">
        <v>93.2</v>
      </c>
      <c r="L565">
        <v>3.56</v>
      </c>
      <c r="M565">
        <v>1261.8</v>
      </c>
      <c r="N565" t="s">
        <v>58</v>
      </c>
      <c r="O565" t="s">
        <v>25</v>
      </c>
      <c r="P565" t="s">
        <v>74</v>
      </c>
      <c r="Q565" t="s">
        <v>75</v>
      </c>
      <c r="R565" t="s">
        <v>38</v>
      </c>
    </row>
    <row r="566" spans="1:18" x14ac:dyDescent="0.3">
      <c r="A566" t="s">
        <v>1097</v>
      </c>
      <c r="B566" s="13">
        <v>45229</v>
      </c>
      <c r="C566" t="s">
        <v>1098</v>
      </c>
      <c r="D566" t="s">
        <v>421</v>
      </c>
      <c r="E566" t="s">
        <v>392</v>
      </c>
      <c r="F566" t="s">
        <v>33</v>
      </c>
      <c r="G566" t="s">
        <v>23</v>
      </c>
      <c r="H566">
        <v>3</v>
      </c>
      <c r="I566">
        <v>567.89</v>
      </c>
      <c r="J566">
        <v>0</v>
      </c>
      <c r="K566">
        <v>85.18</v>
      </c>
      <c r="L566">
        <v>13.57</v>
      </c>
      <c r="M566">
        <v>1802.42</v>
      </c>
      <c r="N566" t="s">
        <v>24</v>
      </c>
      <c r="O566" t="s">
        <v>25</v>
      </c>
      <c r="P566" t="s">
        <v>36</v>
      </c>
      <c r="Q566" t="s">
        <v>37</v>
      </c>
      <c r="R566" t="s">
        <v>38</v>
      </c>
    </row>
    <row r="567" spans="1:18" x14ac:dyDescent="0.3">
      <c r="A567" t="s">
        <v>1099</v>
      </c>
      <c r="B567" s="13">
        <v>44876</v>
      </c>
      <c r="C567" t="s">
        <v>1100</v>
      </c>
      <c r="D567" t="s">
        <v>116</v>
      </c>
      <c r="E567" t="s">
        <v>111</v>
      </c>
      <c r="F567" t="s">
        <v>33</v>
      </c>
      <c r="G567" t="s">
        <v>49</v>
      </c>
      <c r="H567">
        <v>2</v>
      </c>
      <c r="I567">
        <v>436.96</v>
      </c>
      <c r="J567">
        <v>0.25</v>
      </c>
      <c r="K567">
        <v>52.44</v>
      </c>
      <c r="L567">
        <v>9.2799999999999994</v>
      </c>
      <c r="M567">
        <v>717.16</v>
      </c>
      <c r="N567" t="s">
        <v>58</v>
      </c>
      <c r="O567" t="s">
        <v>25</v>
      </c>
      <c r="P567" t="s">
        <v>124</v>
      </c>
      <c r="Q567" t="s">
        <v>125</v>
      </c>
      <c r="R567" t="s">
        <v>38</v>
      </c>
    </row>
    <row r="568" spans="1:18" x14ac:dyDescent="0.3">
      <c r="A568" t="s">
        <v>1110</v>
      </c>
      <c r="B568" s="13">
        <v>45219</v>
      </c>
      <c r="C568" t="s">
        <v>1111</v>
      </c>
      <c r="D568" t="s">
        <v>558</v>
      </c>
      <c r="E568" t="s">
        <v>365</v>
      </c>
      <c r="F568" t="s">
        <v>33</v>
      </c>
      <c r="G568" t="s">
        <v>100</v>
      </c>
      <c r="H568">
        <v>2</v>
      </c>
      <c r="I568">
        <v>466.29</v>
      </c>
      <c r="J568">
        <v>0.3</v>
      </c>
      <c r="K568">
        <v>52.22</v>
      </c>
      <c r="L568">
        <v>7.92</v>
      </c>
      <c r="M568">
        <v>712.95</v>
      </c>
      <c r="N568" t="s">
        <v>24</v>
      </c>
      <c r="O568" t="s">
        <v>107</v>
      </c>
      <c r="P568" t="s">
        <v>60</v>
      </c>
      <c r="Q568" t="s">
        <v>37</v>
      </c>
      <c r="R568" t="s">
        <v>183</v>
      </c>
    </row>
    <row r="569" spans="1:18" x14ac:dyDescent="0.3">
      <c r="A569" t="s">
        <v>1112</v>
      </c>
      <c r="B569" s="13">
        <v>44393</v>
      </c>
      <c r="C569" t="s">
        <v>1113</v>
      </c>
      <c r="D569" t="s">
        <v>477</v>
      </c>
      <c r="E569" t="s">
        <v>267</v>
      </c>
      <c r="F569" t="s">
        <v>33</v>
      </c>
      <c r="G569" t="s">
        <v>198</v>
      </c>
      <c r="H569">
        <v>3</v>
      </c>
      <c r="I569">
        <v>321.01</v>
      </c>
      <c r="J569">
        <v>0</v>
      </c>
      <c r="K569">
        <v>115.56</v>
      </c>
      <c r="L569">
        <v>9.7200000000000006</v>
      </c>
      <c r="M569">
        <v>1088.31</v>
      </c>
      <c r="N569" t="s">
        <v>35</v>
      </c>
      <c r="O569" t="s">
        <v>25</v>
      </c>
      <c r="P569" t="s">
        <v>117</v>
      </c>
      <c r="Q569" t="s">
        <v>118</v>
      </c>
      <c r="R569" t="s">
        <v>76</v>
      </c>
    </row>
    <row r="570" spans="1:18" x14ac:dyDescent="0.3">
      <c r="A570" t="s">
        <v>1128</v>
      </c>
      <c r="B570" s="13">
        <v>45463</v>
      </c>
      <c r="C570" t="s">
        <v>1129</v>
      </c>
      <c r="D570" t="s">
        <v>754</v>
      </c>
      <c r="E570" t="s">
        <v>182</v>
      </c>
      <c r="F570" t="s">
        <v>33</v>
      </c>
      <c r="G570" t="s">
        <v>198</v>
      </c>
      <c r="H570">
        <v>3</v>
      </c>
      <c r="I570">
        <v>446.18</v>
      </c>
      <c r="J570">
        <v>0</v>
      </c>
      <c r="K570">
        <v>160.62</v>
      </c>
      <c r="L570">
        <v>0.96</v>
      </c>
      <c r="M570">
        <v>1500.12</v>
      </c>
      <c r="N570" t="s">
        <v>35</v>
      </c>
      <c r="O570" t="s">
        <v>25</v>
      </c>
      <c r="P570" t="s">
        <v>95</v>
      </c>
      <c r="Q570" t="s">
        <v>37</v>
      </c>
      <c r="R570" t="s">
        <v>38</v>
      </c>
    </row>
    <row r="571" spans="1:18" x14ac:dyDescent="0.3">
      <c r="A571" t="s">
        <v>1136</v>
      </c>
      <c r="B571" s="13">
        <v>45335</v>
      </c>
      <c r="C571" t="s">
        <v>1137</v>
      </c>
      <c r="D571" t="s">
        <v>566</v>
      </c>
      <c r="E571" t="s">
        <v>437</v>
      </c>
      <c r="F571" t="s">
        <v>33</v>
      </c>
      <c r="G571" t="s">
        <v>34</v>
      </c>
      <c r="H571">
        <v>3</v>
      </c>
      <c r="I571">
        <v>532.69000000000005</v>
      </c>
      <c r="J571">
        <v>0</v>
      </c>
      <c r="K571">
        <v>287.64999999999998</v>
      </c>
      <c r="L571">
        <v>10.38</v>
      </c>
      <c r="M571">
        <v>1896.1</v>
      </c>
      <c r="N571" t="s">
        <v>35</v>
      </c>
      <c r="O571" t="s">
        <v>59</v>
      </c>
      <c r="P571" t="s">
        <v>26</v>
      </c>
      <c r="Q571" t="s">
        <v>27</v>
      </c>
      <c r="R571" t="s">
        <v>28</v>
      </c>
    </row>
    <row r="572" spans="1:18" x14ac:dyDescent="0.3">
      <c r="A572" t="s">
        <v>1144</v>
      </c>
      <c r="B572" s="13">
        <v>44489</v>
      </c>
      <c r="C572" t="s">
        <v>1145</v>
      </c>
      <c r="D572" t="s">
        <v>266</v>
      </c>
      <c r="E572" t="s">
        <v>498</v>
      </c>
      <c r="F572" t="s">
        <v>33</v>
      </c>
      <c r="G572" t="s">
        <v>49</v>
      </c>
      <c r="H572">
        <v>3</v>
      </c>
      <c r="I572">
        <v>495.51</v>
      </c>
      <c r="J572">
        <v>0.3</v>
      </c>
      <c r="K572">
        <v>124.87</v>
      </c>
      <c r="L572">
        <v>4.78</v>
      </c>
      <c r="M572">
        <v>1170.22</v>
      </c>
      <c r="N572" t="s">
        <v>123</v>
      </c>
      <c r="O572" t="s">
        <v>82</v>
      </c>
      <c r="P572" t="s">
        <v>150</v>
      </c>
      <c r="Q572" t="s">
        <v>69</v>
      </c>
      <c r="R572" t="s">
        <v>38</v>
      </c>
    </row>
    <row r="573" spans="1:18" x14ac:dyDescent="0.3">
      <c r="A573" t="s">
        <v>1146</v>
      </c>
      <c r="B573" s="13">
        <v>45370</v>
      </c>
      <c r="C573" t="s">
        <v>1147</v>
      </c>
      <c r="D573" t="s">
        <v>172</v>
      </c>
      <c r="E573" t="s">
        <v>177</v>
      </c>
      <c r="F573" t="s">
        <v>33</v>
      </c>
      <c r="G573" t="s">
        <v>49</v>
      </c>
      <c r="H573">
        <v>4</v>
      </c>
      <c r="I573">
        <v>26.26</v>
      </c>
      <c r="J573">
        <v>0.1</v>
      </c>
      <c r="K573">
        <v>4.7300000000000004</v>
      </c>
      <c r="L573">
        <v>4.1399999999999997</v>
      </c>
      <c r="M573">
        <v>103.41</v>
      </c>
      <c r="N573" t="s">
        <v>35</v>
      </c>
      <c r="O573" t="s">
        <v>107</v>
      </c>
      <c r="P573" t="s">
        <v>83</v>
      </c>
      <c r="Q573" t="s">
        <v>84</v>
      </c>
      <c r="R573" t="s">
        <v>38</v>
      </c>
    </row>
    <row r="574" spans="1:18" x14ac:dyDescent="0.3">
      <c r="A574" t="s">
        <v>1152</v>
      </c>
      <c r="B574" s="13">
        <v>44903</v>
      </c>
      <c r="C574" t="s">
        <v>1153</v>
      </c>
      <c r="D574" t="s">
        <v>79</v>
      </c>
      <c r="E574" t="s">
        <v>122</v>
      </c>
      <c r="F574" t="s">
        <v>33</v>
      </c>
      <c r="G574" t="s">
        <v>57</v>
      </c>
      <c r="H574">
        <v>2</v>
      </c>
      <c r="I574">
        <v>254.34</v>
      </c>
      <c r="J574">
        <v>0</v>
      </c>
      <c r="K574">
        <v>40.69</v>
      </c>
      <c r="L574">
        <v>2.34</v>
      </c>
      <c r="M574">
        <v>551.71</v>
      </c>
      <c r="N574" t="s">
        <v>123</v>
      </c>
      <c r="O574" t="s">
        <v>107</v>
      </c>
      <c r="P574" t="s">
        <v>44</v>
      </c>
      <c r="Q574" t="s">
        <v>37</v>
      </c>
      <c r="R574" t="s">
        <v>38</v>
      </c>
    </row>
    <row r="575" spans="1:18" x14ac:dyDescent="0.3">
      <c r="A575" t="s">
        <v>1156</v>
      </c>
      <c r="B575" s="13">
        <v>43847</v>
      </c>
      <c r="C575" t="s">
        <v>1157</v>
      </c>
      <c r="D575" t="s">
        <v>1158</v>
      </c>
      <c r="E575" t="s">
        <v>271</v>
      </c>
      <c r="F575" t="s">
        <v>33</v>
      </c>
      <c r="G575" t="s">
        <v>203</v>
      </c>
      <c r="H575">
        <v>5</v>
      </c>
      <c r="I575">
        <v>556.34</v>
      </c>
      <c r="J575">
        <v>0</v>
      </c>
      <c r="K575">
        <v>333.8</v>
      </c>
      <c r="L575">
        <v>5.55</v>
      </c>
      <c r="M575">
        <v>3121.05</v>
      </c>
      <c r="N575" t="s">
        <v>24</v>
      </c>
      <c r="O575" t="s">
        <v>107</v>
      </c>
      <c r="P575" t="s">
        <v>178</v>
      </c>
      <c r="Q575" t="s">
        <v>69</v>
      </c>
      <c r="R575" t="s">
        <v>28</v>
      </c>
    </row>
    <row r="576" spans="1:18" x14ac:dyDescent="0.3">
      <c r="A576" t="s">
        <v>1179</v>
      </c>
      <c r="B576" s="13">
        <v>44891</v>
      </c>
      <c r="C576" t="s">
        <v>1180</v>
      </c>
      <c r="D576" t="s">
        <v>720</v>
      </c>
      <c r="E576" t="s">
        <v>267</v>
      </c>
      <c r="F576" t="s">
        <v>33</v>
      </c>
      <c r="G576" t="s">
        <v>198</v>
      </c>
      <c r="H576">
        <v>1</v>
      </c>
      <c r="I576">
        <v>34.57</v>
      </c>
      <c r="J576">
        <v>0</v>
      </c>
      <c r="K576">
        <v>1.73</v>
      </c>
      <c r="L576">
        <v>5.7</v>
      </c>
      <c r="M576">
        <v>42</v>
      </c>
      <c r="N576" t="s">
        <v>50</v>
      </c>
      <c r="O576" t="s">
        <v>25</v>
      </c>
      <c r="P576" t="s">
        <v>83</v>
      </c>
      <c r="Q576" t="s">
        <v>84</v>
      </c>
      <c r="R576" t="s">
        <v>38</v>
      </c>
    </row>
    <row r="577" spans="1:18" x14ac:dyDescent="0.3">
      <c r="A577" t="s">
        <v>1183</v>
      </c>
      <c r="B577" s="13">
        <v>45203</v>
      </c>
      <c r="C577" t="s">
        <v>1184</v>
      </c>
      <c r="D577" t="s">
        <v>219</v>
      </c>
      <c r="E577" t="s">
        <v>142</v>
      </c>
      <c r="F577" t="s">
        <v>33</v>
      </c>
      <c r="G577" t="s">
        <v>49</v>
      </c>
      <c r="H577">
        <v>5</v>
      </c>
      <c r="I577">
        <v>36.14</v>
      </c>
      <c r="J577">
        <v>0.05</v>
      </c>
      <c r="K577">
        <v>8.58</v>
      </c>
      <c r="L577">
        <v>11.65</v>
      </c>
      <c r="M577">
        <v>191.9</v>
      </c>
      <c r="N577" t="s">
        <v>24</v>
      </c>
      <c r="O577" t="s">
        <v>107</v>
      </c>
      <c r="P577" t="s">
        <v>124</v>
      </c>
      <c r="Q577" t="s">
        <v>125</v>
      </c>
      <c r="R577" t="s">
        <v>183</v>
      </c>
    </row>
    <row r="578" spans="1:18" x14ac:dyDescent="0.3">
      <c r="A578" t="s">
        <v>1196</v>
      </c>
      <c r="B578" s="13">
        <v>44530</v>
      </c>
      <c r="C578" t="s">
        <v>1197</v>
      </c>
      <c r="D578" t="s">
        <v>1176</v>
      </c>
      <c r="E578" t="s">
        <v>349</v>
      </c>
      <c r="F578" t="s">
        <v>33</v>
      </c>
      <c r="G578" t="s">
        <v>66</v>
      </c>
      <c r="H578">
        <v>2</v>
      </c>
      <c r="I578">
        <v>430.44</v>
      </c>
      <c r="J578">
        <v>0.15</v>
      </c>
      <c r="K578">
        <v>87.81</v>
      </c>
      <c r="L578">
        <v>0.26</v>
      </c>
      <c r="M578">
        <v>819.82</v>
      </c>
      <c r="N578" t="s">
        <v>24</v>
      </c>
      <c r="O578" t="s">
        <v>25</v>
      </c>
      <c r="P578" t="s">
        <v>133</v>
      </c>
      <c r="Q578" t="s">
        <v>134</v>
      </c>
      <c r="R578" t="s">
        <v>38</v>
      </c>
    </row>
    <row r="579" spans="1:18" x14ac:dyDescent="0.3">
      <c r="A579" t="s">
        <v>1200</v>
      </c>
      <c r="B579" s="13">
        <v>44970</v>
      </c>
      <c r="C579" t="s">
        <v>1201</v>
      </c>
      <c r="D579" t="s">
        <v>196</v>
      </c>
      <c r="E579" t="s">
        <v>99</v>
      </c>
      <c r="F579" t="s">
        <v>33</v>
      </c>
      <c r="G579" t="s">
        <v>268</v>
      </c>
      <c r="H579">
        <v>1</v>
      </c>
      <c r="I579">
        <v>68.55</v>
      </c>
      <c r="J579">
        <v>0</v>
      </c>
      <c r="K579">
        <v>3.43</v>
      </c>
      <c r="L579">
        <v>1.06</v>
      </c>
      <c r="M579">
        <v>73.040000000000006</v>
      </c>
      <c r="N579" t="s">
        <v>35</v>
      </c>
      <c r="O579" t="s">
        <v>25</v>
      </c>
      <c r="P579" t="s">
        <v>150</v>
      </c>
      <c r="Q579" t="s">
        <v>69</v>
      </c>
      <c r="R579" t="s">
        <v>38</v>
      </c>
    </row>
    <row r="580" spans="1:18" x14ac:dyDescent="0.3">
      <c r="A580" t="s">
        <v>1204</v>
      </c>
      <c r="B580" s="13">
        <v>44083</v>
      </c>
      <c r="C580" t="s">
        <v>1205</v>
      </c>
      <c r="D580" t="s">
        <v>477</v>
      </c>
      <c r="E580" t="s">
        <v>88</v>
      </c>
      <c r="F580" t="s">
        <v>33</v>
      </c>
      <c r="G580" t="s">
        <v>34</v>
      </c>
      <c r="H580">
        <v>4</v>
      </c>
      <c r="I580">
        <v>380.51</v>
      </c>
      <c r="J580">
        <v>0</v>
      </c>
      <c r="K580">
        <v>76.099999999999994</v>
      </c>
      <c r="L580">
        <v>6.78</v>
      </c>
      <c r="M580">
        <v>1604.92</v>
      </c>
      <c r="N580" t="s">
        <v>35</v>
      </c>
      <c r="O580" t="s">
        <v>25</v>
      </c>
      <c r="P580" t="s">
        <v>112</v>
      </c>
      <c r="Q580" t="s">
        <v>113</v>
      </c>
      <c r="R580" t="s">
        <v>38</v>
      </c>
    </row>
    <row r="581" spans="1:18" x14ac:dyDescent="0.3">
      <c r="A581" t="s">
        <v>1208</v>
      </c>
      <c r="B581" s="13">
        <v>44758</v>
      </c>
      <c r="C581" t="s">
        <v>1209</v>
      </c>
      <c r="D581" t="s">
        <v>445</v>
      </c>
      <c r="E581" t="s">
        <v>21</v>
      </c>
      <c r="F581" t="s">
        <v>33</v>
      </c>
      <c r="G581" t="s">
        <v>198</v>
      </c>
      <c r="H581">
        <v>5</v>
      </c>
      <c r="I581">
        <v>126.64</v>
      </c>
      <c r="J581">
        <v>0.25</v>
      </c>
      <c r="K581">
        <v>0</v>
      </c>
      <c r="L581">
        <v>7.13</v>
      </c>
      <c r="M581">
        <v>482.03</v>
      </c>
      <c r="N581" t="s">
        <v>24</v>
      </c>
      <c r="O581" t="s">
        <v>25</v>
      </c>
      <c r="P581" t="s">
        <v>95</v>
      </c>
      <c r="Q581" t="s">
        <v>37</v>
      </c>
      <c r="R581" t="s">
        <v>28</v>
      </c>
    </row>
    <row r="582" spans="1:18" x14ac:dyDescent="0.3">
      <c r="A582" t="s">
        <v>1212</v>
      </c>
      <c r="B582" s="13">
        <v>45110</v>
      </c>
      <c r="C582" t="s">
        <v>1213</v>
      </c>
      <c r="D582" t="s">
        <v>116</v>
      </c>
      <c r="E582" t="s">
        <v>111</v>
      </c>
      <c r="F582" t="s">
        <v>33</v>
      </c>
      <c r="G582" t="s">
        <v>203</v>
      </c>
      <c r="H582">
        <v>3</v>
      </c>
      <c r="I582">
        <v>32.950000000000003</v>
      </c>
      <c r="J582">
        <v>0.1</v>
      </c>
      <c r="K582">
        <v>10.68</v>
      </c>
      <c r="L582">
        <v>10.47</v>
      </c>
      <c r="M582">
        <v>110.12</v>
      </c>
      <c r="N582" t="s">
        <v>123</v>
      </c>
      <c r="O582" t="s">
        <v>107</v>
      </c>
      <c r="P582" t="s">
        <v>36</v>
      </c>
      <c r="Q582" t="s">
        <v>37</v>
      </c>
      <c r="R582" t="s">
        <v>183</v>
      </c>
    </row>
    <row r="583" spans="1:18" x14ac:dyDescent="0.3">
      <c r="A583" t="s">
        <v>1222</v>
      </c>
      <c r="B583" s="13">
        <v>45589</v>
      </c>
      <c r="C583" t="s">
        <v>1223</v>
      </c>
      <c r="D583" t="s">
        <v>223</v>
      </c>
      <c r="E583" t="s">
        <v>577</v>
      </c>
      <c r="F583" t="s">
        <v>33</v>
      </c>
      <c r="G583" t="s">
        <v>57</v>
      </c>
      <c r="H583">
        <v>3</v>
      </c>
      <c r="I583">
        <v>129.68</v>
      </c>
      <c r="J583">
        <v>0.05</v>
      </c>
      <c r="K583">
        <v>29.57</v>
      </c>
      <c r="L583">
        <v>10.42</v>
      </c>
      <c r="M583">
        <v>409.58</v>
      </c>
      <c r="N583" t="s">
        <v>50</v>
      </c>
      <c r="O583" t="s">
        <v>25</v>
      </c>
      <c r="P583" t="s">
        <v>36</v>
      </c>
      <c r="Q583" t="s">
        <v>37</v>
      </c>
      <c r="R583" t="s">
        <v>28</v>
      </c>
    </row>
    <row r="584" spans="1:18" x14ac:dyDescent="0.3">
      <c r="A584" t="s">
        <v>1228</v>
      </c>
      <c r="B584" s="13">
        <v>45177</v>
      </c>
      <c r="C584" t="s">
        <v>1229</v>
      </c>
      <c r="D584" t="s">
        <v>266</v>
      </c>
      <c r="E584" t="s">
        <v>365</v>
      </c>
      <c r="F584" t="s">
        <v>33</v>
      </c>
      <c r="G584" t="s">
        <v>203</v>
      </c>
      <c r="H584">
        <v>4</v>
      </c>
      <c r="I584">
        <v>533.72</v>
      </c>
      <c r="J584">
        <v>0.05</v>
      </c>
      <c r="K584">
        <v>0</v>
      </c>
      <c r="L584">
        <v>0.17</v>
      </c>
      <c r="M584">
        <v>2028.31</v>
      </c>
      <c r="N584" t="s">
        <v>67</v>
      </c>
      <c r="O584" t="s">
        <v>25</v>
      </c>
      <c r="P584" t="s">
        <v>124</v>
      </c>
      <c r="Q584" t="s">
        <v>125</v>
      </c>
      <c r="R584" t="s">
        <v>38</v>
      </c>
    </row>
    <row r="585" spans="1:18" x14ac:dyDescent="0.3">
      <c r="A585" t="s">
        <v>1236</v>
      </c>
      <c r="B585" s="13">
        <v>45142</v>
      </c>
      <c r="C585" t="s">
        <v>1237</v>
      </c>
      <c r="D585" t="s">
        <v>137</v>
      </c>
      <c r="E585" t="s">
        <v>80</v>
      </c>
      <c r="F585" t="s">
        <v>33</v>
      </c>
      <c r="G585" t="s">
        <v>49</v>
      </c>
      <c r="H585">
        <v>3</v>
      </c>
      <c r="I585">
        <v>15.36</v>
      </c>
      <c r="J585">
        <v>0</v>
      </c>
      <c r="K585">
        <v>3.69</v>
      </c>
      <c r="L585">
        <v>7.65</v>
      </c>
      <c r="M585">
        <v>57.42</v>
      </c>
      <c r="N585" t="s">
        <v>67</v>
      </c>
      <c r="O585" t="s">
        <v>25</v>
      </c>
      <c r="P585" t="s">
        <v>173</v>
      </c>
      <c r="Q585" t="s">
        <v>174</v>
      </c>
      <c r="R585" t="s">
        <v>38</v>
      </c>
    </row>
    <row r="586" spans="1:18" x14ac:dyDescent="0.3">
      <c r="A586" t="s">
        <v>1242</v>
      </c>
      <c r="B586" s="13">
        <v>44792</v>
      </c>
      <c r="C586" t="s">
        <v>1243</v>
      </c>
      <c r="D586" t="s">
        <v>312</v>
      </c>
      <c r="E586" t="s">
        <v>597</v>
      </c>
      <c r="F586" t="s">
        <v>33</v>
      </c>
      <c r="G586" t="s">
        <v>198</v>
      </c>
      <c r="H586">
        <v>3</v>
      </c>
      <c r="I586">
        <v>336</v>
      </c>
      <c r="J586">
        <v>0</v>
      </c>
      <c r="K586">
        <v>50.4</v>
      </c>
      <c r="L586">
        <v>5.81</v>
      </c>
      <c r="M586">
        <v>1064.21</v>
      </c>
      <c r="N586" t="s">
        <v>123</v>
      </c>
      <c r="O586" t="s">
        <v>25</v>
      </c>
      <c r="P586" t="s">
        <v>26</v>
      </c>
      <c r="Q586" t="s">
        <v>27</v>
      </c>
      <c r="R586" t="s">
        <v>28</v>
      </c>
    </row>
    <row r="587" spans="1:18" x14ac:dyDescent="0.3">
      <c r="A587" t="s">
        <v>1246</v>
      </c>
      <c r="B587" s="13">
        <v>43985</v>
      </c>
      <c r="C587" t="s">
        <v>1247</v>
      </c>
      <c r="D587" t="s">
        <v>1176</v>
      </c>
      <c r="E587" t="s">
        <v>340</v>
      </c>
      <c r="F587" t="s">
        <v>33</v>
      </c>
      <c r="G587" t="s">
        <v>23</v>
      </c>
      <c r="H587">
        <v>4</v>
      </c>
      <c r="I587">
        <v>346.72</v>
      </c>
      <c r="J587">
        <v>0</v>
      </c>
      <c r="K587">
        <v>69.34</v>
      </c>
      <c r="L587">
        <v>12.25</v>
      </c>
      <c r="M587">
        <v>1468.47</v>
      </c>
      <c r="N587" t="s">
        <v>123</v>
      </c>
      <c r="O587" t="s">
        <v>25</v>
      </c>
      <c r="P587" t="s">
        <v>36</v>
      </c>
      <c r="Q587" t="s">
        <v>37</v>
      </c>
      <c r="R587" t="s">
        <v>38</v>
      </c>
    </row>
    <row r="588" spans="1:18" x14ac:dyDescent="0.3">
      <c r="A588" t="s">
        <v>1256</v>
      </c>
      <c r="B588" s="13">
        <v>45247</v>
      </c>
      <c r="C588" t="s">
        <v>1257</v>
      </c>
      <c r="D588" t="s">
        <v>796</v>
      </c>
      <c r="E588" t="s">
        <v>256</v>
      </c>
      <c r="F588" t="s">
        <v>33</v>
      </c>
      <c r="G588" t="s">
        <v>198</v>
      </c>
      <c r="H588">
        <v>5</v>
      </c>
      <c r="I588">
        <v>132.25</v>
      </c>
      <c r="J588">
        <v>0.1</v>
      </c>
      <c r="K588">
        <v>47.61</v>
      </c>
      <c r="L588">
        <v>10.62</v>
      </c>
      <c r="M588">
        <v>653.36</v>
      </c>
      <c r="N588" t="s">
        <v>35</v>
      </c>
      <c r="O588" t="s">
        <v>107</v>
      </c>
      <c r="P588" t="s">
        <v>68</v>
      </c>
      <c r="Q588" t="s">
        <v>69</v>
      </c>
      <c r="R588" t="s">
        <v>183</v>
      </c>
    </row>
    <row r="589" spans="1:18" x14ac:dyDescent="0.3">
      <c r="A589" t="s">
        <v>1260</v>
      </c>
      <c r="B589" s="13">
        <v>45030</v>
      </c>
      <c r="C589" t="s">
        <v>1261</v>
      </c>
      <c r="D589" t="s">
        <v>1262</v>
      </c>
      <c r="E589" t="s">
        <v>283</v>
      </c>
      <c r="F589" t="s">
        <v>33</v>
      </c>
      <c r="G589" t="s">
        <v>198</v>
      </c>
      <c r="H589">
        <v>1</v>
      </c>
      <c r="I589">
        <v>225.88</v>
      </c>
      <c r="J589">
        <v>0</v>
      </c>
      <c r="K589">
        <v>18.07</v>
      </c>
      <c r="L589">
        <v>8.59</v>
      </c>
      <c r="M589">
        <v>252.54</v>
      </c>
      <c r="N589" t="s">
        <v>67</v>
      </c>
      <c r="O589" t="s">
        <v>25</v>
      </c>
      <c r="P589" t="s">
        <v>83</v>
      </c>
      <c r="Q589" t="s">
        <v>84</v>
      </c>
      <c r="R589" t="s">
        <v>28</v>
      </c>
    </row>
    <row r="590" spans="1:18" x14ac:dyDescent="0.3">
      <c r="A590" t="s">
        <v>1271</v>
      </c>
      <c r="B590" s="13">
        <v>44589</v>
      </c>
      <c r="C590" t="s">
        <v>1272</v>
      </c>
      <c r="D590" t="s">
        <v>421</v>
      </c>
      <c r="E590" t="s">
        <v>32</v>
      </c>
      <c r="F590" t="s">
        <v>33</v>
      </c>
      <c r="G590" t="s">
        <v>198</v>
      </c>
      <c r="H590">
        <v>3</v>
      </c>
      <c r="I590">
        <v>132.25</v>
      </c>
      <c r="J590">
        <v>0</v>
      </c>
      <c r="K590">
        <v>0</v>
      </c>
      <c r="L590">
        <v>12.37</v>
      </c>
      <c r="M590">
        <v>409.12</v>
      </c>
      <c r="N590" t="s">
        <v>58</v>
      </c>
      <c r="O590" t="s">
        <v>25</v>
      </c>
      <c r="P590" t="s">
        <v>60</v>
      </c>
      <c r="Q590" t="s">
        <v>37</v>
      </c>
      <c r="R590" t="s">
        <v>38</v>
      </c>
    </row>
    <row r="591" spans="1:18" x14ac:dyDescent="0.3">
      <c r="A591" t="s">
        <v>1273</v>
      </c>
      <c r="B591" s="13">
        <v>44368</v>
      </c>
      <c r="C591" t="s">
        <v>1274</v>
      </c>
      <c r="D591" t="s">
        <v>558</v>
      </c>
      <c r="E591" t="s">
        <v>392</v>
      </c>
      <c r="F591" t="s">
        <v>33</v>
      </c>
      <c r="G591" t="s">
        <v>100</v>
      </c>
      <c r="H591">
        <v>1</v>
      </c>
      <c r="I591">
        <v>196.79</v>
      </c>
      <c r="J591">
        <v>0</v>
      </c>
      <c r="K591">
        <v>9.84</v>
      </c>
      <c r="L591">
        <v>12.51</v>
      </c>
      <c r="M591">
        <v>219.14</v>
      </c>
      <c r="N591" t="s">
        <v>35</v>
      </c>
      <c r="O591" t="s">
        <v>25</v>
      </c>
      <c r="P591" t="s">
        <v>133</v>
      </c>
      <c r="Q591" t="s">
        <v>134</v>
      </c>
      <c r="R591" t="s">
        <v>38</v>
      </c>
    </row>
    <row r="592" spans="1:18" x14ac:dyDescent="0.3">
      <c r="A592" t="s">
        <v>1279</v>
      </c>
      <c r="B592" s="13">
        <v>44355</v>
      </c>
      <c r="C592" t="s">
        <v>689</v>
      </c>
      <c r="D592" t="s">
        <v>41</v>
      </c>
      <c r="E592" t="s">
        <v>73</v>
      </c>
      <c r="F592" t="s">
        <v>33</v>
      </c>
      <c r="G592" t="s">
        <v>49</v>
      </c>
      <c r="H592">
        <v>3</v>
      </c>
      <c r="I592">
        <v>570.89</v>
      </c>
      <c r="J592">
        <v>0.05</v>
      </c>
      <c r="K592">
        <v>81.349999999999994</v>
      </c>
      <c r="L592">
        <v>8.56</v>
      </c>
      <c r="M592">
        <v>1716.95</v>
      </c>
      <c r="N592" t="s">
        <v>123</v>
      </c>
      <c r="O592" t="s">
        <v>25</v>
      </c>
      <c r="P592" t="s">
        <v>51</v>
      </c>
      <c r="Q592" t="s">
        <v>52</v>
      </c>
      <c r="R592" t="s">
        <v>38</v>
      </c>
    </row>
    <row r="593" spans="1:18" x14ac:dyDescent="0.3">
      <c r="A593" t="s">
        <v>1286</v>
      </c>
      <c r="B593" s="13">
        <v>43866</v>
      </c>
      <c r="C593" t="s">
        <v>1287</v>
      </c>
      <c r="D593" t="s">
        <v>193</v>
      </c>
      <c r="E593" t="s">
        <v>111</v>
      </c>
      <c r="F593" t="s">
        <v>33</v>
      </c>
      <c r="G593" t="s">
        <v>203</v>
      </c>
      <c r="H593">
        <v>1</v>
      </c>
      <c r="I593">
        <v>88.21</v>
      </c>
      <c r="J593">
        <v>0.2</v>
      </c>
      <c r="K593">
        <v>3.53</v>
      </c>
      <c r="L593">
        <v>10.93</v>
      </c>
      <c r="M593">
        <v>85.03</v>
      </c>
      <c r="N593" t="s">
        <v>24</v>
      </c>
      <c r="O593" t="s">
        <v>25</v>
      </c>
      <c r="P593" t="s">
        <v>112</v>
      </c>
      <c r="Q593" t="s">
        <v>113</v>
      </c>
      <c r="R593" t="s">
        <v>38</v>
      </c>
    </row>
    <row r="594" spans="1:18" x14ac:dyDescent="0.3">
      <c r="A594" t="s">
        <v>1302</v>
      </c>
      <c r="B594" s="13">
        <v>44802</v>
      </c>
      <c r="C594" t="s">
        <v>1303</v>
      </c>
      <c r="D594" t="s">
        <v>804</v>
      </c>
      <c r="E594" t="s">
        <v>106</v>
      </c>
      <c r="F594" t="s">
        <v>33</v>
      </c>
      <c r="G594" t="s">
        <v>268</v>
      </c>
      <c r="H594">
        <v>2</v>
      </c>
      <c r="I594">
        <v>442.68</v>
      </c>
      <c r="J594">
        <v>0</v>
      </c>
      <c r="K594">
        <v>0</v>
      </c>
      <c r="L594">
        <v>8.41</v>
      </c>
      <c r="M594">
        <v>893.77</v>
      </c>
      <c r="N594" t="s">
        <v>58</v>
      </c>
      <c r="O594" t="s">
        <v>25</v>
      </c>
      <c r="P594" t="s">
        <v>124</v>
      </c>
      <c r="Q594" t="s">
        <v>125</v>
      </c>
      <c r="R594" t="s">
        <v>38</v>
      </c>
    </row>
    <row r="595" spans="1:18" x14ac:dyDescent="0.3">
      <c r="A595" t="s">
        <v>1304</v>
      </c>
      <c r="B595" s="13">
        <v>44301</v>
      </c>
      <c r="C595" t="s">
        <v>1305</v>
      </c>
      <c r="D595" t="s">
        <v>589</v>
      </c>
      <c r="E595" t="s">
        <v>324</v>
      </c>
      <c r="F595" t="s">
        <v>33</v>
      </c>
      <c r="G595" t="s">
        <v>198</v>
      </c>
      <c r="H595">
        <v>4</v>
      </c>
      <c r="I595">
        <v>99.57</v>
      </c>
      <c r="J595">
        <v>0.1</v>
      </c>
      <c r="K595">
        <v>28.68</v>
      </c>
      <c r="L595">
        <v>0.28000000000000003</v>
      </c>
      <c r="M595">
        <v>387.41</v>
      </c>
      <c r="N595" t="s">
        <v>58</v>
      </c>
      <c r="O595" t="s">
        <v>25</v>
      </c>
      <c r="P595" t="s">
        <v>95</v>
      </c>
      <c r="Q595" t="s">
        <v>37</v>
      </c>
      <c r="R595" t="s">
        <v>28</v>
      </c>
    </row>
    <row r="596" spans="1:18" x14ac:dyDescent="0.3">
      <c r="A596" t="s">
        <v>1325</v>
      </c>
      <c r="B596" s="13">
        <v>45552</v>
      </c>
      <c r="C596" t="s">
        <v>1326</v>
      </c>
      <c r="D596" t="s">
        <v>1312</v>
      </c>
      <c r="E596" t="s">
        <v>256</v>
      </c>
      <c r="F596" t="s">
        <v>33</v>
      </c>
      <c r="G596" t="s">
        <v>66</v>
      </c>
      <c r="H596">
        <v>4</v>
      </c>
      <c r="I596">
        <v>128.54</v>
      </c>
      <c r="J596">
        <v>0</v>
      </c>
      <c r="K596">
        <v>25.71</v>
      </c>
      <c r="L596">
        <v>7.28</v>
      </c>
      <c r="M596">
        <v>547.15</v>
      </c>
      <c r="N596" t="s">
        <v>50</v>
      </c>
      <c r="O596" t="s">
        <v>25</v>
      </c>
      <c r="P596" t="s">
        <v>44</v>
      </c>
      <c r="Q596" t="s">
        <v>37</v>
      </c>
      <c r="R596" t="s">
        <v>38</v>
      </c>
    </row>
    <row r="597" spans="1:18" x14ac:dyDescent="0.3">
      <c r="A597" t="s">
        <v>1333</v>
      </c>
      <c r="B597" s="13">
        <v>43980</v>
      </c>
      <c r="C597" t="s">
        <v>1334</v>
      </c>
      <c r="D597" t="s">
        <v>266</v>
      </c>
      <c r="E597" t="s">
        <v>132</v>
      </c>
      <c r="F597" t="s">
        <v>33</v>
      </c>
      <c r="G597" t="s">
        <v>34</v>
      </c>
      <c r="H597">
        <v>3</v>
      </c>
      <c r="I597">
        <v>86.48</v>
      </c>
      <c r="J597">
        <v>0.05</v>
      </c>
      <c r="K597">
        <v>12.32</v>
      </c>
      <c r="L597">
        <v>3.55</v>
      </c>
      <c r="M597">
        <v>262.33999999999997</v>
      </c>
      <c r="N597" t="s">
        <v>123</v>
      </c>
      <c r="O597" t="s">
        <v>25</v>
      </c>
      <c r="P597" t="s">
        <v>257</v>
      </c>
      <c r="Q597" t="s">
        <v>69</v>
      </c>
      <c r="R597" t="s">
        <v>38</v>
      </c>
    </row>
    <row r="598" spans="1:18" x14ac:dyDescent="0.3">
      <c r="A598" t="s">
        <v>1350</v>
      </c>
      <c r="B598" s="13">
        <v>45637</v>
      </c>
      <c r="C598" t="s">
        <v>1351</v>
      </c>
      <c r="D598" t="s">
        <v>1352</v>
      </c>
      <c r="E598" t="s">
        <v>111</v>
      </c>
      <c r="F598" t="s">
        <v>33</v>
      </c>
      <c r="G598" t="s">
        <v>57</v>
      </c>
      <c r="H598">
        <v>1</v>
      </c>
      <c r="I598">
        <v>379.07</v>
      </c>
      <c r="J598">
        <v>0</v>
      </c>
      <c r="K598">
        <v>0</v>
      </c>
      <c r="L598">
        <v>10.43</v>
      </c>
      <c r="M598">
        <v>389.5</v>
      </c>
      <c r="N598" t="s">
        <v>24</v>
      </c>
      <c r="O598" t="s">
        <v>25</v>
      </c>
      <c r="P598" t="s">
        <v>133</v>
      </c>
      <c r="Q598" t="s">
        <v>134</v>
      </c>
      <c r="R598" t="s">
        <v>38</v>
      </c>
    </row>
    <row r="599" spans="1:18" x14ac:dyDescent="0.3">
      <c r="A599" t="s">
        <v>1359</v>
      </c>
      <c r="B599" s="13">
        <v>44443</v>
      </c>
      <c r="C599" t="s">
        <v>1360</v>
      </c>
      <c r="D599" t="s">
        <v>1189</v>
      </c>
      <c r="E599" t="s">
        <v>111</v>
      </c>
      <c r="F599" t="s">
        <v>33</v>
      </c>
      <c r="G599" t="s">
        <v>90</v>
      </c>
      <c r="H599">
        <v>4</v>
      </c>
      <c r="I599">
        <v>222.81</v>
      </c>
      <c r="J599">
        <v>0.1</v>
      </c>
      <c r="K599">
        <v>64.17</v>
      </c>
      <c r="L599">
        <v>7.89</v>
      </c>
      <c r="M599">
        <v>874.18</v>
      </c>
      <c r="N599" t="s">
        <v>58</v>
      </c>
      <c r="O599" t="s">
        <v>25</v>
      </c>
      <c r="P599" t="s">
        <v>74</v>
      </c>
      <c r="Q599" t="s">
        <v>75</v>
      </c>
      <c r="R599" t="s">
        <v>61</v>
      </c>
    </row>
    <row r="600" spans="1:18" x14ac:dyDescent="0.3">
      <c r="A600" t="s">
        <v>1388</v>
      </c>
      <c r="B600" s="13">
        <v>44714</v>
      </c>
      <c r="C600" t="s">
        <v>1389</v>
      </c>
      <c r="D600" t="s">
        <v>1096</v>
      </c>
      <c r="E600" t="s">
        <v>160</v>
      </c>
      <c r="F600" t="s">
        <v>33</v>
      </c>
      <c r="G600" t="s">
        <v>100</v>
      </c>
      <c r="H600">
        <v>4</v>
      </c>
      <c r="I600">
        <v>469.66</v>
      </c>
      <c r="J600">
        <v>0</v>
      </c>
      <c r="K600">
        <v>0</v>
      </c>
      <c r="L600">
        <v>7.48</v>
      </c>
      <c r="M600">
        <v>1886.12</v>
      </c>
      <c r="N600" t="s">
        <v>50</v>
      </c>
      <c r="O600" t="s">
        <v>25</v>
      </c>
      <c r="P600" t="s">
        <v>83</v>
      </c>
      <c r="Q600" t="s">
        <v>84</v>
      </c>
      <c r="R600" t="s">
        <v>28</v>
      </c>
    </row>
    <row r="601" spans="1:18" x14ac:dyDescent="0.3">
      <c r="A601" t="s">
        <v>1392</v>
      </c>
      <c r="B601" s="13">
        <v>43877</v>
      </c>
      <c r="C601" t="s">
        <v>1393</v>
      </c>
      <c r="D601" t="s">
        <v>645</v>
      </c>
      <c r="E601" t="s">
        <v>243</v>
      </c>
      <c r="F601" t="s">
        <v>33</v>
      </c>
      <c r="G601" t="s">
        <v>100</v>
      </c>
      <c r="H601">
        <v>3</v>
      </c>
      <c r="I601">
        <v>476.51</v>
      </c>
      <c r="J601">
        <v>0</v>
      </c>
      <c r="K601">
        <v>114.36</v>
      </c>
      <c r="L601">
        <v>13.08</v>
      </c>
      <c r="M601">
        <v>1556.97</v>
      </c>
      <c r="N601" t="s">
        <v>58</v>
      </c>
      <c r="O601" t="s">
        <v>25</v>
      </c>
      <c r="P601" t="s">
        <v>257</v>
      </c>
      <c r="Q601" t="s">
        <v>69</v>
      </c>
      <c r="R601" t="s">
        <v>38</v>
      </c>
    </row>
    <row r="602" spans="1:18" x14ac:dyDescent="0.3">
      <c r="A602" t="s">
        <v>1394</v>
      </c>
      <c r="B602" s="13">
        <v>44697</v>
      </c>
      <c r="C602" t="s">
        <v>1395</v>
      </c>
      <c r="D602" t="s">
        <v>1396</v>
      </c>
      <c r="E602" t="s">
        <v>164</v>
      </c>
      <c r="F602" t="s">
        <v>33</v>
      </c>
      <c r="G602" t="s">
        <v>23</v>
      </c>
      <c r="H602">
        <v>2</v>
      </c>
      <c r="I602">
        <v>67.33</v>
      </c>
      <c r="J602">
        <v>0.05</v>
      </c>
      <c r="K602">
        <v>6.4</v>
      </c>
      <c r="L602">
        <v>3.61</v>
      </c>
      <c r="M602">
        <v>137.94</v>
      </c>
      <c r="N602" t="s">
        <v>58</v>
      </c>
      <c r="O602" t="s">
        <v>25</v>
      </c>
      <c r="P602" t="s">
        <v>101</v>
      </c>
      <c r="Q602" t="s">
        <v>102</v>
      </c>
      <c r="R602" t="s">
        <v>38</v>
      </c>
    </row>
    <row r="603" spans="1:18" x14ac:dyDescent="0.3">
      <c r="A603" t="s">
        <v>1399</v>
      </c>
      <c r="B603" s="13">
        <v>44766</v>
      </c>
      <c r="C603" t="s">
        <v>1400</v>
      </c>
      <c r="D603" t="s">
        <v>260</v>
      </c>
      <c r="E603" t="s">
        <v>106</v>
      </c>
      <c r="F603" t="s">
        <v>33</v>
      </c>
      <c r="G603" t="s">
        <v>100</v>
      </c>
      <c r="H603">
        <v>4</v>
      </c>
      <c r="I603">
        <v>238.18</v>
      </c>
      <c r="J603">
        <v>0.05</v>
      </c>
      <c r="K603">
        <v>0</v>
      </c>
      <c r="L603">
        <v>0.62</v>
      </c>
      <c r="M603">
        <v>905.7</v>
      </c>
      <c r="N603" t="s">
        <v>58</v>
      </c>
      <c r="O603" t="s">
        <v>25</v>
      </c>
      <c r="P603" t="s">
        <v>74</v>
      </c>
      <c r="Q603" t="s">
        <v>75</v>
      </c>
      <c r="R603" t="s">
        <v>61</v>
      </c>
    </row>
    <row r="604" spans="1:18" x14ac:dyDescent="0.3">
      <c r="A604" t="s">
        <v>1407</v>
      </c>
      <c r="B604" s="13">
        <v>44466</v>
      </c>
      <c r="C604" t="s">
        <v>1408</v>
      </c>
      <c r="D604" t="s">
        <v>1020</v>
      </c>
      <c r="E604" t="s">
        <v>691</v>
      </c>
      <c r="F604" t="s">
        <v>33</v>
      </c>
      <c r="G604" t="s">
        <v>90</v>
      </c>
      <c r="H604">
        <v>1</v>
      </c>
      <c r="I604">
        <v>404.79</v>
      </c>
      <c r="J604">
        <v>0</v>
      </c>
      <c r="K604">
        <v>20.239999999999998</v>
      </c>
      <c r="L604">
        <v>12.05</v>
      </c>
      <c r="M604">
        <v>437.08</v>
      </c>
      <c r="N604" t="s">
        <v>58</v>
      </c>
      <c r="O604" t="s">
        <v>25</v>
      </c>
      <c r="P604" t="s">
        <v>112</v>
      </c>
      <c r="Q604" t="s">
        <v>113</v>
      </c>
      <c r="R604" t="s">
        <v>38</v>
      </c>
    </row>
    <row r="605" spans="1:18" x14ac:dyDescent="0.3">
      <c r="A605" t="s">
        <v>1411</v>
      </c>
      <c r="B605" s="13">
        <v>45524</v>
      </c>
      <c r="C605" t="s">
        <v>1412</v>
      </c>
      <c r="D605" t="s">
        <v>1413</v>
      </c>
      <c r="E605" t="s">
        <v>243</v>
      </c>
      <c r="F605" t="s">
        <v>33</v>
      </c>
      <c r="G605" t="s">
        <v>203</v>
      </c>
      <c r="H605">
        <v>4</v>
      </c>
      <c r="I605">
        <v>538.96</v>
      </c>
      <c r="J605">
        <v>0</v>
      </c>
      <c r="K605">
        <v>0</v>
      </c>
      <c r="L605">
        <v>2.7</v>
      </c>
      <c r="M605">
        <v>2158.54</v>
      </c>
      <c r="N605" t="s">
        <v>67</v>
      </c>
      <c r="O605" t="s">
        <v>25</v>
      </c>
      <c r="P605" t="s">
        <v>74</v>
      </c>
      <c r="Q605" t="s">
        <v>75</v>
      </c>
      <c r="R605" t="s">
        <v>28</v>
      </c>
    </row>
    <row r="606" spans="1:18" x14ac:dyDescent="0.3">
      <c r="A606" t="s">
        <v>1459</v>
      </c>
      <c r="B606" s="13">
        <v>44972</v>
      </c>
      <c r="C606" t="s">
        <v>1460</v>
      </c>
      <c r="D606" t="s">
        <v>255</v>
      </c>
      <c r="E606" t="s">
        <v>88</v>
      </c>
      <c r="F606" t="s">
        <v>33</v>
      </c>
      <c r="G606" t="s">
        <v>49</v>
      </c>
      <c r="H606">
        <v>4</v>
      </c>
      <c r="I606">
        <v>158.41999999999999</v>
      </c>
      <c r="J606">
        <v>0.05</v>
      </c>
      <c r="K606">
        <v>48.16</v>
      </c>
      <c r="L606">
        <v>12.19</v>
      </c>
      <c r="M606">
        <v>662.35</v>
      </c>
      <c r="N606" t="s">
        <v>50</v>
      </c>
      <c r="O606" t="s">
        <v>25</v>
      </c>
      <c r="P606" t="s">
        <v>178</v>
      </c>
      <c r="Q606" t="s">
        <v>69</v>
      </c>
      <c r="R606" t="s">
        <v>38</v>
      </c>
    </row>
    <row r="607" spans="1:18" x14ac:dyDescent="0.3">
      <c r="A607" t="s">
        <v>1461</v>
      </c>
      <c r="B607" s="13">
        <v>44390</v>
      </c>
      <c r="C607" t="s">
        <v>1462</v>
      </c>
      <c r="D607" t="s">
        <v>20</v>
      </c>
      <c r="E607" t="s">
        <v>437</v>
      </c>
      <c r="F607" t="s">
        <v>33</v>
      </c>
      <c r="G607" t="s">
        <v>49</v>
      </c>
      <c r="H607">
        <v>2</v>
      </c>
      <c r="I607">
        <v>501.89</v>
      </c>
      <c r="J607">
        <v>0</v>
      </c>
      <c r="K607">
        <v>120.45</v>
      </c>
      <c r="L607">
        <v>5.94</v>
      </c>
      <c r="M607">
        <v>1130.17</v>
      </c>
      <c r="N607" t="s">
        <v>35</v>
      </c>
      <c r="O607" t="s">
        <v>107</v>
      </c>
      <c r="P607" t="s">
        <v>36</v>
      </c>
      <c r="Q607" t="s">
        <v>37</v>
      </c>
      <c r="R607" t="s">
        <v>38</v>
      </c>
    </row>
    <row r="608" spans="1:18" x14ac:dyDescent="0.3">
      <c r="A608" t="s">
        <v>1502</v>
      </c>
      <c r="B608" s="13">
        <v>45139</v>
      </c>
      <c r="C608" t="s">
        <v>1503</v>
      </c>
      <c r="D608" t="s">
        <v>582</v>
      </c>
      <c r="E608" t="s">
        <v>169</v>
      </c>
      <c r="F608" t="s">
        <v>33</v>
      </c>
      <c r="G608" t="s">
        <v>49</v>
      </c>
      <c r="H608">
        <v>4</v>
      </c>
      <c r="I608">
        <v>56.27</v>
      </c>
      <c r="J608">
        <v>0.15</v>
      </c>
      <c r="K608">
        <v>34.44</v>
      </c>
      <c r="L608">
        <v>6.88</v>
      </c>
      <c r="M608">
        <v>232.64</v>
      </c>
      <c r="N608" t="s">
        <v>123</v>
      </c>
      <c r="O608" t="s">
        <v>25</v>
      </c>
      <c r="P608" t="s">
        <v>83</v>
      </c>
      <c r="Q608" t="s">
        <v>84</v>
      </c>
      <c r="R608" t="s">
        <v>28</v>
      </c>
    </row>
    <row r="609" spans="1:18" x14ac:dyDescent="0.3">
      <c r="A609" t="s">
        <v>1506</v>
      </c>
      <c r="B609" s="13">
        <v>44923</v>
      </c>
      <c r="C609" t="s">
        <v>1507</v>
      </c>
      <c r="D609" t="s">
        <v>1495</v>
      </c>
      <c r="E609" t="s">
        <v>324</v>
      </c>
      <c r="F609" t="s">
        <v>33</v>
      </c>
      <c r="G609" t="s">
        <v>57</v>
      </c>
      <c r="H609">
        <v>2</v>
      </c>
      <c r="I609">
        <v>101.06</v>
      </c>
      <c r="J609">
        <v>0.15</v>
      </c>
      <c r="K609">
        <v>0</v>
      </c>
      <c r="L609">
        <v>4.45</v>
      </c>
      <c r="M609">
        <v>176.25</v>
      </c>
      <c r="N609" t="s">
        <v>24</v>
      </c>
      <c r="O609" t="s">
        <v>107</v>
      </c>
      <c r="P609" t="s">
        <v>60</v>
      </c>
      <c r="Q609" t="s">
        <v>37</v>
      </c>
      <c r="R609" t="s">
        <v>28</v>
      </c>
    </row>
    <row r="610" spans="1:18" x14ac:dyDescent="0.3">
      <c r="A610" t="s">
        <v>1510</v>
      </c>
      <c r="B610" s="13">
        <v>44839</v>
      </c>
      <c r="C610" t="s">
        <v>1511</v>
      </c>
      <c r="D610" t="s">
        <v>877</v>
      </c>
      <c r="E610" t="s">
        <v>164</v>
      </c>
      <c r="F610" t="s">
        <v>33</v>
      </c>
      <c r="G610" t="s">
        <v>23</v>
      </c>
      <c r="H610">
        <v>3</v>
      </c>
      <c r="I610">
        <v>490.58</v>
      </c>
      <c r="J610">
        <v>0.1</v>
      </c>
      <c r="K610">
        <v>238.42</v>
      </c>
      <c r="L610">
        <v>11.4</v>
      </c>
      <c r="M610">
        <v>1574.39</v>
      </c>
      <c r="N610" t="s">
        <v>58</v>
      </c>
      <c r="O610" t="s">
        <v>25</v>
      </c>
      <c r="P610" t="s">
        <v>101</v>
      </c>
      <c r="Q610" t="s">
        <v>102</v>
      </c>
      <c r="R610" t="s">
        <v>38</v>
      </c>
    </row>
    <row r="611" spans="1:18" x14ac:dyDescent="0.3">
      <c r="A611" t="s">
        <v>1512</v>
      </c>
      <c r="B611" s="13">
        <v>43924</v>
      </c>
      <c r="C611" t="s">
        <v>1513</v>
      </c>
      <c r="D611" t="s">
        <v>1066</v>
      </c>
      <c r="E611" t="s">
        <v>73</v>
      </c>
      <c r="F611" t="s">
        <v>33</v>
      </c>
      <c r="G611" t="s">
        <v>66</v>
      </c>
      <c r="H611">
        <v>1</v>
      </c>
      <c r="I611">
        <v>36.89</v>
      </c>
      <c r="J611">
        <v>0</v>
      </c>
      <c r="K611">
        <v>2.95</v>
      </c>
      <c r="L611">
        <v>6.18</v>
      </c>
      <c r="M611">
        <v>46.02</v>
      </c>
      <c r="N611" t="s">
        <v>58</v>
      </c>
      <c r="O611" t="s">
        <v>25</v>
      </c>
      <c r="P611" t="s">
        <v>83</v>
      </c>
      <c r="Q611" t="s">
        <v>84</v>
      </c>
      <c r="R611" t="s">
        <v>38</v>
      </c>
    </row>
    <row r="612" spans="1:18" x14ac:dyDescent="0.3">
      <c r="A612" t="s">
        <v>1518</v>
      </c>
      <c r="B612" s="13">
        <v>44842</v>
      </c>
      <c r="C612" t="s">
        <v>1519</v>
      </c>
      <c r="D612" t="s">
        <v>312</v>
      </c>
      <c r="E612" t="s">
        <v>177</v>
      </c>
      <c r="F612" t="s">
        <v>33</v>
      </c>
      <c r="G612" t="s">
        <v>23</v>
      </c>
      <c r="H612">
        <v>1</v>
      </c>
      <c r="I612">
        <v>229.03</v>
      </c>
      <c r="J612">
        <v>0.1</v>
      </c>
      <c r="K612">
        <v>16.489999999999998</v>
      </c>
      <c r="L612">
        <v>0.21</v>
      </c>
      <c r="M612">
        <v>222.83</v>
      </c>
      <c r="N612" t="s">
        <v>67</v>
      </c>
      <c r="O612" t="s">
        <v>25</v>
      </c>
      <c r="P612" t="s">
        <v>101</v>
      </c>
      <c r="Q612" t="s">
        <v>102</v>
      </c>
      <c r="R612" t="s">
        <v>38</v>
      </c>
    </row>
    <row r="613" spans="1:18" x14ac:dyDescent="0.3">
      <c r="A613" t="s">
        <v>1522</v>
      </c>
      <c r="B613" s="13">
        <v>45058</v>
      </c>
      <c r="C613" t="s">
        <v>1523</v>
      </c>
      <c r="D613" t="s">
        <v>511</v>
      </c>
      <c r="E613" t="s">
        <v>169</v>
      </c>
      <c r="F613" t="s">
        <v>33</v>
      </c>
      <c r="G613" t="s">
        <v>23</v>
      </c>
      <c r="H613">
        <v>4</v>
      </c>
      <c r="I613">
        <v>467.6</v>
      </c>
      <c r="J613">
        <v>0.25</v>
      </c>
      <c r="K613">
        <v>70.14</v>
      </c>
      <c r="L613">
        <v>0.76</v>
      </c>
      <c r="M613">
        <v>1473.7</v>
      </c>
      <c r="N613" t="s">
        <v>58</v>
      </c>
      <c r="O613" t="s">
        <v>144</v>
      </c>
      <c r="P613" t="s">
        <v>257</v>
      </c>
      <c r="Q613" t="s">
        <v>69</v>
      </c>
      <c r="R613" t="s">
        <v>38</v>
      </c>
    </row>
    <row r="614" spans="1:18" x14ac:dyDescent="0.3">
      <c r="A614" t="s">
        <v>1524</v>
      </c>
      <c r="B614" s="13">
        <v>44742</v>
      </c>
      <c r="C614" t="s">
        <v>1525</v>
      </c>
      <c r="D614" t="s">
        <v>558</v>
      </c>
      <c r="E614" t="s">
        <v>597</v>
      </c>
      <c r="F614" t="s">
        <v>33</v>
      </c>
      <c r="G614" t="s">
        <v>23</v>
      </c>
      <c r="H614">
        <v>3</v>
      </c>
      <c r="I614">
        <v>473.83</v>
      </c>
      <c r="J614">
        <v>0.25</v>
      </c>
      <c r="K614">
        <v>85.29</v>
      </c>
      <c r="L614">
        <v>3.84</v>
      </c>
      <c r="M614">
        <v>1155.25</v>
      </c>
      <c r="N614" t="s">
        <v>24</v>
      </c>
      <c r="O614" t="s">
        <v>25</v>
      </c>
      <c r="P614" t="s">
        <v>95</v>
      </c>
      <c r="Q614" t="s">
        <v>37</v>
      </c>
      <c r="R614" t="s">
        <v>183</v>
      </c>
    </row>
    <row r="615" spans="1:18" x14ac:dyDescent="0.3">
      <c r="A615" t="s">
        <v>1534</v>
      </c>
      <c r="B615" s="13">
        <v>44381</v>
      </c>
      <c r="C615" t="s">
        <v>1535</v>
      </c>
      <c r="D615" t="s">
        <v>1329</v>
      </c>
      <c r="E615" t="s">
        <v>437</v>
      </c>
      <c r="F615" t="s">
        <v>33</v>
      </c>
      <c r="G615" t="s">
        <v>268</v>
      </c>
      <c r="H615">
        <v>1</v>
      </c>
      <c r="I615">
        <v>225.61</v>
      </c>
      <c r="J615">
        <v>0</v>
      </c>
      <c r="K615">
        <v>40.61</v>
      </c>
      <c r="L615">
        <v>4</v>
      </c>
      <c r="M615">
        <v>270.22000000000003</v>
      </c>
      <c r="N615" t="s">
        <v>50</v>
      </c>
      <c r="O615" t="s">
        <v>25</v>
      </c>
      <c r="P615" t="s">
        <v>26</v>
      </c>
      <c r="Q615" t="s">
        <v>27</v>
      </c>
      <c r="R615" t="s">
        <v>183</v>
      </c>
    </row>
    <row r="616" spans="1:18" x14ac:dyDescent="0.3">
      <c r="A616" t="s">
        <v>1541</v>
      </c>
      <c r="B616" s="13">
        <v>45108</v>
      </c>
      <c r="C616" t="s">
        <v>1542</v>
      </c>
      <c r="D616" t="s">
        <v>1413</v>
      </c>
      <c r="E616" t="s">
        <v>177</v>
      </c>
      <c r="F616" t="s">
        <v>33</v>
      </c>
      <c r="G616" t="s">
        <v>49</v>
      </c>
      <c r="H616">
        <v>1</v>
      </c>
      <c r="I616">
        <v>570.53</v>
      </c>
      <c r="J616">
        <v>0</v>
      </c>
      <c r="K616">
        <v>68.459999999999994</v>
      </c>
      <c r="L616">
        <v>3.1</v>
      </c>
      <c r="M616">
        <v>642.09</v>
      </c>
      <c r="N616" t="s">
        <v>24</v>
      </c>
      <c r="O616" t="s">
        <v>25</v>
      </c>
      <c r="P616" t="s">
        <v>133</v>
      </c>
      <c r="Q616" t="s">
        <v>134</v>
      </c>
      <c r="R616" t="s">
        <v>38</v>
      </c>
    </row>
    <row r="617" spans="1:18" x14ac:dyDescent="0.3">
      <c r="A617" t="s">
        <v>1585</v>
      </c>
      <c r="B617" s="13">
        <v>44166</v>
      </c>
      <c r="C617" t="s">
        <v>1586</v>
      </c>
      <c r="D617" t="s">
        <v>286</v>
      </c>
      <c r="E617" t="s">
        <v>216</v>
      </c>
      <c r="F617" t="s">
        <v>33</v>
      </c>
      <c r="G617" t="s">
        <v>100</v>
      </c>
      <c r="H617">
        <v>5</v>
      </c>
      <c r="I617">
        <v>229.54</v>
      </c>
      <c r="J617">
        <v>0</v>
      </c>
      <c r="K617">
        <v>91.82</v>
      </c>
      <c r="L617">
        <v>6.9</v>
      </c>
      <c r="M617">
        <v>1246.42</v>
      </c>
      <c r="N617" t="s">
        <v>58</v>
      </c>
      <c r="O617" t="s">
        <v>25</v>
      </c>
      <c r="P617" t="s">
        <v>178</v>
      </c>
      <c r="Q617" t="s">
        <v>69</v>
      </c>
      <c r="R617" t="s">
        <v>61</v>
      </c>
    </row>
    <row r="618" spans="1:18" x14ac:dyDescent="0.3">
      <c r="A618" t="s">
        <v>1602</v>
      </c>
      <c r="B618" s="13">
        <v>45518</v>
      </c>
      <c r="C618" t="s">
        <v>1603</v>
      </c>
      <c r="D618" t="s">
        <v>483</v>
      </c>
      <c r="E618" t="s">
        <v>294</v>
      </c>
      <c r="F618" t="s">
        <v>33</v>
      </c>
      <c r="G618" t="s">
        <v>23</v>
      </c>
      <c r="H618">
        <v>2</v>
      </c>
      <c r="I618">
        <v>123</v>
      </c>
      <c r="J618">
        <v>0.2</v>
      </c>
      <c r="K618">
        <v>9.84</v>
      </c>
      <c r="L618">
        <v>14.33</v>
      </c>
      <c r="M618">
        <v>220.97</v>
      </c>
      <c r="N618" t="s">
        <v>35</v>
      </c>
      <c r="O618" t="s">
        <v>25</v>
      </c>
      <c r="P618" t="s">
        <v>112</v>
      </c>
      <c r="Q618" t="s">
        <v>113</v>
      </c>
      <c r="R618" t="s">
        <v>38</v>
      </c>
    </row>
    <row r="619" spans="1:18" x14ac:dyDescent="0.3">
      <c r="A619" t="s">
        <v>1622</v>
      </c>
      <c r="B619" s="13">
        <v>45431</v>
      </c>
      <c r="C619" t="s">
        <v>1623</v>
      </c>
      <c r="D619" t="s">
        <v>788</v>
      </c>
      <c r="E619" t="s">
        <v>177</v>
      </c>
      <c r="F619" t="s">
        <v>33</v>
      </c>
      <c r="G619" t="s">
        <v>198</v>
      </c>
      <c r="H619">
        <v>1</v>
      </c>
      <c r="I619">
        <v>410.06</v>
      </c>
      <c r="J619">
        <v>0.15</v>
      </c>
      <c r="K619">
        <v>62.74</v>
      </c>
      <c r="L619">
        <v>9.1</v>
      </c>
      <c r="M619">
        <v>420.39</v>
      </c>
      <c r="N619" t="s">
        <v>24</v>
      </c>
      <c r="O619" t="s">
        <v>107</v>
      </c>
      <c r="P619" t="s">
        <v>60</v>
      </c>
      <c r="Q619" t="s">
        <v>37</v>
      </c>
      <c r="R619" t="s">
        <v>76</v>
      </c>
    </row>
    <row r="620" spans="1:18" x14ac:dyDescent="0.3">
      <c r="A620" t="s">
        <v>1628</v>
      </c>
      <c r="B620" s="13">
        <v>44897</v>
      </c>
      <c r="C620" t="s">
        <v>1629</v>
      </c>
      <c r="D620" t="s">
        <v>477</v>
      </c>
      <c r="E620" t="s">
        <v>437</v>
      </c>
      <c r="F620" t="s">
        <v>33</v>
      </c>
      <c r="G620" t="s">
        <v>100</v>
      </c>
      <c r="H620">
        <v>2</v>
      </c>
      <c r="I620">
        <v>131.55000000000001</v>
      </c>
      <c r="J620">
        <v>0.15</v>
      </c>
      <c r="K620">
        <v>26.84</v>
      </c>
      <c r="L620">
        <v>0.38</v>
      </c>
      <c r="M620">
        <v>250.86</v>
      </c>
      <c r="N620" t="s">
        <v>24</v>
      </c>
      <c r="O620" t="s">
        <v>107</v>
      </c>
      <c r="P620" t="s">
        <v>124</v>
      </c>
      <c r="Q620" t="s">
        <v>125</v>
      </c>
      <c r="R620" t="s">
        <v>28</v>
      </c>
    </row>
    <row r="621" spans="1:18" x14ac:dyDescent="0.3">
      <c r="A621" t="s">
        <v>1639</v>
      </c>
      <c r="B621" s="13">
        <v>45461</v>
      </c>
      <c r="C621" t="s">
        <v>1640</v>
      </c>
      <c r="D621" t="s">
        <v>566</v>
      </c>
      <c r="E621" t="s">
        <v>287</v>
      </c>
      <c r="F621" t="s">
        <v>33</v>
      </c>
      <c r="G621" t="s">
        <v>203</v>
      </c>
      <c r="H621">
        <v>5</v>
      </c>
      <c r="I621">
        <v>57.21</v>
      </c>
      <c r="J621">
        <v>0.2</v>
      </c>
      <c r="K621">
        <v>11.44</v>
      </c>
      <c r="L621">
        <v>12.77</v>
      </c>
      <c r="M621">
        <v>253.05</v>
      </c>
      <c r="N621" t="s">
        <v>35</v>
      </c>
      <c r="O621" t="s">
        <v>107</v>
      </c>
      <c r="P621" t="s">
        <v>165</v>
      </c>
      <c r="Q621" t="s">
        <v>37</v>
      </c>
      <c r="R621" t="s">
        <v>28</v>
      </c>
    </row>
    <row r="622" spans="1:18" x14ac:dyDescent="0.3">
      <c r="A622" t="s">
        <v>1656</v>
      </c>
      <c r="B622" s="13">
        <v>44606</v>
      </c>
      <c r="C622" t="s">
        <v>1657</v>
      </c>
      <c r="D622" t="s">
        <v>531</v>
      </c>
      <c r="E622" t="s">
        <v>267</v>
      </c>
      <c r="F622" t="s">
        <v>33</v>
      </c>
      <c r="G622" t="s">
        <v>34</v>
      </c>
      <c r="H622">
        <v>2</v>
      </c>
      <c r="I622">
        <v>136.85</v>
      </c>
      <c r="J622">
        <v>0.05</v>
      </c>
      <c r="K622">
        <v>46.8</v>
      </c>
      <c r="L622">
        <v>6.46</v>
      </c>
      <c r="M622">
        <v>313.27</v>
      </c>
      <c r="N622" t="s">
        <v>58</v>
      </c>
      <c r="O622" t="s">
        <v>107</v>
      </c>
      <c r="P622" t="s">
        <v>173</v>
      </c>
      <c r="Q622" t="s">
        <v>174</v>
      </c>
      <c r="R622" t="s">
        <v>38</v>
      </c>
    </row>
    <row r="623" spans="1:18" x14ac:dyDescent="0.3">
      <c r="A623" t="s">
        <v>1676</v>
      </c>
      <c r="B623" s="13">
        <v>45355</v>
      </c>
      <c r="C623" t="s">
        <v>1677</v>
      </c>
      <c r="D623" t="s">
        <v>957</v>
      </c>
      <c r="E623" t="s">
        <v>287</v>
      </c>
      <c r="F623" t="s">
        <v>33</v>
      </c>
      <c r="G623" t="s">
        <v>90</v>
      </c>
      <c r="H623">
        <v>4</v>
      </c>
      <c r="I623">
        <v>176.73</v>
      </c>
      <c r="J623">
        <v>0.05</v>
      </c>
      <c r="K623">
        <v>33.58</v>
      </c>
      <c r="L623">
        <v>3.45</v>
      </c>
      <c r="M623">
        <v>708.6</v>
      </c>
      <c r="N623" t="s">
        <v>58</v>
      </c>
      <c r="O623" t="s">
        <v>25</v>
      </c>
      <c r="P623" t="s">
        <v>112</v>
      </c>
      <c r="Q623" t="s">
        <v>113</v>
      </c>
      <c r="R623" t="s">
        <v>38</v>
      </c>
    </row>
    <row r="624" spans="1:18" x14ac:dyDescent="0.3">
      <c r="A624" t="s">
        <v>1682</v>
      </c>
      <c r="B624" s="13">
        <v>44929</v>
      </c>
      <c r="C624" t="s">
        <v>1683</v>
      </c>
      <c r="D624" t="s">
        <v>1066</v>
      </c>
      <c r="E624" t="s">
        <v>164</v>
      </c>
      <c r="F624" t="s">
        <v>33</v>
      </c>
      <c r="G624" t="s">
        <v>198</v>
      </c>
      <c r="H624">
        <v>4</v>
      </c>
      <c r="I624">
        <v>56.37</v>
      </c>
      <c r="J624">
        <v>0.1</v>
      </c>
      <c r="K624">
        <v>10.15</v>
      </c>
      <c r="L624">
        <v>6.88</v>
      </c>
      <c r="M624">
        <v>219.96</v>
      </c>
      <c r="N624" t="s">
        <v>58</v>
      </c>
      <c r="O624" t="s">
        <v>107</v>
      </c>
      <c r="P624" t="s">
        <v>51</v>
      </c>
      <c r="Q624" t="s">
        <v>52</v>
      </c>
      <c r="R624" t="s">
        <v>38</v>
      </c>
    </row>
    <row r="625" spans="1:18" x14ac:dyDescent="0.3">
      <c r="A625" t="s">
        <v>1684</v>
      </c>
      <c r="B625" s="13">
        <v>44243</v>
      </c>
      <c r="C625" t="s">
        <v>1685</v>
      </c>
      <c r="D625" t="s">
        <v>163</v>
      </c>
      <c r="E625" t="s">
        <v>597</v>
      </c>
      <c r="F625" t="s">
        <v>33</v>
      </c>
      <c r="G625" t="s">
        <v>100</v>
      </c>
      <c r="H625">
        <v>5</v>
      </c>
      <c r="I625">
        <v>373.9</v>
      </c>
      <c r="J625">
        <v>0.15</v>
      </c>
      <c r="K625">
        <v>79.45</v>
      </c>
      <c r="L625">
        <v>7.32</v>
      </c>
      <c r="M625">
        <v>1675.84</v>
      </c>
      <c r="N625" t="s">
        <v>123</v>
      </c>
      <c r="O625" t="s">
        <v>25</v>
      </c>
      <c r="P625" t="s">
        <v>124</v>
      </c>
      <c r="Q625" t="s">
        <v>125</v>
      </c>
      <c r="R625" t="s">
        <v>183</v>
      </c>
    </row>
    <row r="626" spans="1:18" x14ac:dyDescent="0.3">
      <c r="A626" t="s">
        <v>1700</v>
      </c>
      <c r="B626" s="13">
        <v>45248</v>
      </c>
      <c r="C626" t="s">
        <v>1701</v>
      </c>
      <c r="D626" t="s">
        <v>149</v>
      </c>
      <c r="E626" t="s">
        <v>169</v>
      </c>
      <c r="F626" t="s">
        <v>33</v>
      </c>
      <c r="G626" t="s">
        <v>198</v>
      </c>
      <c r="H626">
        <v>5</v>
      </c>
      <c r="I626">
        <v>493.13</v>
      </c>
      <c r="J626">
        <v>0</v>
      </c>
      <c r="K626">
        <v>123.28</v>
      </c>
      <c r="L626">
        <v>4.4400000000000004</v>
      </c>
      <c r="M626">
        <v>2593.37</v>
      </c>
      <c r="N626" t="s">
        <v>35</v>
      </c>
      <c r="O626" t="s">
        <v>107</v>
      </c>
      <c r="P626" t="s">
        <v>60</v>
      </c>
      <c r="Q626" t="s">
        <v>37</v>
      </c>
      <c r="R626" t="s">
        <v>38</v>
      </c>
    </row>
    <row r="627" spans="1:18" x14ac:dyDescent="0.3">
      <c r="A627" t="s">
        <v>1704</v>
      </c>
      <c r="B627" s="13">
        <v>44750</v>
      </c>
      <c r="C627" t="s">
        <v>1705</v>
      </c>
      <c r="D627" t="s">
        <v>701</v>
      </c>
      <c r="E627" t="s">
        <v>256</v>
      </c>
      <c r="F627" t="s">
        <v>33</v>
      </c>
      <c r="G627" t="s">
        <v>49</v>
      </c>
      <c r="H627">
        <v>4</v>
      </c>
      <c r="I627">
        <v>41.65</v>
      </c>
      <c r="J627">
        <v>0.2</v>
      </c>
      <c r="K627">
        <v>6.66</v>
      </c>
      <c r="L627">
        <v>2.87</v>
      </c>
      <c r="M627">
        <v>142.81</v>
      </c>
      <c r="N627" t="s">
        <v>67</v>
      </c>
      <c r="O627" t="s">
        <v>25</v>
      </c>
      <c r="P627" t="s">
        <v>101</v>
      </c>
      <c r="Q627" t="s">
        <v>102</v>
      </c>
      <c r="R627" t="s">
        <v>38</v>
      </c>
    </row>
    <row r="628" spans="1:18" x14ac:dyDescent="0.3">
      <c r="A628" t="s">
        <v>1743</v>
      </c>
      <c r="B628" s="13">
        <v>44697</v>
      </c>
      <c r="C628" t="s">
        <v>63</v>
      </c>
      <c r="D628" t="s">
        <v>483</v>
      </c>
      <c r="E628" t="s">
        <v>94</v>
      </c>
      <c r="F628" t="s">
        <v>33</v>
      </c>
      <c r="G628" t="s">
        <v>198</v>
      </c>
      <c r="H628">
        <v>4</v>
      </c>
      <c r="I628">
        <v>62.63</v>
      </c>
      <c r="J628">
        <v>0.05</v>
      </c>
      <c r="K628">
        <v>19.04</v>
      </c>
      <c r="L628">
        <v>11.02</v>
      </c>
      <c r="M628">
        <v>268.05</v>
      </c>
      <c r="N628" t="s">
        <v>67</v>
      </c>
      <c r="O628" t="s">
        <v>25</v>
      </c>
      <c r="P628" t="s">
        <v>117</v>
      </c>
      <c r="Q628" t="s">
        <v>118</v>
      </c>
      <c r="R628" t="s">
        <v>183</v>
      </c>
    </row>
    <row r="629" spans="1:18" x14ac:dyDescent="0.3">
      <c r="A629" t="s">
        <v>1768</v>
      </c>
      <c r="B629" s="13">
        <v>44226</v>
      </c>
      <c r="C629" t="s">
        <v>1769</v>
      </c>
      <c r="D629" t="s">
        <v>531</v>
      </c>
      <c r="E629" t="s">
        <v>294</v>
      </c>
      <c r="F629" t="s">
        <v>33</v>
      </c>
      <c r="G629" t="s">
        <v>23</v>
      </c>
      <c r="H629">
        <v>5</v>
      </c>
      <c r="I629">
        <v>419.07</v>
      </c>
      <c r="J629">
        <v>0.25</v>
      </c>
      <c r="K629">
        <v>78.58</v>
      </c>
      <c r="L629">
        <v>9.7200000000000006</v>
      </c>
      <c r="M629">
        <v>1659.81</v>
      </c>
      <c r="N629" t="s">
        <v>24</v>
      </c>
      <c r="O629" t="s">
        <v>25</v>
      </c>
      <c r="P629" t="s">
        <v>150</v>
      </c>
      <c r="Q629" t="s">
        <v>69</v>
      </c>
      <c r="R629" t="s">
        <v>38</v>
      </c>
    </row>
    <row r="630" spans="1:18" x14ac:dyDescent="0.3">
      <c r="A630" t="s">
        <v>1772</v>
      </c>
      <c r="B630" s="13">
        <v>45087</v>
      </c>
      <c r="C630" t="s">
        <v>1773</v>
      </c>
      <c r="D630" t="s">
        <v>942</v>
      </c>
      <c r="E630" t="s">
        <v>216</v>
      </c>
      <c r="F630" t="s">
        <v>33</v>
      </c>
      <c r="G630" t="s">
        <v>57</v>
      </c>
      <c r="H630">
        <v>4</v>
      </c>
      <c r="I630">
        <v>446.33</v>
      </c>
      <c r="J630">
        <v>0</v>
      </c>
      <c r="K630">
        <v>142.83000000000001</v>
      </c>
      <c r="L630">
        <v>13.92</v>
      </c>
      <c r="M630">
        <v>1942.07</v>
      </c>
      <c r="N630" t="s">
        <v>67</v>
      </c>
      <c r="O630" t="s">
        <v>144</v>
      </c>
      <c r="P630" t="s">
        <v>83</v>
      </c>
      <c r="Q630" t="s">
        <v>84</v>
      </c>
      <c r="R630" t="s">
        <v>38</v>
      </c>
    </row>
    <row r="631" spans="1:18" x14ac:dyDescent="0.3">
      <c r="A631" t="s">
        <v>1791</v>
      </c>
      <c r="B631" s="13">
        <v>44681</v>
      </c>
      <c r="C631" t="s">
        <v>1792</v>
      </c>
      <c r="D631" t="s">
        <v>1066</v>
      </c>
      <c r="E631" t="s">
        <v>21</v>
      </c>
      <c r="F631" t="s">
        <v>33</v>
      </c>
      <c r="G631" t="s">
        <v>203</v>
      </c>
      <c r="H631">
        <v>2</v>
      </c>
      <c r="I631">
        <v>481.79</v>
      </c>
      <c r="J631">
        <v>0.1</v>
      </c>
      <c r="K631">
        <v>156.1</v>
      </c>
      <c r="L631">
        <v>2.37</v>
      </c>
      <c r="M631">
        <v>1025.69</v>
      </c>
      <c r="N631" t="s">
        <v>67</v>
      </c>
      <c r="O631" t="s">
        <v>25</v>
      </c>
      <c r="P631" t="s">
        <v>83</v>
      </c>
      <c r="Q631" t="s">
        <v>84</v>
      </c>
      <c r="R631" t="s">
        <v>38</v>
      </c>
    </row>
    <row r="632" spans="1:18" x14ac:dyDescent="0.3">
      <c r="A632" t="s">
        <v>1805</v>
      </c>
      <c r="B632" s="13">
        <v>44226</v>
      </c>
      <c r="C632" t="s">
        <v>1806</v>
      </c>
      <c r="D632" t="s">
        <v>618</v>
      </c>
      <c r="E632" t="s">
        <v>340</v>
      </c>
      <c r="F632" t="s">
        <v>33</v>
      </c>
      <c r="G632" t="s">
        <v>198</v>
      </c>
      <c r="H632">
        <v>3</v>
      </c>
      <c r="I632">
        <v>249.04</v>
      </c>
      <c r="J632">
        <v>0.05</v>
      </c>
      <c r="K632">
        <v>127.76</v>
      </c>
      <c r="L632">
        <v>2.56</v>
      </c>
      <c r="M632">
        <v>840.08</v>
      </c>
      <c r="N632" t="s">
        <v>58</v>
      </c>
      <c r="O632" t="s">
        <v>25</v>
      </c>
      <c r="P632" t="s">
        <v>173</v>
      </c>
      <c r="Q632" t="s">
        <v>174</v>
      </c>
      <c r="R632" t="s">
        <v>38</v>
      </c>
    </row>
    <row r="633" spans="1:18" x14ac:dyDescent="0.3">
      <c r="A633" t="s">
        <v>1807</v>
      </c>
      <c r="B633" s="13">
        <v>44879</v>
      </c>
      <c r="C633" t="s">
        <v>1808</v>
      </c>
      <c r="D633" t="s">
        <v>163</v>
      </c>
      <c r="E633" t="s">
        <v>177</v>
      </c>
      <c r="F633" t="s">
        <v>33</v>
      </c>
      <c r="G633" t="s">
        <v>203</v>
      </c>
      <c r="H633">
        <v>1</v>
      </c>
      <c r="I633">
        <v>248.15</v>
      </c>
      <c r="J633">
        <v>0</v>
      </c>
      <c r="K633">
        <v>19.850000000000001</v>
      </c>
      <c r="L633">
        <v>4.74</v>
      </c>
      <c r="M633">
        <v>272.74</v>
      </c>
      <c r="N633" t="s">
        <v>67</v>
      </c>
      <c r="O633" t="s">
        <v>82</v>
      </c>
      <c r="P633" t="s">
        <v>60</v>
      </c>
      <c r="Q633" t="s">
        <v>37</v>
      </c>
      <c r="R633" t="s">
        <v>38</v>
      </c>
    </row>
    <row r="634" spans="1:18" x14ac:dyDescent="0.3">
      <c r="A634" t="s">
        <v>1823</v>
      </c>
      <c r="B634" s="13">
        <v>44399</v>
      </c>
      <c r="C634" t="s">
        <v>1824</v>
      </c>
      <c r="D634" t="s">
        <v>141</v>
      </c>
      <c r="E634" t="s">
        <v>216</v>
      </c>
      <c r="F634" t="s">
        <v>33</v>
      </c>
      <c r="G634" t="s">
        <v>23</v>
      </c>
      <c r="H634">
        <v>5</v>
      </c>
      <c r="I634">
        <v>111.1</v>
      </c>
      <c r="J634">
        <v>0</v>
      </c>
      <c r="K634">
        <v>44.44</v>
      </c>
      <c r="L634">
        <v>6.94</v>
      </c>
      <c r="M634">
        <v>606.88</v>
      </c>
      <c r="N634" t="s">
        <v>67</v>
      </c>
      <c r="O634" t="s">
        <v>25</v>
      </c>
      <c r="P634" t="s">
        <v>26</v>
      </c>
      <c r="Q634" t="s">
        <v>27</v>
      </c>
      <c r="R634" t="s">
        <v>28</v>
      </c>
    </row>
    <row r="635" spans="1:18" x14ac:dyDescent="0.3">
      <c r="A635" t="s">
        <v>1829</v>
      </c>
      <c r="B635" s="13">
        <v>45547</v>
      </c>
      <c r="C635" t="s">
        <v>1830</v>
      </c>
      <c r="D635" t="s">
        <v>525</v>
      </c>
      <c r="E635" t="s">
        <v>256</v>
      </c>
      <c r="F635" t="s">
        <v>33</v>
      </c>
      <c r="G635" t="s">
        <v>203</v>
      </c>
      <c r="H635">
        <v>2</v>
      </c>
      <c r="I635">
        <v>116.36</v>
      </c>
      <c r="J635">
        <v>0.25</v>
      </c>
      <c r="K635">
        <v>8.73</v>
      </c>
      <c r="L635">
        <v>1.61</v>
      </c>
      <c r="M635">
        <v>184.88</v>
      </c>
      <c r="N635" t="s">
        <v>35</v>
      </c>
      <c r="O635" t="s">
        <v>144</v>
      </c>
      <c r="P635" t="s">
        <v>173</v>
      </c>
      <c r="Q635" t="s">
        <v>174</v>
      </c>
      <c r="R635" t="s">
        <v>28</v>
      </c>
    </row>
    <row r="636" spans="1:18" x14ac:dyDescent="0.3">
      <c r="A636" t="s">
        <v>1835</v>
      </c>
      <c r="B636" s="13">
        <v>44765</v>
      </c>
      <c r="C636" t="s">
        <v>1836</v>
      </c>
      <c r="D636" t="s">
        <v>550</v>
      </c>
      <c r="E636" t="s">
        <v>216</v>
      </c>
      <c r="F636" t="s">
        <v>33</v>
      </c>
      <c r="G636" t="s">
        <v>23</v>
      </c>
      <c r="H636">
        <v>5</v>
      </c>
      <c r="I636">
        <v>106.25</v>
      </c>
      <c r="J636">
        <v>0.25</v>
      </c>
      <c r="K636">
        <v>19.920000000000002</v>
      </c>
      <c r="L636">
        <v>4.62</v>
      </c>
      <c r="M636">
        <v>422.98</v>
      </c>
      <c r="N636" t="s">
        <v>35</v>
      </c>
      <c r="O636" t="s">
        <v>25</v>
      </c>
      <c r="P636" t="s">
        <v>257</v>
      </c>
      <c r="Q636" t="s">
        <v>69</v>
      </c>
      <c r="R636" t="s">
        <v>76</v>
      </c>
    </row>
    <row r="637" spans="1:18" x14ac:dyDescent="0.3">
      <c r="A637" t="s">
        <v>1837</v>
      </c>
      <c r="B637" s="13">
        <v>44228</v>
      </c>
      <c r="C637" t="s">
        <v>1838</v>
      </c>
      <c r="D637" t="s">
        <v>957</v>
      </c>
      <c r="E637" t="s">
        <v>324</v>
      </c>
      <c r="F637" t="s">
        <v>33</v>
      </c>
      <c r="G637" t="s">
        <v>66</v>
      </c>
      <c r="H637">
        <v>5</v>
      </c>
      <c r="I637">
        <v>569.91</v>
      </c>
      <c r="J637">
        <v>0.05</v>
      </c>
      <c r="K637">
        <v>487.27</v>
      </c>
      <c r="L637">
        <v>9.11</v>
      </c>
      <c r="M637">
        <v>3203.45</v>
      </c>
      <c r="N637" t="s">
        <v>123</v>
      </c>
      <c r="O637" t="s">
        <v>107</v>
      </c>
      <c r="P637" t="s">
        <v>26</v>
      </c>
      <c r="Q637" t="s">
        <v>27</v>
      </c>
      <c r="R637" t="s">
        <v>38</v>
      </c>
    </row>
    <row r="638" spans="1:18" x14ac:dyDescent="0.3">
      <c r="A638" t="s">
        <v>1843</v>
      </c>
      <c r="B638" s="13">
        <v>44987</v>
      </c>
      <c r="C638" t="s">
        <v>1844</v>
      </c>
      <c r="D638" t="s">
        <v>785</v>
      </c>
      <c r="E638" t="s">
        <v>190</v>
      </c>
      <c r="F638" t="s">
        <v>33</v>
      </c>
      <c r="G638" t="s">
        <v>66</v>
      </c>
      <c r="H638">
        <v>2</v>
      </c>
      <c r="I638">
        <v>340.07</v>
      </c>
      <c r="J638">
        <v>0</v>
      </c>
      <c r="K638">
        <v>54.41</v>
      </c>
      <c r="L638">
        <v>5.31</v>
      </c>
      <c r="M638">
        <v>739.86</v>
      </c>
      <c r="N638" t="s">
        <v>24</v>
      </c>
      <c r="O638" t="s">
        <v>107</v>
      </c>
      <c r="P638" t="s">
        <v>112</v>
      </c>
      <c r="Q638" t="s">
        <v>113</v>
      </c>
      <c r="R638" t="s">
        <v>38</v>
      </c>
    </row>
    <row r="639" spans="1:18" x14ac:dyDescent="0.3">
      <c r="A639" t="s">
        <v>1845</v>
      </c>
      <c r="B639" s="13">
        <v>45017</v>
      </c>
      <c r="C639" t="s">
        <v>1846</v>
      </c>
      <c r="D639" t="s">
        <v>215</v>
      </c>
      <c r="E639" t="s">
        <v>190</v>
      </c>
      <c r="F639" t="s">
        <v>33</v>
      </c>
      <c r="G639" t="s">
        <v>268</v>
      </c>
      <c r="H639">
        <v>3</v>
      </c>
      <c r="I639">
        <v>400.82</v>
      </c>
      <c r="J639">
        <v>0.2</v>
      </c>
      <c r="K639">
        <v>48.1</v>
      </c>
      <c r="L639">
        <v>13.82</v>
      </c>
      <c r="M639">
        <v>1023.89</v>
      </c>
      <c r="N639" t="s">
        <v>24</v>
      </c>
      <c r="O639" t="s">
        <v>107</v>
      </c>
      <c r="P639" t="s">
        <v>44</v>
      </c>
      <c r="Q639" t="s">
        <v>37</v>
      </c>
      <c r="R639" t="s">
        <v>38</v>
      </c>
    </row>
    <row r="640" spans="1:18" x14ac:dyDescent="0.3">
      <c r="A640" t="s">
        <v>1847</v>
      </c>
      <c r="B640" s="13">
        <v>45069</v>
      </c>
      <c r="C640" t="s">
        <v>1848</v>
      </c>
      <c r="D640" t="s">
        <v>634</v>
      </c>
      <c r="E640" t="s">
        <v>65</v>
      </c>
      <c r="F640" t="s">
        <v>33</v>
      </c>
      <c r="G640" t="s">
        <v>49</v>
      </c>
      <c r="H640">
        <v>3</v>
      </c>
      <c r="I640">
        <v>299.57</v>
      </c>
      <c r="J640">
        <v>0</v>
      </c>
      <c r="K640">
        <v>107.85</v>
      </c>
      <c r="L640">
        <v>9.8699999999999992</v>
      </c>
      <c r="M640">
        <v>1016.43</v>
      </c>
      <c r="N640" t="s">
        <v>123</v>
      </c>
      <c r="O640" t="s">
        <v>25</v>
      </c>
      <c r="P640" t="s">
        <v>173</v>
      </c>
      <c r="Q640" t="s">
        <v>174</v>
      </c>
      <c r="R640" t="s">
        <v>38</v>
      </c>
    </row>
    <row r="641" spans="1:18" x14ac:dyDescent="0.3">
      <c r="A641" t="s">
        <v>1857</v>
      </c>
      <c r="B641" s="13">
        <v>44418</v>
      </c>
      <c r="C641" t="s">
        <v>1858</v>
      </c>
      <c r="D641" t="s">
        <v>623</v>
      </c>
      <c r="E641" t="s">
        <v>498</v>
      </c>
      <c r="F641" t="s">
        <v>33</v>
      </c>
      <c r="G641" t="s">
        <v>34</v>
      </c>
      <c r="H641">
        <v>4</v>
      </c>
      <c r="I641">
        <v>149.24</v>
      </c>
      <c r="J641">
        <v>0.3</v>
      </c>
      <c r="K641">
        <v>20.89</v>
      </c>
      <c r="L641">
        <v>3.18</v>
      </c>
      <c r="M641">
        <v>441.94</v>
      </c>
      <c r="N641" t="s">
        <v>24</v>
      </c>
      <c r="O641" t="s">
        <v>25</v>
      </c>
      <c r="P641" t="s">
        <v>145</v>
      </c>
      <c r="Q641" t="s">
        <v>146</v>
      </c>
      <c r="R641" t="s">
        <v>76</v>
      </c>
    </row>
    <row r="642" spans="1:18" x14ac:dyDescent="0.3">
      <c r="A642" t="s">
        <v>1859</v>
      </c>
      <c r="B642" s="13">
        <v>44863</v>
      </c>
      <c r="C642" t="s">
        <v>1860</v>
      </c>
      <c r="D642" t="s">
        <v>1176</v>
      </c>
      <c r="E642" t="s">
        <v>169</v>
      </c>
      <c r="F642" t="s">
        <v>33</v>
      </c>
      <c r="G642" t="s">
        <v>23</v>
      </c>
      <c r="H642">
        <v>1</v>
      </c>
      <c r="I642">
        <v>477.44</v>
      </c>
      <c r="J642">
        <v>0</v>
      </c>
      <c r="K642">
        <v>0</v>
      </c>
      <c r="L642">
        <v>14.59</v>
      </c>
      <c r="M642">
        <v>492.03</v>
      </c>
      <c r="N642" t="s">
        <v>58</v>
      </c>
      <c r="O642" t="s">
        <v>107</v>
      </c>
      <c r="P642" t="s">
        <v>60</v>
      </c>
      <c r="Q642" t="s">
        <v>37</v>
      </c>
      <c r="R642" t="s">
        <v>28</v>
      </c>
    </row>
    <row r="643" spans="1:18" x14ac:dyDescent="0.3">
      <c r="A643" t="s">
        <v>1868</v>
      </c>
      <c r="B643" s="13">
        <v>45107</v>
      </c>
      <c r="C643" t="s">
        <v>1869</v>
      </c>
      <c r="D643" t="s">
        <v>690</v>
      </c>
      <c r="E643" t="s">
        <v>425</v>
      </c>
      <c r="F643" t="s">
        <v>33</v>
      </c>
      <c r="G643" t="s">
        <v>268</v>
      </c>
      <c r="H643">
        <v>2</v>
      </c>
      <c r="I643">
        <v>427.05</v>
      </c>
      <c r="J643">
        <v>0</v>
      </c>
      <c r="K643">
        <v>102.49</v>
      </c>
      <c r="L643">
        <v>9.06</v>
      </c>
      <c r="M643">
        <v>965.65</v>
      </c>
      <c r="N643" t="s">
        <v>24</v>
      </c>
      <c r="O643" t="s">
        <v>25</v>
      </c>
      <c r="P643" t="s">
        <v>74</v>
      </c>
      <c r="Q643" t="s">
        <v>75</v>
      </c>
      <c r="R643" t="s">
        <v>38</v>
      </c>
    </row>
    <row r="644" spans="1:18" x14ac:dyDescent="0.3">
      <c r="A644" t="s">
        <v>1878</v>
      </c>
      <c r="B644" s="13">
        <v>45022</v>
      </c>
      <c r="C644" t="s">
        <v>1879</v>
      </c>
      <c r="D644" t="s">
        <v>566</v>
      </c>
      <c r="E644" t="s">
        <v>169</v>
      </c>
      <c r="F644" t="s">
        <v>33</v>
      </c>
      <c r="G644" t="s">
        <v>49</v>
      </c>
      <c r="H644">
        <v>3</v>
      </c>
      <c r="I644">
        <v>232.27</v>
      </c>
      <c r="J644">
        <v>0.1</v>
      </c>
      <c r="K644">
        <v>31.36</v>
      </c>
      <c r="L644">
        <v>6.69</v>
      </c>
      <c r="M644">
        <v>665.18</v>
      </c>
      <c r="N644" t="s">
        <v>35</v>
      </c>
      <c r="O644" t="s">
        <v>25</v>
      </c>
      <c r="P644" t="s">
        <v>68</v>
      </c>
      <c r="Q644" t="s">
        <v>69</v>
      </c>
      <c r="R644" t="s">
        <v>28</v>
      </c>
    </row>
    <row r="645" spans="1:18" x14ac:dyDescent="0.3">
      <c r="A645" t="s">
        <v>1899</v>
      </c>
      <c r="B645" s="13">
        <v>45276</v>
      </c>
      <c r="C645" t="s">
        <v>1900</v>
      </c>
      <c r="D645" t="s">
        <v>168</v>
      </c>
      <c r="E645" t="s">
        <v>220</v>
      </c>
      <c r="F645" t="s">
        <v>33</v>
      </c>
      <c r="G645" t="s">
        <v>23</v>
      </c>
      <c r="H645">
        <v>4</v>
      </c>
      <c r="I645">
        <v>243.36</v>
      </c>
      <c r="J645">
        <v>0</v>
      </c>
      <c r="K645">
        <v>48.67</v>
      </c>
      <c r="L645">
        <v>9.56</v>
      </c>
      <c r="M645">
        <v>1031.67</v>
      </c>
      <c r="N645" t="s">
        <v>24</v>
      </c>
      <c r="O645" t="s">
        <v>59</v>
      </c>
      <c r="P645" t="s">
        <v>124</v>
      </c>
      <c r="Q645" t="s">
        <v>125</v>
      </c>
      <c r="R645" t="s">
        <v>38</v>
      </c>
    </row>
    <row r="646" spans="1:18" x14ac:dyDescent="0.3">
      <c r="A646" t="s">
        <v>1914</v>
      </c>
      <c r="B646" s="13">
        <v>44341</v>
      </c>
      <c r="C646" t="s">
        <v>1915</v>
      </c>
      <c r="D646" t="s">
        <v>734</v>
      </c>
      <c r="E646" t="s">
        <v>160</v>
      </c>
      <c r="F646" t="s">
        <v>33</v>
      </c>
      <c r="G646" t="s">
        <v>49</v>
      </c>
      <c r="H646">
        <v>3</v>
      </c>
      <c r="I646">
        <v>474.11</v>
      </c>
      <c r="J646">
        <v>0.15</v>
      </c>
      <c r="K646">
        <v>145.08000000000001</v>
      </c>
      <c r="L646">
        <v>5.2</v>
      </c>
      <c r="M646">
        <v>1359.26</v>
      </c>
      <c r="N646" t="s">
        <v>24</v>
      </c>
      <c r="O646" t="s">
        <v>25</v>
      </c>
      <c r="P646" t="s">
        <v>68</v>
      </c>
      <c r="Q646" t="s">
        <v>69</v>
      </c>
      <c r="R646" t="s">
        <v>38</v>
      </c>
    </row>
    <row r="647" spans="1:18" x14ac:dyDescent="0.3">
      <c r="A647" t="s">
        <v>1916</v>
      </c>
      <c r="B647" s="13">
        <v>45181</v>
      </c>
      <c r="C647" t="s">
        <v>1917</v>
      </c>
      <c r="D647" t="s">
        <v>410</v>
      </c>
      <c r="E647" t="s">
        <v>386</v>
      </c>
      <c r="F647" t="s">
        <v>33</v>
      </c>
      <c r="G647" t="s">
        <v>66</v>
      </c>
      <c r="H647">
        <v>2</v>
      </c>
      <c r="I647">
        <v>283.06</v>
      </c>
      <c r="J647">
        <v>0.05</v>
      </c>
      <c r="K647">
        <v>0</v>
      </c>
      <c r="L647">
        <v>11.74</v>
      </c>
      <c r="M647">
        <v>549.54999999999995</v>
      </c>
      <c r="N647" t="s">
        <v>58</v>
      </c>
      <c r="O647" t="s">
        <v>25</v>
      </c>
      <c r="P647" t="s">
        <v>133</v>
      </c>
      <c r="Q647" t="s">
        <v>134</v>
      </c>
      <c r="R647" t="s">
        <v>28</v>
      </c>
    </row>
    <row r="648" spans="1:18" x14ac:dyDescent="0.3">
      <c r="A648" t="s">
        <v>1930</v>
      </c>
      <c r="B648" s="13">
        <v>45641</v>
      </c>
      <c r="C648" t="s">
        <v>1728</v>
      </c>
      <c r="D648" t="s">
        <v>333</v>
      </c>
      <c r="E648" t="s">
        <v>73</v>
      </c>
      <c r="F648" t="s">
        <v>33</v>
      </c>
      <c r="G648" t="s">
        <v>34</v>
      </c>
      <c r="H648">
        <v>4</v>
      </c>
      <c r="I648">
        <v>37.83</v>
      </c>
      <c r="J648">
        <v>0.05</v>
      </c>
      <c r="K648">
        <v>17.25</v>
      </c>
      <c r="L648">
        <v>9.7899999999999991</v>
      </c>
      <c r="M648">
        <v>170.79</v>
      </c>
      <c r="N648" t="s">
        <v>58</v>
      </c>
      <c r="O648" t="s">
        <v>25</v>
      </c>
      <c r="P648" t="s">
        <v>83</v>
      </c>
      <c r="Q648" t="s">
        <v>84</v>
      </c>
      <c r="R648" t="s">
        <v>28</v>
      </c>
    </row>
    <row r="649" spans="1:18" x14ac:dyDescent="0.3">
      <c r="A649" t="s">
        <v>1933</v>
      </c>
      <c r="B649" s="13">
        <v>44706</v>
      </c>
      <c r="C649" t="s">
        <v>1934</v>
      </c>
      <c r="D649" t="s">
        <v>904</v>
      </c>
      <c r="E649" t="s">
        <v>138</v>
      </c>
      <c r="F649" t="s">
        <v>33</v>
      </c>
      <c r="G649" t="s">
        <v>203</v>
      </c>
      <c r="H649">
        <v>5</v>
      </c>
      <c r="I649">
        <v>127.24</v>
      </c>
      <c r="J649">
        <v>0.15</v>
      </c>
      <c r="K649">
        <v>27.04</v>
      </c>
      <c r="L649">
        <v>4.6100000000000003</v>
      </c>
      <c r="M649">
        <v>572.41999999999996</v>
      </c>
      <c r="N649" t="s">
        <v>58</v>
      </c>
      <c r="O649" t="s">
        <v>25</v>
      </c>
      <c r="P649" t="s">
        <v>117</v>
      </c>
      <c r="Q649" t="s">
        <v>118</v>
      </c>
      <c r="R649" t="s">
        <v>28</v>
      </c>
    </row>
    <row r="650" spans="1:18" x14ac:dyDescent="0.3">
      <c r="A650" t="s">
        <v>1935</v>
      </c>
      <c r="B650" s="13">
        <v>45036</v>
      </c>
      <c r="C650" t="s">
        <v>1936</v>
      </c>
      <c r="D650" t="s">
        <v>690</v>
      </c>
      <c r="E650" t="s">
        <v>202</v>
      </c>
      <c r="F650" t="s">
        <v>33</v>
      </c>
      <c r="G650" t="s">
        <v>34</v>
      </c>
      <c r="H650">
        <v>2</v>
      </c>
      <c r="I650">
        <v>229.66</v>
      </c>
      <c r="J650">
        <v>0.05</v>
      </c>
      <c r="K650">
        <v>21.82</v>
      </c>
      <c r="L650">
        <v>3.55</v>
      </c>
      <c r="M650">
        <v>461.72</v>
      </c>
      <c r="N650" t="s">
        <v>58</v>
      </c>
      <c r="O650" t="s">
        <v>25</v>
      </c>
      <c r="P650" t="s">
        <v>117</v>
      </c>
      <c r="Q650" t="s">
        <v>118</v>
      </c>
      <c r="R650" t="s">
        <v>28</v>
      </c>
    </row>
    <row r="651" spans="1:18" x14ac:dyDescent="0.3">
      <c r="A651" t="s">
        <v>1941</v>
      </c>
      <c r="B651" s="13">
        <v>44544</v>
      </c>
      <c r="C651" t="s">
        <v>1942</v>
      </c>
      <c r="D651" t="s">
        <v>323</v>
      </c>
      <c r="E651" t="s">
        <v>21</v>
      </c>
      <c r="F651" t="s">
        <v>33</v>
      </c>
      <c r="G651" t="s">
        <v>23</v>
      </c>
      <c r="H651">
        <v>2</v>
      </c>
      <c r="I651">
        <v>586.12</v>
      </c>
      <c r="J651">
        <v>0</v>
      </c>
      <c r="K651">
        <v>93.78</v>
      </c>
      <c r="L651">
        <v>2.0299999999999998</v>
      </c>
      <c r="M651">
        <v>1268.05</v>
      </c>
      <c r="N651" t="s">
        <v>58</v>
      </c>
      <c r="O651" t="s">
        <v>107</v>
      </c>
      <c r="P651" t="s">
        <v>145</v>
      </c>
      <c r="Q651" t="s">
        <v>146</v>
      </c>
      <c r="R651" t="s">
        <v>28</v>
      </c>
    </row>
    <row r="652" spans="1:18" x14ac:dyDescent="0.3">
      <c r="A652" t="s">
        <v>1957</v>
      </c>
      <c r="B652" s="13">
        <v>45074</v>
      </c>
      <c r="C652" t="s">
        <v>1958</v>
      </c>
      <c r="D652" t="s">
        <v>690</v>
      </c>
      <c r="E652" t="s">
        <v>88</v>
      </c>
      <c r="F652" t="s">
        <v>33</v>
      </c>
      <c r="G652" t="s">
        <v>66</v>
      </c>
      <c r="H652">
        <v>5</v>
      </c>
      <c r="I652">
        <v>46.05</v>
      </c>
      <c r="J652">
        <v>0</v>
      </c>
      <c r="K652">
        <v>11.51</v>
      </c>
      <c r="L652">
        <v>8.26</v>
      </c>
      <c r="M652">
        <v>250.02</v>
      </c>
      <c r="N652" t="s">
        <v>35</v>
      </c>
      <c r="O652" t="s">
        <v>144</v>
      </c>
      <c r="P652" t="s">
        <v>112</v>
      </c>
      <c r="Q652" t="s">
        <v>113</v>
      </c>
      <c r="R652" t="s">
        <v>38</v>
      </c>
    </row>
    <row r="653" spans="1:18" x14ac:dyDescent="0.3">
      <c r="A653" t="s">
        <v>1961</v>
      </c>
      <c r="B653" s="13">
        <v>44912</v>
      </c>
      <c r="C653" t="s">
        <v>1962</v>
      </c>
      <c r="D653" t="s">
        <v>1061</v>
      </c>
      <c r="E653" t="s">
        <v>73</v>
      </c>
      <c r="F653" t="s">
        <v>33</v>
      </c>
      <c r="G653" t="s">
        <v>66</v>
      </c>
      <c r="H653">
        <v>4</v>
      </c>
      <c r="I653">
        <v>439.45</v>
      </c>
      <c r="J653">
        <v>0</v>
      </c>
      <c r="K653">
        <v>87.89</v>
      </c>
      <c r="L653">
        <v>6.63</v>
      </c>
      <c r="M653">
        <v>1852.32</v>
      </c>
      <c r="N653" t="s">
        <v>35</v>
      </c>
      <c r="O653" t="s">
        <v>25</v>
      </c>
      <c r="P653" t="s">
        <v>36</v>
      </c>
      <c r="Q653" t="s">
        <v>37</v>
      </c>
      <c r="R653" t="s">
        <v>38</v>
      </c>
    </row>
    <row r="654" spans="1:18" x14ac:dyDescent="0.3">
      <c r="A654" t="s">
        <v>1991</v>
      </c>
      <c r="B654" s="13">
        <v>45263</v>
      </c>
      <c r="C654" t="s">
        <v>1992</v>
      </c>
      <c r="D654" t="s">
        <v>767</v>
      </c>
      <c r="E654" t="s">
        <v>231</v>
      </c>
      <c r="F654" t="s">
        <v>33</v>
      </c>
      <c r="G654" t="s">
        <v>66</v>
      </c>
      <c r="H654">
        <v>1</v>
      </c>
      <c r="I654">
        <v>290.81</v>
      </c>
      <c r="J654">
        <v>0.1</v>
      </c>
      <c r="K654">
        <v>20.94</v>
      </c>
      <c r="L654">
        <v>9.52</v>
      </c>
      <c r="M654">
        <v>292.19</v>
      </c>
      <c r="N654" t="s">
        <v>58</v>
      </c>
      <c r="O654" t="s">
        <v>144</v>
      </c>
      <c r="P654" t="s">
        <v>150</v>
      </c>
      <c r="Q654" t="s">
        <v>69</v>
      </c>
      <c r="R654" t="s">
        <v>38</v>
      </c>
    </row>
    <row r="655" spans="1:18" x14ac:dyDescent="0.3">
      <c r="A655" t="s">
        <v>2013</v>
      </c>
      <c r="B655" s="13">
        <v>44645</v>
      </c>
      <c r="C655" t="s">
        <v>2014</v>
      </c>
      <c r="D655" t="s">
        <v>460</v>
      </c>
      <c r="E655" t="s">
        <v>156</v>
      </c>
      <c r="F655" t="s">
        <v>33</v>
      </c>
      <c r="G655" t="s">
        <v>198</v>
      </c>
      <c r="H655">
        <v>1</v>
      </c>
      <c r="I655">
        <v>84.78</v>
      </c>
      <c r="J655">
        <v>0.2</v>
      </c>
      <c r="K655">
        <v>3.39</v>
      </c>
      <c r="L655">
        <v>8.4499999999999993</v>
      </c>
      <c r="M655">
        <v>79.66</v>
      </c>
      <c r="N655" t="s">
        <v>67</v>
      </c>
      <c r="O655" t="s">
        <v>25</v>
      </c>
      <c r="P655" t="s">
        <v>26</v>
      </c>
      <c r="Q655" t="s">
        <v>27</v>
      </c>
      <c r="R655" t="s">
        <v>28</v>
      </c>
    </row>
    <row r="656" spans="1:18" x14ac:dyDescent="0.3">
      <c r="A656" t="s">
        <v>2023</v>
      </c>
      <c r="B656" s="13">
        <v>44033</v>
      </c>
      <c r="C656" t="s">
        <v>2024</v>
      </c>
      <c r="D656" t="s">
        <v>64</v>
      </c>
      <c r="E656" t="s">
        <v>111</v>
      </c>
      <c r="F656" t="s">
        <v>33</v>
      </c>
      <c r="G656" t="s">
        <v>66</v>
      </c>
      <c r="H656">
        <v>4</v>
      </c>
      <c r="I656">
        <v>280.11</v>
      </c>
      <c r="J656">
        <v>0.15</v>
      </c>
      <c r="K656">
        <v>171.43</v>
      </c>
      <c r="L656">
        <v>14.38</v>
      </c>
      <c r="M656">
        <v>1138.18</v>
      </c>
      <c r="N656" t="s">
        <v>58</v>
      </c>
      <c r="O656" t="s">
        <v>25</v>
      </c>
      <c r="P656" t="s">
        <v>257</v>
      </c>
      <c r="Q656" t="s">
        <v>69</v>
      </c>
      <c r="R656" t="s">
        <v>38</v>
      </c>
    </row>
    <row r="657" spans="1:18" x14ac:dyDescent="0.3">
      <c r="A657" t="s">
        <v>2029</v>
      </c>
      <c r="B657" s="13">
        <v>45530</v>
      </c>
      <c r="C657" t="s">
        <v>2030</v>
      </c>
      <c r="D657" t="s">
        <v>1367</v>
      </c>
      <c r="E657" t="s">
        <v>32</v>
      </c>
      <c r="F657" t="s">
        <v>33</v>
      </c>
      <c r="G657" t="s">
        <v>49</v>
      </c>
      <c r="H657">
        <v>2</v>
      </c>
      <c r="I657">
        <v>549.01</v>
      </c>
      <c r="J657">
        <v>0</v>
      </c>
      <c r="K657">
        <v>87.84</v>
      </c>
      <c r="L657">
        <v>14.88</v>
      </c>
      <c r="M657">
        <v>1200.74</v>
      </c>
      <c r="N657" t="s">
        <v>35</v>
      </c>
      <c r="O657" t="s">
        <v>25</v>
      </c>
      <c r="P657" t="s">
        <v>150</v>
      </c>
      <c r="Q657" t="s">
        <v>69</v>
      </c>
      <c r="R657" t="s">
        <v>38</v>
      </c>
    </row>
    <row r="658" spans="1:18" x14ac:dyDescent="0.3">
      <c r="A658" t="s">
        <v>2035</v>
      </c>
      <c r="B658" s="13">
        <v>45386</v>
      </c>
      <c r="C658" t="s">
        <v>2036</v>
      </c>
      <c r="D658" t="s">
        <v>149</v>
      </c>
      <c r="E658" t="s">
        <v>73</v>
      </c>
      <c r="F658" t="s">
        <v>33</v>
      </c>
      <c r="G658" t="s">
        <v>49</v>
      </c>
      <c r="H658">
        <v>4</v>
      </c>
      <c r="I658">
        <v>189.64</v>
      </c>
      <c r="J658">
        <v>0.15</v>
      </c>
      <c r="K658">
        <v>77.37</v>
      </c>
      <c r="L658">
        <v>14.82</v>
      </c>
      <c r="M658">
        <v>736.97</v>
      </c>
      <c r="N658" t="s">
        <v>24</v>
      </c>
      <c r="O658" t="s">
        <v>25</v>
      </c>
      <c r="P658" t="s">
        <v>257</v>
      </c>
      <c r="Q658" t="s">
        <v>69</v>
      </c>
      <c r="R658" t="s">
        <v>38</v>
      </c>
    </row>
    <row r="659" spans="1:18" x14ac:dyDescent="0.3">
      <c r="A659" t="s">
        <v>2043</v>
      </c>
      <c r="B659" s="13">
        <v>45087</v>
      </c>
      <c r="C659" t="s">
        <v>2044</v>
      </c>
      <c r="D659" t="s">
        <v>477</v>
      </c>
      <c r="E659" t="s">
        <v>498</v>
      </c>
      <c r="F659" t="s">
        <v>33</v>
      </c>
      <c r="G659" t="s">
        <v>90</v>
      </c>
      <c r="H659">
        <v>1</v>
      </c>
      <c r="I659">
        <v>257.01</v>
      </c>
      <c r="J659">
        <v>0.05</v>
      </c>
      <c r="K659">
        <v>12.21</v>
      </c>
      <c r="L659">
        <v>14.41</v>
      </c>
      <c r="M659">
        <v>270.77999999999997</v>
      </c>
      <c r="N659" t="s">
        <v>35</v>
      </c>
      <c r="O659" t="s">
        <v>107</v>
      </c>
      <c r="P659" t="s">
        <v>60</v>
      </c>
      <c r="Q659" t="s">
        <v>37</v>
      </c>
      <c r="R659" t="s">
        <v>61</v>
      </c>
    </row>
    <row r="660" spans="1:18" x14ac:dyDescent="0.3">
      <c r="A660" t="s">
        <v>2047</v>
      </c>
      <c r="B660" s="13">
        <v>45380</v>
      </c>
      <c r="C660" t="s">
        <v>2048</v>
      </c>
      <c r="D660" t="s">
        <v>405</v>
      </c>
      <c r="E660" t="s">
        <v>106</v>
      </c>
      <c r="F660" t="s">
        <v>33</v>
      </c>
      <c r="G660" t="s">
        <v>203</v>
      </c>
      <c r="H660">
        <v>5</v>
      </c>
      <c r="I660">
        <v>162.68</v>
      </c>
      <c r="J660">
        <v>0</v>
      </c>
      <c r="K660">
        <v>97.61</v>
      </c>
      <c r="L660">
        <v>4.18</v>
      </c>
      <c r="M660">
        <v>915.19</v>
      </c>
      <c r="N660" t="s">
        <v>50</v>
      </c>
      <c r="O660" t="s">
        <v>82</v>
      </c>
      <c r="P660" t="s">
        <v>178</v>
      </c>
      <c r="Q660" t="s">
        <v>69</v>
      </c>
      <c r="R660" t="s">
        <v>38</v>
      </c>
    </row>
    <row r="661" spans="1:18" x14ac:dyDescent="0.3">
      <c r="A661" t="s">
        <v>2054</v>
      </c>
      <c r="B661" s="13">
        <v>45227</v>
      </c>
      <c r="C661" t="s">
        <v>2055</v>
      </c>
      <c r="D661" t="s">
        <v>731</v>
      </c>
      <c r="E661" t="s">
        <v>231</v>
      </c>
      <c r="F661" t="s">
        <v>33</v>
      </c>
      <c r="G661" t="s">
        <v>66</v>
      </c>
      <c r="H661">
        <v>4</v>
      </c>
      <c r="I661">
        <v>235.56</v>
      </c>
      <c r="J661">
        <v>0.05</v>
      </c>
      <c r="K661">
        <v>71.61</v>
      </c>
      <c r="L661">
        <v>0.81</v>
      </c>
      <c r="M661">
        <v>967.55</v>
      </c>
      <c r="N661" t="s">
        <v>24</v>
      </c>
      <c r="O661" t="s">
        <v>25</v>
      </c>
      <c r="P661" t="s">
        <v>60</v>
      </c>
      <c r="Q661" t="s">
        <v>37</v>
      </c>
      <c r="R661" t="s">
        <v>183</v>
      </c>
    </row>
    <row r="662" spans="1:18" x14ac:dyDescent="0.3">
      <c r="A662" t="s">
        <v>2086</v>
      </c>
      <c r="B662" s="13">
        <v>44862</v>
      </c>
      <c r="C662" t="s">
        <v>2087</v>
      </c>
      <c r="D662" t="s">
        <v>1495</v>
      </c>
      <c r="E662" t="s">
        <v>386</v>
      </c>
      <c r="F662" t="s">
        <v>33</v>
      </c>
      <c r="G662" t="s">
        <v>66</v>
      </c>
      <c r="H662">
        <v>1</v>
      </c>
      <c r="I662">
        <v>509</v>
      </c>
      <c r="J662">
        <v>0.05</v>
      </c>
      <c r="K662">
        <v>38.68</v>
      </c>
      <c r="L662">
        <v>14.37</v>
      </c>
      <c r="M662">
        <v>536.6</v>
      </c>
      <c r="N662" t="s">
        <v>58</v>
      </c>
      <c r="O662" t="s">
        <v>25</v>
      </c>
      <c r="P662" t="s">
        <v>95</v>
      </c>
      <c r="Q662" t="s">
        <v>37</v>
      </c>
      <c r="R662" t="s">
        <v>38</v>
      </c>
    </row>
    <row r="663" spans="1:18" x14ac:dyDescent="0.3">
      <c r="A663" t="s">
        <v>2092</v>
      </c>
      <c r="B663" s="13">
        <v>44506</v>
      </c>
      <c r="C663" t="s">
        <v>2093</v>
      </c>
      <c r="D663" t="s">
        <v>469</v>
      </c>
      <c r="E663" t="s">
        <v>597</v>
      </c>
      <c r="F663" t="s">
        <v>33</v>
      </c>
      <c r="G663" t="s">
        <v>49</v>
      </c>
      <c r="H663">
        <v>3</v>
      </c>
      <c r="I663">
        <v>38.89</v>
      </c>
      <c r="J663">
        <v>0.05</v>
      </c>
      <c r="K663">
        <v>5.54</v>
      </c>
      <c r="L663">
        <v>7.19</v>
      </c>
      <c r="M663">
        <v>123.57</v>
      </c>
      <c r="N663" t="s">
        <v>24</v>
      </c>
      <c r="O663" t="s">
        <v>25</v>
      </c>
      <c r="P663" t="s">
        <v>150</v>
      </c>
      <c r="Q663" t="s">
        <v>69</v>
      </c>
      <c r="R663" t="s">
        <v>38</v>
      </c>
    </row>
    <row r="664" spans="1:18" x14ac:dyDescent="0.3">
      <c r="A664" t="s">
        <v>2100</v>
      </c>
      <c r="B664" s="13">
        <v>45170</v>
      </c>
      <c r="C664" t="s">
        <v>2101</v>
      </c>
      <c r="D664" t="s">
        <v>882</v>
      </c>
      <c r="E664" t="s">
        <v>425</v>
      </c>
      <c r="F664" t="s">
        <v>33</v>
      </c>
      <c r="G664" t="s">
        <v>203</v>
      </c>
      <c r="H664">
        <v>1</v>
      </c>
      <c r="I664">
        <v>50.94</v>
      </c>
      <c r="J664">
        <v>0.1</v>
      </c>
      <c r="K664">
        <v>5.5</v>
      </c>
      <c r="L664">
        <v>14.97</v>
      </c>
      <c r="M664">
        <v>66.319999999999993</v>
      </c>
      <c r="N664" t="s">
        <v>67</v>
      </c>
      <c r="O664" t="s">
        <v>25</v>
      </c>
      <c r="P664" t="s">
        <v>83</v>
      </c>
      <c r="Q664" t="s">
        <v>84</v>
      </c>
      <c r="R664" t="s">
        <v>28</v>
      </c>
    </row>
    <row r="665" spans="1:18" x14ac:dyDescent="0.3">
      <c r="A665" t="s">
        <v>2110</v>
      </c>
      <c r="B665" s="13">
        <v>43871</v>
      </c>
      <c r="C665" t="s">
        <v>2111</v>
      </c>
      <c r="D665" t="s">
        <v>655</v>
      </c>
      <c r="E665" t="s">
        <v>32</v>
      </c>
      <c r="F665" t="s">
        <v>33</v>
      </c>
      <c r="G665" t="s">
        <v>100</v>
      </c>
      <c r="H665">
        <v>2</v>
      </c>
      <c r="I665">
        <v>204.68</v>
      </c>
      <c r="J665">
        <v>0.05</v>
      </c>
      <c r="K665">
        <v>0</v>
      </c>
      <c r="L665">
        <v>12.45</v>
      </c>
      <c r="M665">
        <v>401.34</v>
      </c>
      <c r="N665" t="s">
        <v>58</v>
      </c>
      <c r="O665" t="s">
        <v>25</v>
      </c>
      <c r="P665" t="s">
        <v>51</v>
      </c>
      <c r="Q665" t="s">
        <v>52</v>
      </c>
      <c r="R665" t="s">
        <v>183</v>
      </c>
    </row>
    <row r="666" spans="1:18" x14ac:dyDescent="0.3">
      <c r="A666" t="s">
        <v>2112</v>
      </c>
      <c r="B666" s="13">
        <v>44570</v>
      </c>
      <c r="C666" t="s">
        <v>987</v>
      </c>
      <c r="D666" t="s">
        <v>623</v>
      </c>
      <c r="E666" t="s">
        <v>132</v>
      </c>
      <c r="F666" t="s">
        <v>33</v>
      </c>
      <c r="G666" t="s">
        <v>66</v>
      </c>
      <c r="H666">
        <v>5</v>
      </c>
      <c r="I666">
        <v>9.4</v>
      </c>
      <c r="J666">
        <v>0</v>
      </c>
      <c r="K666">
        <v>3.76</v>
      </c>
      <c r="L666">
        <v>4.74</v>
      </c>
      <c r="M666">
        <v>55.5</v>
      </c>
      <c r="N666" t="s">
        <v>58</v>
      </c>
      <c r="O666" t="s">
        <v>25</v>
      </c>
      <c r="P666" t="s">
        <v>51</v>
      </c>
      <c r="Q666" t="s">
        <v>52</v>
      </c>
      <c r="R666" t="s">
        <v>28</v>
      </c>
    </row>
    <row r="667" spans="1:18" x14ac:dyDescent="0.3">
      <c r="A667" t="s">
        <v>2113</v>
      </c>
      <c r="B667" s="13">
        <v>45558</v>
      </c>
      <c r="C667" t="s">
        <v>2114</v>
      </c>
      <c r="D667" t="s">
        <v>767</v>
      </c>
      <c r="E667" t="s">
        <v>577</v>
      </c>
      <c r="F667" t="s">
        <v>33</v>
      </c>
      <c r="G667" t="s">
        <v>268</v>
      </c>
      <c r="H667">
        <v>3</v>
      </c>
      <c r="I667">
        <v>72.78</v>
      </c>
      <c r="J667">
        <v>0</v>
      </c>
      <c r="K667">
        <v>17.47</v>
      </c>
      <c r="L667">
        <v>9.7200000000000006</v>
      </c>
      <c r="M667">
        <v>245.53</v>
      </c>
      <c r="N667" t="s">
        <v>58</v>
      </c>
      <c r="O667" t="s">
        <v>25</v>
      </c>
      <c r="P667" t="s">
        <v>95</v>
      </c>
      <c r="Q667" t="s">
        <v>37</v>
      </c>
      <c r="R667" t="s">
        <v>38</v>
      </c>
    </row>
    <row r="668" spans="1:18" x14ac:dyDescent="0.3">
      <c r="A668" t="s">
        <v>2146</v>
      </c>
      <c r="B668" s="13">
        <v>44713</v>
      </c>
      <c r="C668" t="s">
        <v>2147</v>
      </c>
      <c r="D668" t="s">
        <v>477</v>
      </c>
      <c r="E668" t="s">
        <v>138</v>
      </c>
      <c r="F668" t="s">
        <v>33</v>
      </c>
      <c r="G668" t="s">
        <v>90</v>
      </c>
      <c r="H668">
        <v>5</v>
      </c>
      <c r="I668">
        <v>540.42999999999995</v>
      </c>
      <c r="J668">
        <v>0</v>
      </c>
      <c r="K668">
        <v>324.26</v>
      </c>
      <c r="L668">
        <v>12.47</v>
      </c>
      <c r="M668">
        <v>3038.88</v>
      </c>
      <c r="N668" t="s">
        <v>58</v>
      </c>
      <c r="O668" t="s">
        <v>25</v>
      </c>
      <c r="P668" t="s">
        <v>36</v>
      </c>
      <c r="Q668" t="s">
        <v>37</v>
      </c>
      <c r="R668" t="s">
        <v>38</v>
      </c>
    </row>
    <row r="669" spans="1:18" x14ac:dyDescent="0.3">
      <c r="A669" t="s">
        <v>2154</v>
      </c>
      <c r="B669" s="13">
        <v>43840</v>
      </c>
      <c r="C669" t="s">
        <v>2155</v>
      </c>
      <c r="D669" t="s">
        <v>290</v>
      </c>
      <c r="E669" t="s">
        <v>177</v>
      </c>
      <c r="F669" t="s">
        <v>33</v>
      </c>
      <c r="G669" t="s">
        <v>23</v>
      </c>
      <c r="H669">
        <v>1</v>
      </c>
      <c r="I669">
        <v>576.5</v>
      </c>
      <c r="J669">
        <v>0.1</v>
      </c>
      <c r="K669">
        <v>62.26</v>
      </c>
      <c r="L669">
        <v>10.88</v>
      </c>
      <c r="M669">
        <v>591.99</v>
      </c>
      <c r="N669" t="s">
        <v>67</v>
      </c>
      <c r="O669" t="s">
        <v>107</v>
      </c>
      <c r="P669" t="s">
        <v>112</v>
      </c>
      <c r="Q669" t="s">
        <v>113</v>
      </c>
      <c r="R669" t="s">
        <v>61</v>
      </c>
    </row>
    <row r="670" spans="1:18" x14ac:dyDescent="0.3">
      <c r="A670" t="s">
        <v>2168</v>
      </c>
      <c r="B670" s="13">
        <v>44973</v>
      </c>
      <c r="C670" t="s">
        <v>2169</v>
      </c>
      <c r="D670" t="s">
        <v>223</v>
      </c>
      <c r="E670" t="s">
        <v>291</v>
      </c>
      <c r="F670" t="s">
        <v>33</v>
      </c>
      <c r="G670" t="s">
        <v>23</v>
      </c>
      <c r="H670">
        <v>5</v>
      </c>
      <c r="I670">
        <v>372.64</v>
      </c>
      <c r="J670">
        <v>0.3</v>
      </c>
      <c r="K670">
        <v>104.34</v>
      </c>
      <c r="L670">
        <v>6.33</v>
      </c>
      <c r="M670">
        <v>1414.91</v>
      </c>
      <c r="N670" t="s">
        <v>58</v>
      </c>
      <c r="O670" t="s">
        <v>25</v>
      </c>
      <c r="P670" t="s">
        <v>44</v>
      </c>
      <c r="Q670" t="s">
        <v>37</v>
      </c>
      <c r="R670" t="s">
        <v>38</v>
      </c>
    </row>
    <row r="671" spans="1:18" x14ac:dyDescent="0.3">
      <c r="A671" t="s">
        <v>2172</v>
      </c>
      <c r="B671" s="13">
        <v>45655</v>
      </c>
      <c r="C671" t="s">
        <v>2173</v>
      </c>
      <c r="D671" t="s">
        <v>410</v>
      </c>
      <c r="E671" t="s">
        <v>324</v>
      </c>
      <c r="F671" t="s">
        <v>33</v>
      </c>
      <c r="G671" t="s">
        <v>198</v>
      </c>
      <c r="H671">
        <v>2</v>
      </c>
      <c r="I671">
        <v>586.9</v>
      </c>
      <c r="J671">
        <v>0</v>
      </c>
      <c r="K671">
        <v>58.69</v>
      </c>
      <c r="L671">
        <v>2.33</v>
      </c>
      <c r="M671">
        <v>1234.82</v>
      </c>
      <c r="N671" t="s">
        <v>123</v>
      </c>
      <c r="O671" t="s">
        <v>25</v>
      </c>
      <c r="P671" t="s">
        <v>60</v>
      </c>
      <c r="Q671" t="s">
        <v>37</v>
      </c>
      <c r="R671" t="s">
        <v>38</v>
      </c>
    </row>
    <row r="672" spans="1:18" x14ac:dyDescent="0.3">
      <c r="A672" t="s">
        <v>2196</v>
      </c>
      <c r="B672" s="13">
        <v>44657</v>
      </c>
      <c r="C672" t="s">
        <v>2197</v>
      </c>
      <c r="D672" t="s">
        <v>215</v>
      </c>
      <c r="E672" t="s">
        <v>577</v>
      </c>
      <c r="F672" t="s">
        <v>33</v>
      </c>
      <c r="G672" t="s">
        <v>90</v>
      </c>
      <c r="H672">
        <v>5</v>
      </c>
      <c r="I672">
        <v>526.08000000000004</v>
      </c>
      <c r="J672">
        <v>0.15</v>
      </c>
      <c r="K672">
        <v>0</v>
      </c>
      <c r="L672">
        <v>8.1199999999999992</v>
      </c>
      <c r="M672">
        <v>2243.96</v>
      </c>
      <c r="N672" t="s">
        <v>58</v>
      </c>
      <c r="O672" t="s">
        <v>107</v>
      </c>
      <c r="P672" t="s">
        <v>83</v>
      </c>
      <c r="Q672" t="s">
        <v>84</v>
      </c>
      <c r="R672" t="s">
        <v>38</v>
      </c>
    </row>
    <row r="673" spans="1:18" x14ac:dyDescent="0.3">
      <c r="A673" t="s">
        <v>2212</v>
      </c>
      <c r="B673" s="13">
        <v>44215</v>
      </c>
      <c r="C673" t="s">
        <v>2213</v>
      </c>
      <c r="D673" t="s">
        <v>1593</v>
      </c>
      <c r="E673" t="s">
        <v>182</v>
      </c>
      <c r="F673" t="s">
        <v>33</v>
      </c>
      <c r="G673" t="s">
        <v>203</v>
      </c>
      <c r="H673">
        <v>3</v>
      </c>
      <c r="I673">
        <v>452.94</v>
      </c>
      <c r="J673">
        <v>0.05</v>
      </c>
      <c r="K673">
        <v>64.540000000000006</v>
      </c>
      <c r="L673">
        <v>5.36</v>
      </c>
      <c r="M673">
        <v>1360.78</v>
      </c>
      <c r="N673" t="s">
        <v>58</v>
      </c>
      <c r="O673" t="s">
        <v>25</v>
      </c>
      <c r="P673" t="s">
        <v>95</v>
      </c>
      <c r="Q673" t="s">
        <v>37</v>
      </c>
      <c r="R673" t="s">
        <v>38</v>
      </c>
    </row>
    <row r="674" spans="1:18" x14ac:dyDescent="0.3">
      <c r="A674" t="s">
        <v>2220</v>
      </c>
      <c r="B674" s="13">
        <v>44306</v>
      </c>
      <c r="C674" t="s">
        <v>2221</v>
      </c>
      <c r="D674" t="s">
        <v>460</v>
      </c>
      <c r="E674" t="s">
        <v>577</v>
      </c>
      <c r="F674" t="s">
        <v>33</v>
      </c>
      <c r="G674" t="s">
        <v>66</v>
      </c>
      <c r="H674">
        <v>3</v>
      </c>
      <c r="I674">
        <v>388.75</v>
      </c>
      <c r="J674">
        <v>0</v>
      </c>
      <c r="K674">
        <v>139.94999999999999</v>
      </c>
      <c r="L674">
        <v>4.57</v>
      </c>
      <c r="M674">
        <v>1310.77</v>
      </c>
      <c r="N674" t="s">
        <v>67</v>
      </c>
      <c r="O674" t="s">
        <v>25</v>
      </c>
      <c r="P674" t="s">
        <v>26</v>
      </c>
      <c r="Q674" t="s">
        <v>27</v>
      </c>
      <c r="R674" t="s">
        <v>38</v>
      </c>
    </row>
    <row r="675" spans="1:18" x14ac:dyDescent="0.3">
      <c r="A675" t="s">
        <v>2242</v>
      </c>
      <c r="B675" s="13">
        <v>43913</v>
      </c>
      <c r="C675" t="s">
        <v>2243</v>
      </c>
      <c r="D675" t="s">
        <v>206</v>
      </c>
      <c r="E675" t="s">
        <v>73</v>
      </c>
      <c r="F675" t="s">
        <v>33</v>
      </c>
      <c r="G675" t="s">
        <v>57</v>
      </c>
      <c r="H675">
        <v>4</v>
      </c>
      <c r="I675">
        <v>371.94</v>
      </c>
      <c r="J675">
        <v>0</v>
      </c>
      <c r="K675">
        <v>74.39</v>
      </c>
      <c r="L675">
        <v>5.94</v>
      </c>
      <c r="M675">
        <v>1568.09</v>
      </c>
      <c r="N675" t="s">
        <v>35</v>
      </c>
      <c r="O675" t="s">
        <v>25</v>
      </c>
      <c r="P675" t="s">
        <v>124</v>
      </c>
      <c r="Q675" t="s">
        <v>125</v>
      </c>
      <c r="R675" t="s">
        <v>38</v>
      </c>
    </row>
    <row r="676" spans="1:18" x14ac:dyDescent="0.3">
      <c r="A676" t="s">
        <v>2265</v>
      </c>
      <c r="B676" s="13">
        <v>44279</v>
      </c>
      <c r="C676" t="s">
        <v>2266</v>
      </c>
      <c r="D676" t="s">
        <v>368</v>
      </c>
      <c r="E676" t="s">
        <v>300</v>
      </c>
      <c r="F676" t="s">
        <v>33</v>
      </c>
      <c r="G676" t="s">
        <v>198</v>
      </c>
      <c r="H676">
        <v>5</v>
      </c>
      <c r="I676">
        <v>440.1</v>
      </c>
      <c r="J676">
        <v>0.25</v>
      </c>
      <c r="K676">
        <v>198.04</v>
      </c>
      <c r="L676">
        <v>0.63</v>
      </c>
      <c r="M676">
        <v>1849.04</v>
      </c>
      <c r="N676" t="s">
        <v>35</v>
      </c>
      <c r="O676" t="s">
        <v>25</v>
      </c>
      <c r="P676" t="s">
        <v>145</v>
      </c>
      <c r="Q676" t="s">
        <v>146</v>
      </c>
      <c r="R676" t="s">
        <v>183</v>
      </c>
    </row>
    <row r="677" spans="1:18" x14ac:dyDescent="0.3">
      <c r="A677" t="s">
        <v>2274</v>
      </c>
      <c r="B677" s="13">
        <v>45202</v>
      </c>
      <c r="C677" t="s">
        <v>2275</v>
      </c>
      <c r="D677" t="s">
        <v>159</v>
      </c>
      <c r="E677" t="s">
        <v>111</v>
      </c>
      <c r="F677" t="s">
        <v>33</v>
      </c>
      <c r="G677" t="s">
        <v>100</v>
      </c>
      <c r="H677">
        <v>1</v>
      </c>
      <c r="I677">
        <v>332.74</v>
      </c>
      <c r="J677">
        <v>0</v>
      </c>
      <c r="K677">
        <v>39.93</v>
      </c>
      <c r="L677">
        <v>7.2</v>
      </c>
      <c r="M677">
        <v>379.87</v>
      </c>
      <c r="N677" t="s">
        <v>24</v>
      </c>
      <c r="O677" t="s">
        <v>144</v>
      </c>
      <c r="P677" t="s">
        <v>101</v>
      </c>
      <c r="Q677" t="s">
        <v>102</v>
      </c>
      <c r="R677" t="s">
        <v>38</v>
      </c>
    </row>
    <row r="678" spans="1:18" x14ac:dyDescent="0.3">
      <c r="A678" t="s">
        <v>2282</v>
      </c>
      <c r="B678" s="13">
        <v>43984</v>
      </c>
      <c r="C678" t="s">
        <v>2283</v>
      </c>
      <c r="D678" t="s">
        <v>494</v>
      </c>
      <c r="E678" t="s">
        <v>56</v>
      </c>
      <c r="F678" t="s">
        <v>33</v>
      </c>
      <c r="G678" t="s">
        <v>198</v>
      </c>
      <c r="H678">
        <v>5</v>
      </c>
      <c r="I678">
        <v>176.23</v>
      </c>
      <c r="J678">
        <v>0</v>
      </c>
      <c r="K678">
        <v>105.74</v>
      </c>
      <c r="L678">
        <v>9.8800000000000008</v>
      </c>
      <c r="M678">
        <v>996.77</v>
      </c>
      <c r="N678" t="s">
        <v>35</v>
      </c>
      <c r="O678" t="s">
        <v>107</v>
      </c>
      <c r="P678" t="s">
        <v>117</v>
      </c>
      <c r="Q678" t="s">
        <v>118</v>
      </c>
      <c r="R678" t="s">
        <v>61</v>
      </c>
    </row>
    <row r="679" spans="1:18" x14ac:dyDescent="0.3">
      <c r="A679" t="s">
        <v>2288</v>
      </c>
      <c r="B679" s="13">
        <v>44268</v>
      </c>
      <c r="C679" t="s">
        <v>2289</v>
      </c>
      <c r="D679" t="s">
        <v>1105</v>
      </c>
      <c r="E679" t="s">
        <v>243</v>
      </c>
      <c r="F679" t="s">
        <v>33</v>
      </c>
      <c r="G679" t="s">
        <v>66</v>
      </c>
      <c r="H679">
        <v>5</v>
      </c>
      <c r="I679">
        <v>574.23</v>
      </c>
      <c r="J679">
        <v>0</v>
      </c>
      <c r="K679">
        <v>229.69</v>
      </c>
      <c r="L679">
        <v>8.39</v>
      </c>
      <c r="M679">
        <v>3109.23</v>
      </c>
      <c r="N679" t="s">
        <v>58</v>
      </c>
      <c r="O679" t="s">
        <v>25</v>
      </c>
      <c r="P679" t="s">
        <v>26</v>
      </c>
      <c r="Q679" t="s">
        <v>27</v>
      </c>
      <c r="R679" t="s">
        <v>38</v>
      </c>
    </row>
    <row r="680" spans="1:18" x14ac:dyDescent="0.3">
      <c r="A680" t="s">
        <v>2290</v>
      </c>
      <c r="B680" s="13">
        <v>43948</v>
      </c>
      <c r="C680" t="s">
        <v>2291</v>
      </c>
      <c r="D680" t="s">
        <v>206</v>
      </c>
      <c r="E680" t="s">
        <v>197</v>
      </c>
      <c r="F680" t="s">
        <v>33</v>
      </c>
      <c r="G680" t="s">
        <v>198</v>
      </c>
      <c r="H680">
        <v>5</v>
      </c>
      <c r="I680">
        <v>94.26</v>
      </c>
      <c r="J680">
        <v>0.05</v>
      </c>
      <c r="K680">
        <v>0</v>
      </c>
      <c r="L680">
        <v>11.49</v>
      </c>
      <c r="M680">
        <v>459.22</v>
      </c>
      <c r="N680" t="s">
        <v>58</v>
      </c>
      <c r="O680" t="s">
        <v>107</v>
      </c>
      <c r="P680" t="s">
        <v>173</v>
      </c>
      <c r="Q680" t="s">
        <v>174</v>
      </c>
      <c r="R680" t="s">
        <v>38</v>
      </c>
    </row>
    <row r="681" spans="1:18" x14ac:dyDescent="0.3">
      <c r="A681" t="s">
        <v>2292</v>
      </c>
      <c r="B681" s="13">
        <v>44601</v>
      </c>
      <c r="C681" t="s">
        <v>2293</v>
      </c>
      <c r="D681" t="s">
        <v>1580</v>
      </c>
      <c r="E681" t="s">
        <v>349</v>
      </c>
      <c r="F681" t="s">
        <v>33</v>
      </c>
      <c r="G681" t="s">
        <v>268</v>
      </c>
      <c r="H681">
        <v>2</v>
      </c>
      <c r="I681">
        <v>518.37</v>
      </c>
      <c r="J681">
        <v>0</v>
      </c>
      <c r="K681">
        <v>124.41</v>
      </c>
      <c r="L681">
        <v>4.05</v>
      </c>
      <c r="M681">
        <v>1165.2</v>
      </c>
      <c r="N681" t="s">
        <v>35</v>
      </c>
      <c r="O681" t="s">
        <v>25</v>
      </c>
      <c r="P681" t="s">
        <v>124</v>
      </c>
      <c r="Q681" t="s">
        <v>125</v>
      </c>
      <c r="R681" t="s">
        <v>38</v>
      </c>
    </row>
    <row r="682" spans="1:18" x14ac:dyDescent="0.3">
      <c r="A682" t="s">
        <v>2302</v>
      </c>
      <c r="B682" s="13">
        <v>44219</v>
      </c>
      <c r="C682" t="s">
        <v>2303</v>
      </c>
      <c r="D682" t="s">
        <v>172</v>
      </c>
      <c r="E682" t="s">
        <v>65</v>
      </c>
      <c r="F682" t="s">
        <v>33</v>
      </c>
      <c r="G682" t="s">
        <v>268</v>
      </c>
      <c r="H682">
        <v>5</v>
      </c>
      <c r="I682">
        <v>219.88</v>
      </c>
      <c r="J682">
        <v>0.05</v>
      </c>
      <c r="K682">
        <v>52.22</v>
      </c>
      <c r="L682">
        <v>14.84</v>
      </c>
      <c r="M682">
        <v>1111.49</v>
      </c>
      <c r="N682" t="s">
        <v>58</v>
      </c>
      <c r="O682" t="s">
        <v>25</v>
      </c>
      <c r="P682" t="s">
        <v>150</v>
      </c>
      <c r="Q682" t="s">
        <v>69</v>
      </c>
      <c r="R682" t="s">
        <v>38</v>
      </c>
    </row>
    <row r="683" spans="1:18" x14ac:dyDescent="0.3">
      <c r="A683" t="s">
        <v>2306</v>
      </c>
      <c r="B683" s="13">
        <v>45588</v>
      </c>
      <c r="C683" t="s">
        <v>2307</v>
      </c>
      <c r="D683" t="s">
        <v>320</v>
      </c>
      <c r="E683" t="s">
        <v>156</v>
      </c>
      <c r="F683" t="s">
        <v>33</v>
      </c>
      <c r="G683" t="s">
        <v>198</v>
      </c>
      <c r="H683">
        <v>4</v>
      </c>
      <c r="I683">
        <v>327.29000000000002</v>
      </c>
      <c r="J683">
        <v>0.1</v>
      </c>
      <c r="K683">
        <v>0</v>
      </c>
      <c r="L683">
        <v>1.04</v>
      </c>
      <c r="M683">
        <v>1179.28</v>
      </c>
      <c r="N683" t="s">
        <v>58</v>
      </c>
      <c r="O683" t="s">
        <v>25</v>
      </c>
      <c r="P683" t="s">
        <v>51</v>
      </c>
      <c r="Q683" t="s">
        <v>52</v>
      </c>
      <c r="R683" t="s">
        <v>38</v>
      </c>
    </row>
    <row r="684" spans="1:18" x14ac:dyDescent="0.3">
      <c r="A684" t="s">
        <v>2312</v>
      </c>
      <c r="B684" s="13">
        <v>44454</v>
      </c>
      <c r="C684" t="s">
        <v>2313</v>
      </c>
      <c r="D684" t="s">
        <v>566</v>
      </c>
      <c r="E684" t="s">
        <v>300</v>
      </c>
      <c r="F684" t="s">
        <v>33</v>
      </c>
      <c r="G684" t="s">
        <v>49</v>
      </c>
      <c r="H684">
        <v>3</v>
      </c>
      <c r="I684">
        <v>354.79</v>
      </c>
      <c r="J684">
        <v>0</v>
      </c>
      <c r="K684">
        <v>127.72</v>
      </c>
      <c r="L684">
        <v>6.11</v>
      </c>
      <c r="M684">
        <v>1198.2</v>
      </c>
      <c r="N684" t="s">
        <v>58</v>
      </c>
      <c r="O684" t="s">
        <v>25</v>
      </c>
      <c r="P684" t="s">
        <v>83</v>
      </c>
      <c r="Q684" t="s">
        <v>84</v>
      </c>
      <c r="R684" t="s">
        <v>38</v>
      </c>
    </row>
    <row r="685" spans="1:18" x14ac:dyDescent="0.3">
      <c r="A685" t="s">
        <v>2316</v>
      </c>
      <c r="B685" s="13">
        <v>45157</v>
      </c>
      <c r="C685" t="s">
        <v>2317</v>
      </c>
      <c r="D685" t="s">
        <v>511</v>
      </c>
      <c r="E685" t="s">
        <v>220</v>
      </c>
      <c r="F685" t="s">
        <v>33</v>
      </c>
      <c r="G685" t="s">
        <v>57</v>
      </c>
      <c r="H685">
        <v>4</v>
      </c>
      <c r="I685">
        <v>44.82</v>
      </c>
      <c r="J685">
        <v>0.05</v>
      </c>
      <c r="K685">
        <v>13.63</v>
      </c>
      <c r="L685">
        <v>0.53</v>
      </c>
      <c r="M685">
        <v>184.48</v>
      </c>
      <c r="N685" t="s">
        <v>67</v>
      </c>
      <c r="O685" t="s">
        <v>144</v>
      </c>
      <c r="P685" t="s">
        <v>117</v>
      </c>
      <c r="Q685" t="s">
        <v>118</v>
      </c>
      <c r="R685" t="s">
        <v>38</v>
      </c>
    </row>
    <row r="686" spans="1:18" x14ac:dyDescent="0.3">
      <c r="A686" t="s">
        <v>85</v>
      </c>
      <c r="B686" s="13">
        <v>45469</v>
      </c>
      <c r="C686" t="s">
        <v>86</v>
      </c>
      <c r="D686" t="s">
        <v>87</v>
      </c>
      <c r="E686" t="s">
        <v>88</v>
      </c>
      <c r="F686" t="s">
        <v>89</v>
      </c>
      <c r="G686" t="s">
        <v>90</v>
      </c>
      <c r="H686">
        <v>4</v>
      </c>
      <c r="I686">
        <v>146.09</v>
      </c>
      <c r="J686">
        <v>0</v>
      </c>
      <c r="K686">
        <v>46.75</v>
      </c>
      <c r="L686">
        <v>7.03</v>
      </c>
      <c r="M686">
        <v>638.14</v>
      </c>
      <c r="N686" t="s">
        <v>24</v>
      </c>
      <c r="O686" t="s">
        <v>25</v>
      </c>
      <c r="P686" t="s">
        <v>26</v>
      </c>
      <c r="Q686" t="s">
        <v>27</v>
      </c>
      <c r="R686" t="s">
        <v>38</v>
      </c>
    </row>
    <row r="687" spans="1:18" x14ac:dyDescent="0.3">
      <c r="A687" t="s">
        <v>126</v>
      </c>
      <c r="B687" s="13">
        <v>45227</v>
      </c>
      <c r="C687" t="s">
        <v>127</v>
      </c>
      <c r="D687" t="s">
        <v>128</v>
      </c>
      <c r="E687" t="s">
        <v>80</v>
      </c>
      <c r="F687" t="s">
        <v>89</v>
      </c>
      <c r="G687" t="s">
        <v>100</v>
      </c>
      <c r="H687">
        <v>4</v>
      </c>
      <c r="I687">
        <v>533.12</v>
      </c>
      <c r="J687">
        <v>0.25</v>
      </c>
      <c r="K687">
        <v>79.97</v>
      </c>
      <c r="L687">
        <v>2.58</v>
      </c>
      <c r="M687">
        <v>1681.91</v>
      </c>
      <c r="N687" t="s">
        <v>35</v>
      </c>
      <c r="O687" t="s">
        <v>25</v>
      </c>
      <c r="P687" t="s">
        <v>101</v>
      </c>
      <c r="Q687" t="s">
        <v>102</v>
      </c>
      <c r="R687" t="s">
        <v>38</v>
      </c>
    </row>
    <row r="688" spans="1:18" x14ac:dyDescent="0.3">
      <c r="A688" t="s">
        <v>147</v>
      </c>
      <c r="B688" s="13">
        <v>43961</v>
      </c>
      <c r="C688" t="s">
        <v>148</v>
      </c>
      <c r="D688" t="s">
        <v>149</v>
      </c>
      <c r="E688" t="s">
        <v>32</v>
      </c>
      <c r="F688" t="s">
        <v>89</v>
      </c>
      <c r="G688" t="s">
        <v>100</v>
      </c>
      <c r="H688">
        <v>3</v>
      </c>
      <c r="I688">
        <v>303.52999999999997</v>
      </c>
      <c r="J688">
        <v>0</v>
      </c>
      <c r="K688">
        <v>72.849999999999994</v>
      </c>
      <c r="L688">
        <v>4.18</v>
      </c>
      <c r="M688">
        <v>987.62</v>
      </c>
      <c r="N688" t="s">
        <v>67</v>
      </c>
      <c r="O688" t="s">
        <v>25</v>
      </c>
      <c r="P688" t="s">
        <v>150</v>
      </c>
      <c r="Q688" t="s">
        <v>69</v>
      </c>
      <c r="R688" t="s">
        <v>38</v>
      </c>
    </row>
    <row r="689" spans="1:18" x14ac:dyDescent="0.3">
      <c r="A689" t="s">
        <v>194</v>
      </c>
      <c r="B689" s="13">
        <v>45015</v>
      </c>
      <c r="C689" t="s">
        <v>195</v>
      </c>
      <c r="D689" t="s">
        <v>196</v>
      </c>
      <c r="E689" t="s">
        <v>197</v>
      </c>
      <c r="F689" t="s">
        <v>89</v>
      </c>
      <c r="G689" t="s">
        <v>198</v>
      </c>
      <c r="H689">
        <v>4</v>
      </c>
      <c r="I689">
        <v>126.5</v>
      </c>
      <c r="J689">
        <v>0.1</v>
      </c>
      <c r="K689">
        <v>22.77</v>
      </c>
      <c r="L689">
        <v>7.01</v>
      </c>
      <c r="M689">
        <v>485.18</v>
      </c>
      <c r="N689" t="s">
        <v>58</v>
      </c>
      <c r="O689" t="s">
        <v>107</v>
      </c>
      <c r="P689" t="s">
        <v>95</v>
      </c>
      <c r="Q689" t="s">
        <v>37</v>
      </c>
      <c r="R689" t="s">
        <v>28</v>
      </c>
    </row>
    <row r="690" spans="1:18" x14ac:dyDescent="0.3">
      <c r="A690" t="s">
        <v>207</v>
      </c>
      <c r="B690" s="13">
        <v>43852</v>
      </c>
      <c r="C690" t="s">
        <v>208</v>
      </c>
      <c r="D690" t="s">
        <v>209</v>
      </c>
      <c r="E690" t="s">
        <v>164</v>
      </c>
      <c r="F690" t="s">
        <v>89</v>
      </c>
      <c r="G690" t="s">
        <v>23</v>
      </c>
      <c r="H690">
        <v>5</v>
      </c>
      <c r="I690">
        <v>294.8</v>
      </c>
      <c r="J690">
        <v>0.1</v>
      </c>
      <c r="K690">
        <v>159.19</v>
      </c>
      <c r="L690">
        <v>4.08</v>
      </c>
      <c r="M690">
        <v>1489.87</v>
      </c>
      <c r="N690" t="s">
        <v>58</v>
      </c>
      <c r="O690" t="s">
        <v>107</v>
      </c>
      <c r="P690" t="s">
        <v>36</v>
      </c>
      <c r="Q690" t="s">
        <v>37</v>
      </c>
      <c r="R690" t="s">
        <v>38</v>
      </c>
    </row>
    <row r="691" spans="1:18" x14ac:dyDescent="0.3">
      <c r="A691" t="s">
        <v>226</v>
      </c>
      <c r="B691" s="13">
        <v>44913</v>
      </c>
      <c r="C691" t="s">
        <v>227</v>
      </c>
      <c r="D691" t="s">
        <v>219</v>
      </c>
      <c r="E691" t="s">
        <v>122</v>
      </c>
      <c r="F691" t="s">
        <v>89</v>
      </c>
      <c r="G691" t="s">
        <v>49</v>
      </c>
      <c r="H691">
        <v>3</v>
      </c>
      <c r="I691">
        <v>215.9</v>
      </c>
      <c r="J691">
        <v>0</v>
      </c>
      <c r="K691">
        <v>77.72</v>
      </c>
      <c r="L691">
        <v>8.4499999999999993</v>
      </c>
      <c r="M691">
        <v>733.87</v>
      </c>
      <c r="N691" t="s">
        <v>67</v>
      </c>
      <c r="O691" t="s">
        <v>25</v>
      </c>
      <c r="P691" t="s">
        <v>74</v>
      </c>
      <c r="Q691" t="s">
        <v>75</v>
      </c>
      <c r="R691" t="s">
        <v>38</v>
      </c>
    </row>
    <row r="692" spans="1:18" x14ac:dyDescent="0.3">
      <c r="A692" t="s">
        <v>269</v>
      </c>
      <c r="B692" s="13">
        <v>45098</v>
      </c>
      <c r="C692" t="s">
        <v>270</v>
      </c>
      <c r="D692" t="s">
        <v>266</v>
      </c>
      <c r="E692" t="s">
        <v>271</v>
      </c>
      <c r="F692" t="s">
        <v>89</v>
      </c>
      <c r="G692" t="s">
        <v>198</v>
      </c>
      <c r="H692">
        <v>1</v>
      </c>
      <c r="I692">
        <v>491.78</v>
      </c>
      <c r="J692">
        <v>0.1</v>
      </c>
      <c r="K692">
        <v>53.11</v>
      </c>
      <c r="L692">
        <v>5.14</v>
      </c>
      <c r="M692">
        <v>500.85</v>
      </c>
      <c r="N692" t="s">
        <v>35</v>
      </c>
      <c r="O692" t="s">
        <v>25</v>
      </c>
      <c r="P692" t="s">
        <v>51</v>
      </c>
      <c r="Q692" t="s">
        <v>52</v>
      </c>
      <c r="R692" t="s">
        <v>28</v>
      </c>
    </row>
    <row r="693" spans="1:18" x14ac:dyDescent="0.3">
      <c r="A693" t="s">
        <v>277</v>
      </c>
      <c r="B693" s="13">
        <v>44985</v>
      </c>
      <c r="C693" t="s">
        <v>278</v>
      </c>
      <c r="D693" t="s">
        <v>279</v>
      </c>
      <c r="E693" t="s">
        <v>231</v>
      </c>
      <c r="F693" t="s">
        <v>89</v>
      </c>
      <c r="G693" t="s">
        <v>100</v>
      </c>
      <c r="H693">
        <v>2</v>
      </c>
      <c r="I693">
        <v>509.59</v>
      </c>
      <c r="J693">
        <v>0</v>
      </c>
      <c r="K693">
        <v>183.45</v>
      </c>
      <c r="L693">
        <v>3.79</v>
      </c>
      <c r="M693">
        <v>1206.42</v>
      </c>
      <c r="N693" t="s">
        <v>58</v>
      </c>
      <c r="O693" t="s">
        <v>107</v>
      </c>
      <c r="P693" t="s">
        <v>257</v>
      </c>
      <c r="Q693" t="s">
        <v>69</v>
      </c>
      <c r="R693" t="s">
        <v>38</v>
      </c>
    </row>
    <row r="694" spans="1:18" x14ac:dyDescent="0.3">
      <c r="A694" t="s">
        <v>318</v>
      </c>
      <c r="B694" s="13">
        <v>44395</v>
      </c>
      <c r="C694" t="s">
        <v>319</v>
      </c>
      <c r="D694" t="s">
        <v>320</v>
      </c>
      <c r="E694" t="s">
        <v>231</v>
      </c>
      <c r="F694" t="s">
        <v>89</v>
      </c>
      <c r="G694" t="s">
        <v>49</v>
      </c>
      <c r="H694">
        <v>4</v>
      </c>
      <c r="I694">
        <v>433.7</v>
      </c>
      <c r="J694">
        <v>0.15</v>
      </c>
      <c r="K694">
        <v>176.95</v>
      </c>
      <c r="L694">
        <v>10.58</v>
      </c>
      <c r="M694">
        <v>1662.11</v>
      </c>
      <c r="N694" t="s">
        <v>24</v>
      </c>
      <c r="O694" t="s">
        <v>25</v>
      </c>
      <c r="P694" t="s">
        <v>257</v>
      </c>
      <c r="Q694" t="s">
        <v>69</v>
      </c>
      <c r="R694" t="s">
        <v>38</v>
      </c>
    </row>
    <row r="695" spans="1:18" x14ac:dyDescent="0.3">
      <c r="A695" t="s">
        <v>331</v>
      </c>
      <c r="B695" s="13">
        <v>45221</v>
      </c>
      <c r="C695" t="s">
        <v>332</v>
      </c>
      <c r="D695" t="s">
        <v>333</v>
      </c>
      <c r="E695" t="s">
        <v>156</v>
      </c>
      <c r="F695" t="s">
        <v>89</v>
      </c>
      <c r="G695" t="s">
        <v>268</v>
      </c>
      <c r="H695">
        <v>2</v>
      </c>
      <c r="I695">
        <v>354.18</v>
      </c>
      <c r="J695">
        <v>0.05</v>
      </c>
      <c r="K695">
        <v>80.75</v>
      </c>
      <c r="L695">
        <v>2.4900000000000002</v>
      </c>
      <c r="M695">
        <v>756.18</v>
      </c>
      <c r="N695" t="s">
        <v>58</v>
      </c>
      <c r="O695" t="s">
        <v>107</v>
      </c>
      <c r="P695" t="s">
        <v>95</v>
      </c>
      <c r="Q695" t="s">
        <v>37</v>
      </c>
      <c r="R695" t="s">
        <v>38</v>
      </c>
    </row>
    <row r="696" spans="1:18" x14ac:dyDescent="0.3">
      <c r="A696" t="s">
        <v>358</v>
      </c>
      <c r="B696" s="13">
        <v>45416</v>
      </c>
      <c r="C696" t="s">
        <v>359</v>
      </c>
      <c r="D696" t="s">
        <v>360</v>
      </c>
      <c r="E696" t="s">
        <v>32</v>
      </c>
      <c r="F696" t="s">
        <v>89</v>
      </c>
      <c r="G696" t="s">
        <v>57</v>
      </c>
      <c r="H696">
        <v>1</v>
      </c>
      <c r="I696">
        <v>594.66999999999996</v>
      </c>
      <c r="J696">
        <v>0.15</v>
      </c>
      <c r="K696">
        <v>40.44</v>
      </c>
      <c r="L696">
        <v>7.22</v>
      </c>
      <c r="M696">
        <v>553.13</v>
      </c>
      <c r="N696" t="s">
        <v>24</v>
      </c>
      <c r="O696" t="s">
        <v>25</v>
      </c>
      <c r="P696" t="s">
        <v>36</v>
      </c>
      <c r="Q696" t="s">
        <v>37</v>
      </c>
      <c r="R696" t="s">
        <v>38</v>
      </c>
    </row>
    <row r="697" spans="1:18" x14ac:dyDescent="0.3">
      <c r="A697" t="s">
        <v>363</v>
      </c>
      <c r="B697" s="13">
        <v>44856</v>
      </c>
      <c r="C697" t="s">
        <v>364</v>
      </c>
      <c r="D697" t="s">
        <v>286</v>
      </c>
      <c r="E697" t="s">
        <v>365</v>
      </c>
      <c r="F697" t="s">
        <v>89</v>
      </c>
      <c r="G697" t="s">
        <v>57</v>
      </c>
      <c r="H697">
        <v>4</v>
      </c>
      <c r="I697">
        <v>15.47</v>
      </c>
      <c r="J697">
        <v>0.05</v>
      </c>
      <c r="K697">
        <v>10.58</v>
      </c>
      <c r="L697">
        <v>3.91</v>
      </c>
      <c r="M697">
        <v>73.28</v>
      </c>
      <c r="N697" t="s">
        <v>58</v>
      </c>
      <c r="O697" t="s">
        <v>107</v>
      </c>
      <c r="P697" t="s">
        <v>95</v>
      </c>
      <c r="Q697" t="s">
        <v>37</v>
      </c>
      <c r="R697" t="s">
        <v>38</v>
      </c>
    </row>
    <row r="698" spans="1:18" x14ac:dyDescent="0.3">
      <c r="A698" t="s">
        <v>366</v>
      </c>
      <c r="B698" s="13">
        <v>44852</v>
      </c>
      <c r="C698" t="s">
        <v>367</v>
      </c>
      <c r="D698" t="s">
        <v>368</v>
      </c>
      <c r="E698" t="s">
        <v>365</v>
      </c>
      <c r="F698" t="s">
        <v>89</v>
      </c>
      <c r="G698" t="s">
        <v>34</v>
      </c>
      <c r="H698">
        <v>4</v>
      </c>
      <c r="I698">
        <v>28.59</v>
      </c>
      <c r="J698">
        <v>0</v>
      </c>
      <c r="K698">
        <v>20.58</v>
      </c>
      <c r="L698">
        <v>13.02</v>
      </c>
      <c r="M698">
        <v>147.96</v>
      </c>
      <c r="N698" t="s">
        <v>58</v>
      </c>
      <c r="O698" t="s">
        <v>25</v>
      </c>
      <c r="P698" t="s">
        <v>68</v>
      </c>
      <c r="Q698" t="s">
        <v>69</v>
      </c>
      <c r="R698" t="s">
        <v>38</v>
      </c>
    </row>
    <row r="699" spans="1:18" x14ac:dyDescent="0.3">
      <c r="A699" t="s">
        <v>378</v>
      </c>
      <c r="B699" s="13">
        <v>45331</v>
      </c>
      <c r="C699" t="s">
        <v>379</v>
      </c>
      <c r="D699" t="s">
        <v>312</v>
      </c>
      <c r="E699" t="s">
        <v>190</v>
      </c>
      <c r="F699" t="s">
        <v>89</v>
      </c>
      <c r="G699" t="s">
        <v>66</v>
      </c>
      <c r="H699">
        <v>4</v>
      </c>
      <c r="I699">
        <v>555.99</v>
      </c>
      <c r="J699">
        <v>0.05</v>
      </c>
      <c r="K699">
        <v>253.53</v>
      </c>
      <c r="L699">
        <v>1.26</v>
      </c>
      <c r="M699">
        <v>2367.5500000000002</v>
      </c>
      <c r="N699" t="s">
        <v>123</v>
      </c>
      <c r="O699" t="s">
        <v>59</v>
      </c>
      <c r="P699" t="s">
        <v>165</v>
      </c>
      <c r="Q699" t="s">
        <v>37</v>
      </c>
      <c r="R699" t="s">
        <v>38</v>
      </c>
    </row>
    <row r="700" spans="1:18" x14ac:dyDescent="0.3">
      <c r="A700" t="s">
        <v>403</v>
      </c>
      <c r="B700" s="13">
        <v>44646</v>
      </c>
      <c r="C700" t="s">
        <v>404</v>
      </c>
      <c r="D700" t="s">
        <v>405</v>
      </c>
      <c r="E700" t="s">
        <v>111</v>
      </c>
      <c r="F700" t="s">
        <v>89</v>
      </c>
      <c r="G700" t="s">
        <v>66</v>
      </c>
      <c r="H700">
        <v>4</v>
      </c>
      <c r="I700">
        <v>369.47</v>
      </c>
      <c r="J700">
        <v>0.25</v>
      </c>
      <c r="K700">
        <v>199.51</v>
      </c>
      <c r="L700">
        <v>4.5599999999999996</v>
      </c>
      <c r="M700">
        <v>1312.48</v>
      </c>
      <c r="N700" t="s">
        <v>58</v>
      </c>
      <c r="O700" t="s">
        <v>25</v>
      </c>
      <c r="P700" t="s">
        <v>133</v>
      </c>
      <c r="Q700" t="s">
        <v>134</v>
      </c>
      <c r="R700" t="s">
        <v>38</v>
      </c>
    </row>
    <row r="701" spans="1:18" x14ac:dyDescent="0.3">
      <c r="A701" t="s">
        <v>419</v>
      </c>
      <c r="B701" s="13">
        <v>44847</v>
      </c>
      <c r="C701" t="s">
        <v>420</v>
      </c>
      <c r="D701" t="s">
        <v>421</v>
      </c>
      <c r="E701" t="s">
        <v>177</v>
      </c>
      <c r="F701" t="s">
        <v>89</v>
      </c>
      <c r="G701" t="s">
        <v>34</v>
      </c>
      <c r="H701">
        <v>3</v>
      </c>
      <c r="I701">
        <v>297.26</v>
      </c>
      <c r="J701">
        <v>0.05</v>
      </c>
      <c r="K701">
        <v>101.66</v>
      </c>
      <c r="L701">
        <v>5.24</v>
      </c>
      <c r="M701">
        <v>954.09</v>
      </c>
      <c r="N701" t="s">
        <v>58</v>
      </c>
      <c r="O701" t="s">
        <v>82</v>
      </c>
      <c r="P701" t="s">
        <v>124</v>
      </c>
      <c r="Q701" t="s">
        <v>125</v>
      </c>
      <c r="R701" t="s">
        <v>38</v>
      </c>
    </row>
    <row r="702" spans="1:18" x14ac:dyDescent="0.3">
      <c r="A702" t="s">
        <v>426</v>
      </c>
      <c r="B702" s="13">
        <v>44126</v>
      </c>
      <c r="C702" t="s">
        <v>427</v>
      </c>
      <c r="D702" t="s">
        <v>418</v>
      </c>
      <c r="E702" t="s">
        <v>283</v>
      </c>
      <c r="F702" t="s">
        <v>89</v>
      </c>
      <c r="G702" t="s">
        <v>100</v>
      </c>
      <c r="H702">
        <v>3</v>
      </c>
      <c r="I702">
        <v>127.42</v>
      </c>
      <c r="J702">
        <v>0.15</v>
      </c>
      <c r="K702">
        <v>16.25</v>
      </c>
      <c r="L702">
        <v>1.88</v>
      </c>
      <c r="M702">
        <v>343.05</v>
      </c>
      <c r="N702" t="s">
        <v>24</v>
      </c>
      <c r="O702" t="s">
        <v>25</v>
      </c>
      <c r="P702" t="s">
        <v>165</v>
      </c>
      <c r="Q702" t="s">
        <v>37</v>
      </c>
      <c r="R702" t="s">
        <v>38</v>
      </c>
    </row>
    <row r="703" spans="1:18" x14ac:dyDescent="0.3">
      <c r="A703" t="s">
        <v>428</v>
      </c>
      <c r="B703" s="13">
        <v>45579</v>
      </c>
      <c r="C703" t="s">
        <v>429</v>
      </c>
      <c r="D703" t="s">
        <v>249</v>
      </c>
      <c r="E703" t="s">
        <v>65</v>
      </c>
      <c r="F703" t="s">
        <v>89</v>
      </c>
      <c r="G703" t="s">
        <v>100</v>
      </c>
      <c r="H703">
        <v>5</v>
      </c>
      <c r="I703">
        <v>520.69000000000005</v>
      </c>
      <c r="J703">
        <v>0</v>
      </c>
      <c r="K703">
        <v>130.16999999999999</v>
      </c>
      <c r="L703">
        <v>9.98</v>
      </c>
      <c r="M703">
        <v>2743.6</v>
      </c>
      <c r="N703" t="s">
        <v>123</v>
      </c>
      <c r="O703" t="s">
        <v>25</v>
      </c>
      <c r="P703" t="s">
        <v>145</v>
      </c>
      <c r="Q703" t="s">
        <v>146</v>
      </c>
      <c r="R703" t="s">
        <v>28</v>
      </c>
    </row>
    <row r="704" spans="1:18" x14ac:dyDescent="0.3">
      <c r="A704" t="s">
        <v>434</v>
      </c>
      <c r="B704" s="13">
        <v>44168</v>
      </c>
      <c r="C704" t="s">
        <v>435</v>
      </c>
      <c r="D704" t="s">
        <v>436</v>
      </c>
      <c r="E704" t="s">
        <v>437</v>
      </c>
      <c r="F704" t="s">
        <v>89</v>
      </c>
      <c r="G704" t="s">
        <v>34</v>
      </c>
      <c r="H704">
        <v>4</v>
      </c>
      <c r="I704">
        <v>189.7</v>
      </c>
      <c r="J704">
        <v>0.25</v>
      </c>
      <c r="K704">
        <v>28.46</v>
      </c>
      <c r="L704">
        <v>13.2</v>
      </c>
      <c r="M704">
        <v>610.76</v>
      </c>
      <c r="N704" t="s">
        <v>35</v>
      </c>
      <c r="O704" t="s">
        <v>59</v>
      </c>
      <c r="P704" t="s">
        <v>44</v>
      </c>
      <c r="Q704" t="s">
        <v>37</v>
      </c>
      <c r="R704" t="s">
        <v>38</v>
      </c>
    </row>
    <row r="705" spans="1:18" x14ac:dyDescent="0.3">
      <c r="A705" t="s">
        <v>443</v>
      </c>
      <c r="B705" s="13">
        <v>44622</v>
      </c>
      <c r="C705" t="s">
        <v>444</v>
      </c>
      <c r="D705" t="s">
        <v>445</v>
      </c>
      <c r="E705" t="s">
        <v>164</v>
      </c>
      <c r="F705" t="s">
        <v>89</v>
      </c>
      <c r="G705" t="s">
        <v>57</v>
      </c>
      <c r="H705">
        <v>4</v>
      </c>
      <c r="I705">
        <v>468.57</v>
      </c>
      <c r="J705">
        <v>0.25</v>
      </c>
      <c r="K705">
        <v>70.290000000000006</v>
      </c>
      <c r="L705">
        <v>14.63</v>
      </c>
      <c r="M705">
        <v>1490.63</v>
      </c>
      <c r="N705" t="s">
        <v>24</v>
      </c>
      <c r="O705" t="s">
        <v>107</v>
      </c>
      <c r="P705" t="s">
        <v>68</v>
      </c>
      <c r="Q705" t="s">
        <v>69</v>
      </c>
      <c r="R705" t="s">
        <v>38</v>
      </c>
    </row>
    <row r="706" spans="1:18" x14ac:dyDescent="0.3">
      <c r="A706" t="s">
        <v>448</v>
      </c>
      <c r="B706" s="13">
        <v>44594</v>
      </c>
      <c r="C706" t="s">
        <v>449</v>
      </c>
      <c r="D706" t="s">
        <v>450</v>
      </c>
      <c r="E706" t="s">
        <v>197</v>
      </c>
      <c r="F706" t="s">
        <v>89</v>
      </c>
      <c r="G706" t="s">
        <v>57</v>
      </c>
      <c r="H706">
        <v>2</v>
      </c>
      <c r="I706">
        <v>590.96</v>
      </c>
      <c r="J706">
        <v>0.05</v>
      </c>
      <c r="K706">
        <v>134.74</v>
      </c>
      <c r="L706">
        <v>5.5</v>
      </c>
      <c r="M706">
        <v>1263.06</v>
      </c>
      <c r="N706" t="s">
        <v>58</v>
      </c>
      <c r="O706" t="s">
        <v>25</v>
      </c>
      <c r="P706" t="s">
        <v>83</v>
      </c>
      <c r="Q706" t="s">
        <v>84</v>
      </c>
      <c r="R706" t="s">
        <v>38</v>
      </c>
    </row>
    <row r="707" spans="1:18" x14ac:dyDescent="0.3">
      <c r="A707" t="s">
        <v>458</v>
      </c>
      <c r="B707" s="13">
        <v>44895</v>
      </c>
      <c r="C707" t="s">
        <v>459</v>
      </c>
      <c r="D707" t="s">
        <v>460</v>
      </c>
      <c r="E707" t="s">
        <v>169</v>
      </c>
      <c r="F707" t="s">
        <v>89</v>
      </c>
      <c r="G707" t="s">
        <v>49</v>
      </c>
      <c r="H707">
        <v>5</v>
      </c>
      <c r="I707">
        <v>246.13</v>
      </c>
      <c r="J707">
        <v>0.1</v>
      </c>
      <c r="K707">
        <v>0</v>
      </c>
      <c r="L707">
        <v>9.69</v>
      </c>
      <c r="M707">
        <v>1117.28</v>
      </c>
      <c r="N707" t="s">
        <v>35</v>
      </c>
      <c r="O707" t="s">
        <v>107</v>
      </c>
      <c r="P707" t="s">
        <v>44</v>
      </c>
      <c r="Q707" t="s">
        <v>37</v>
      </c>
      <c r="R707" t="s">
        <v>61</v>
      </c>
    </row>
    <row r="708" spans="1:18" x14ac:dyDescent="0.3">
      <c r="A708" t="s">
        <v>465</v>
      </c>
      <c r="B708" s="13">
        <v>43895</v>
      </c>
      <c r="C708" t="s">
        <v>466</v>
      </c>
      <c r="D708" t="s">
        <v>20</v>
      </c>
      <c r="E708" t="s">
        <v>164</v>
      </c>
      <c r="F708" t="s">
        <v>89</v>
      </c>
      <c r="G708" t="s">
        <v>100</v>
      </c>
      <c r="H708">
        <v>5</v>
      </c>
      <c r="I708">
        <v>200.05</v>
      </c>
      <c r="J708">
        <v>0.05</v>
      </c>
      <c r="K708">
        <v>114.03</v>
      </c>
      <c r="L708">
        <v>2.34</v>
      </c>
      <c r="M708">
        <v>1066.6099999999999</v>
      </c>
      <c r="N708" t="s">
        <v>58</v>
      </c>
      <c r="O708" t="s">
        <v>25</v>
      </c>
      <c r="P708" t="s">
        <v>95</v>
      </c>
      <c r="Q708" t="s">
        <v>37</v>
      </c>
      <c r="R708" t="s">
        <v>183</v>
      </c>
    </row>
    <row r="709" spans="1:18" x14ac:dyDescent="0.3">
      <c r="A709" t="s">
        <v>470</v>
      </c>
      <c r="B709" s="13">
        <v>45198</v>
      </c>
      <c r="C709" t="s">
        <v>471</v>
      </c>
      <c r="D709" t="s">
        <v>472</v>
      </c>
      <c r="E709" t="s">
        <v>291</v>
      </c>
      <c r="F709" t="s">
        <v>89</v>
      </c>
      <c r="G709" t="s">
        <v>203</v>
      </c>
      <c r="H709">
        <v>3</v>
      </c>
      <c r="I709">
        <v>460.51</v>
      </c>
      <c r="J709">
        <v>0.05</v>
      </c>
      <c r="K709">
        <v>157.49</v>
      </c>
      <c r="L709">
        <v>3.17</v>
      </c>
      <c r="M709">
        <v>1473.11</v>
      </c>
      <c r="N709" t="s">
        <v>58</v>
      </c>
      <c r="O709" t="s">
        <v>25</v>
      </c>
      <c r="P709" t="s">
        <v>51</v>
      </c>
      <c r="Q709" t="s">
        <v>52</v>
      </c>
      <c r="R709" t="s">
        <v>38</v>
      </c>
    </row>
    <row r="710" spans="1:18" x14ac:dyDescent="0.3">
      <c r="A710" t="s">
        <v>540</v>
      </c>
      <c r="B710" s="13">
        <v>44333</v>
      </c>
      <c r="C710" t="s">
        <v>541</v>
      </c>
      <c r="D710" t="s">
        <v>528</v>
      </c>
      <c r="E710" t="s">
        <v>56</v>
      </c>
      <c r="F710" t="s">
        <v>89</v>
      </c>
      <c r="G710" t="s">
        <v>49</v>
      </c>
      <c r="H710">
        <v>4</v>
      </c>
      <c r="I710">
        <v>251.6</v>
      </c>
      <c r="J710">
        <v>0.1</v>
      </c>
      <c r="K710">
        <v>108.69</v>
      </c>
      <c r="L710">
        <v>13.75</v>
      </c>
      <c r="M710">
        <v>1028.2</v>
      </c>
      <c r="N710" t="s">
        <v>123</v>
      </c>
      <c r="O710" t="s">
        <v>25</v>
      </c>
      <c r="P710" t="s">
        <v>112</v>
      </c>
      <c r="Q710" t="s">
        <v>113</v>
      </c>
      <c r="R710" t="s">
        <v>183</v>
      </c>
    </row>
    <row r="711" spans="1:18" x14ac:dyDescent="0.3">
      <c r="A711" t="s">
        <v>551</v>
      </c>
      <c r="B711" s="13">
        <v>43929</v>
      </c>
      <c r="C711" t="s">
        <v>552</v>
      </c>
      <c r="D711" t="s">
        <v>415</v>
      </c>
      <c r="E711" t="s">
        <v>202</v>
      </c>
      <c r="F711" t="s">
        <v>89</v>
      </c>
      <c r="G711" t="s">
        <v>268</v>
      </c>
      <c r="H711">
        <v>5</v>
      </c>
      <c r="I711">
        <v>104.18</v>
      </c>
      <c r="J711">
        <v>0.1</v>
      </c>
      <c r="K711">
        <v>0</v>
      </c>
      <c r="L711">
        <v>8.69</v>
      </c>
      <c r="M711">
        <v>477.5</v>
      </c>
      <c r="N711" t="s">
        <v>58</v>
      </c>
      <c r="O711" t="s">
        <v>107</v>
      </c>
      <c r="P711" t="s">
        <v>145</v>
      </c>
      <c r="Q711" t="s">
        <v>146</v>
      </c>
      <c r="R711" t="s">
        <v>183</v>
      </c>
    </row>
    <row r="712" spans="1:18" x14ac:dyDescent="0.3">
      <c r="A712" t="s">
        <v>559</v>
      </c>
      <c r="B712" s="13">
        <v>45401</v>
      </c>
      <c r="C712" t="s">
        <v>560</v>
      </c>
      <c r="D712" t="s">
        <v>137</v>
      </c>
      <c r="E712" t="s">
        <v>169</v>
      </c>
      <c r="F712" t="s">
        <v>89</v>
      </c>
      <c r="G712" t="s">
        <v>203</v>
      </c>
      <c r="H712">
        <v>1</v>
      </c>
      <c r="I712">
        <v>247.54</v>
      </c>
      <c r="J712">
        <v>0.05</v>
      </c>
      <c r="K712">
        <v>28.22</v>
      </c>
      <c r="L712">
        <v>2.0699999999999998</v>
      </c>
      <c r="M712">
        <v>265.45</v>
      </c>
      <c r="N712" t="s">
        <v>35</v>
      </c>
      <c r="O712" t="s">
        <v>25</v>
      </c>
      <c r="P712" t="s">
        <v>74</v>
      </c>
      <c r="Q712" t="s">
        <v>75</v>
      </c>
      <c r="R712" t="s">
        <v>38</v>
      </c>
    </row>
    <row r="713" spans="1:18" x14ac:dyDescent="0.3">
      <c r="A713" t="s">
        <v>590</v>
      </c>
      <c r="B713" s="13">
        <v>44701</v>
      </c>
      <c r="C713" t="s">
        <v>591</v>
      </c>
      <c r="D713" t="s">
        <v>93</v>
      </c>
      <c r="E713" t="s">
        <v>437</v>
      </c>
      <c r="F713" t="s">
        <v>89</v>
      </c>
      <c r="G713" t="s">
        <v>34</v>
      </c>
      <c r="H713">
        <v>3</v>
      </c>
      <c r="I713">
        <v>497.52</v>
      </c>
      <c r="J713">
        <v>0.15</v>
      </c>
      <c r="K713">
        <v>228.36</v>
      </c>
      <c r="L713">
        <v>0.91</v>
      </c>
      <c r="M713">
        <v>1497.95</v>
      </c>
      <c r="N713" t="s">
        <v>58</v>
      </c>
      <c r="O713" t="s">
        <v>25</v>
      </c>
      <c r="P713" t="s">
        <v>44</v>
      </c>
      <c r="Q713" t="s">
        <v>37</v>
      </c>
      <c r="R713" t="s">
        <v>38</v>
      </c>
    </row>
    <row r="714" spans="1:18" x14ac:dyDescent="0.3">
      <c r="A714" t="s">
        <v>609</v>
      </c>
      <c r="B714" s="13">
        <v>45545</v>
      </c>
      <c r="C714" t="s">
        <v>610</v>
      </c>
      <c r="D714" t="s">
        <v>303</v>
      </c>
      <c r="E714" t="s">
        <v>94</v>
      </c>
      <c r="F714" t="s">
        <v>89</v>
      </c>
      <c r="G714" t="s">
        <v>203</v>
      </c>
      <c r="H714">
        <v>1</v>
      </c>
      <c r="I714">
        <v>418.7</v>
      </c>
      <c r="J714">
        <v>0.3</v>
      </c>
      <c r="K714">
        <v>23.45</v>
      </c>
      <c r="L714">
        <v>4.4800000000000004</v>
      </c>
      <c r="M714">
        <v>321.02</v>
      </c>
      <c r="N714" t="s">
        <v>67</v>
      </c>
      <c r="O714" t="s">
        <v>25</v>
      </c>
      <c r="P714" t="s">
        <v>101</v>
      </c>
      <c r="Q714" t="s">
        <v>102</v>
      </c>
      <c r="R714" t="s">
        <v>38</v>
      </c>
    </row>
    <row r="715" spans="1:18" x14ac:dyDescent="0.3">
      <c r="A715" t="s">
        <v>626</v>
      </c>
      <c r="B715" s="13">
        <v>43926</v>
      </c>
      <c r="C715" t="s">
        <v>627</v>
      </c>
      <c r="D715" t="s">
        <v>159</v>
      </c>
      <c r="E715" t="s">
        <v>271</v>
      </c>
      <c r="F715" t="s">
        <v>89</v>
      </c>
      <c r="G715" t="s">
        <v>49</v>
      </c>
      <c r="H715">
        <v>2</v>
      </c>
      <c r="I715">
        <v>190.82</v>
      </c>
      <c r="J715">
        <v>0.2</v>
      </c>
      <c r="K715">
        <v>15.27</v>
      </c>
      <c r="L715">
        <v>7.58</v>
      </c>
      <c r="M715">
        <v>328.16</v>
      </c>
      <c r="N715" t="s">
        <v>24</v>
      </c>
      <c r="O715" t="s">
        <v>25</v>
      </c>
      <c r="P715" t="s">
        <v>150</v>
      </c>
      <c r="Q715" t="s">
        <v>69</v>
      </c>
      <c r="R715" t="s">
        <v>61</v>
      </c>
    </row>
    <row r="716" spans="1:18" x14ac:dyDescent="0.3">
      <c r="A716" t="s">
        <v>632</v>
      </c>
      <c r="B716" s="13">
        <v>45261</v>
      </c>
      <c r="C716" t="s">
        <v>633</v>
      </c>
      <c r="D716" t="s">
        <v>634</v>
      </c>
      <c r="E716" t="s">
        <v>99</v>
      </c>
      <c r="F716" t="s">
        <v>89</v>
      </c>
      <c r="G716" t="s">
        <v>49</v>
      </c>
      <c r="H716">
        <v>3</v>
      </c>
      <c r="I716">
        <v>416.84</v>
      </c>
      <c r="J716">
        <v>0.15</v>
      </c>
      <c r="K716">
        <v>85.04</v>
      </c>
      <c r="L716">
        <v>14.4</v>
      </c>
      <c r="M716">
        <v>1162.3800000000001</v>
      </c>
      <c r="N716" t="s">
        <v>24</v>
      </c>
      <c r="O716" t="s">
        <v>25</v>
      </c>
      <c r="P716" t="s">
        <v>145</v>
      </c>
      <c r="Q716" t="s">
        <v>146</v>
      </c>
      <c r="R716" t="s">
        <v>38</v>
      </c>
    </row>
    <row r="717" spans="1:18" x14ac:dyDescent="0.3">
      <c r="A717" t="s">
        <v>635</v>
      </c>
      <c r="B717" s="13">
        <v>44061</v>
      </c>
      <c r="C717" t="s">
        <v>636</v>
      </c>
      <c r="D717" t="s">
        <v>469</v>
      </c>
      <c r="E717" t="s">
        <v>73</v>
      </c>
      <c r="F717" t="s">
        <v>89</v>
      </c>
      <c r="G717" t="s">
        <v>57</v>
      </c>
      <c r="H717">
        <v>5</v>
      </c>
      <c r="I717">
        <v>319.27999999999997</v>
      </c>
      <c r="J717">
        <v>0.05</v>
      </c>
      <c r="K717">
        <v>75.83</v>
      </c>
      <c r="L717">
        <v>12.39</v>
      </c>
      <c r="M717">
        <v>1604.8</v>
      </c>
      <c r="N717" t="s">
        <v>35</v>
      </c>
      <c r="O717" t="s">
        <v>25</v>
      </c>
      <c r="P717" t="s">
        <v>150</v>
      </c>
      <c r="Q717" t="s">
        <v>69</v>
      </c>
      <c r="R717" t="s">
        <v>38</v>
      </c>
    </row>
    <row r="718" spans="1:18" x14ac:dyDescent="0.3">
      <c r="A718" t="s">
        <v>643</v>
      </c>
      <c r="B718" s="13">
        <v>44371</v>
      </c>
      <c r="C718" t="s">
        <v>644</v>
      </c>
      <c r="D718" t="s">
        <v>645</v>
      </c>
      <c r="E718" t="s">
        <v>243</v>
      </c>
      <c r="F718" t="s">
        <v>89</v>
      </c>
      <c r="G718" t="s">
        <v>49</v>
      </c>
      <c r="H718">
        <v>4</v>
      </c>
      <c r="I718">
        <v>359.89</v>
      </c>
      <c r="J718">
        <v>0.05</v>
      </c>
      <c r="K718">
        <v>68.38</v>
      </c>
      <c r="L718">
        <v>13.15</v>
      </c>
      <c r="M718">
        <v>1449.11</v>
      </c>
      <c r="N718" t="s">
        <v>58</v>
      </c>
      <c r="O718" t="s">
        <v>25</v>
      </c>
      <c r="P718" t="s">
        <v>26</v>
      </c>
      <c r="Q718" t="s">
        <v>27</v>
      </c>
      <c r="R718" t="s">
        <v>38</v>
      </c>
    </row>
    <row r="719" spans="1:18" x14ac:dyDescent="0.3">
      <c r="A719" t="s">
        <v>667</v>
      </c>
      <c r="B719" s="13">
        <v>44387</v>
      </c>
      <c r="C719" t="s">
        <v>668</v>
      </c>
      <c r="D719" t="s">
        <v>105</v>
      </c>
      <c r="E719" t="s">
        <v>177</v>
      </c>
      <c r="F719" t="s">
        <v>89</v>
      </c>
      <c r="G719" t="s">
        <v>198</v>
      </c>
      <c r="H719">
        <v>2</v>
      </c>
      <c r="I719">
        <v>303.77</v>
      </c>
      <c r="J719">
        <v>0.25</v>
      </c>
      <c r="K719">
        <v>22.78</v>
      </c>
      <c r="L719">
        <v>11.47</v>
      </c>
      <c r="M719">
        <v>489.9</v>
      </c>
      <c r="N719" t="s">
        <v>67</v>
      </c>
      <c r="O719" t="s">
        <v>25</v>
      </c>
      <c r="P719" t="s">
        <v>173</v>
      </c>
      <c r="Q719" t="s">
        <v>174</v>
      </c>
      <c r="R719" t="s">
        <v>76</v>
      </c>
    </row>
    <row r="720" spans="1:18" x14ac:dyDescent="0.3">
      <c r="A720" t="s">
        <v>684</v>
      </c>
      <c r="B720" s="13">
        <v>45194</v>
      </c>
      <c r="C720" t="s">
        <v>685</v>
      </c>
      <c r="D720" t="s">
        <v>480</v>
      </c>
      <c r="E720" t="s">
        <v>271</v>
      </c>
      <c r="F720" t="s">
        <v>89</v>
      </c>
      <c r="G720" t="s">
        <v>23</v>
      </c>
      <c r="H720">
        <v>2</v>
      </c>
      <c r="I720">
        <v>116.03</v>
      </c>
      <c r="J720">
        <v>0.2</v>
      </c>
      <c r="K720">
        <v>14.85</v>
      </c>
      <c r="L720">
        <v>5.54</v>
      </c>
      <c r="M720">
        <v>206.04</v>
      </c>
      <c r="N720" t="s">
        <v>50</v>
      </c>
      <c r="O720" t="s">
        <v>25</v>
      </c>
      <c r="P720" t="s">
        <v>173</v>
      </c>
      <c r="Q720" t="s">
        <v>174</v>
      </c>
      <c r="R720" t="s">
        <v>28</v>
      </c>
    </row>
    <row r="721" spans="1:18" x14ac:dyDescent="0.3">
      <c r="A721" t="s">
        <v>707</v>
      </c>
      <c r="B721" s="13">
        <v>45079</v>
      </c>
      <c r="C721" t="s">
        <v>708</v>
      </c>
      <c r="D721" t="s">
        <v>534</v>
      </c>
      <c r="E721" t="s">
        <v>365</v>
      </c>
      <c r="F721" t="s">
        <v>89</v>
      </c>
      <c r="G721" t="s">
        <v>203</v>
      </c>
      <c r="H721">
        <v>4</v>
      </c>
      <c r="I721">
        <v>389.67</v>
      </c>
      <c r="J721">
        <v>0.05</v>
      </c>
      <c r="K721">
        <v>118.46</v>
      </c>
      <c r="L721">
        <v>3.29</v>
      </c>
      <c r="M721">
        <v>1602.5</v>
      </c>
      <c r="N721" t="s">
        <v>58</v>
      </c>
      <c r="O721" t="s">
        <v>25</v>
      </c>
      <c r="P721" t="s">
        <v>150</v>
      </c>
      <c r="Q721" t="s">
        <v>69</v>
      </c>
      <c r="R721" t="s">
        <v>38</v>
      </c>
    </row>
    <row r="722" spans="1:18" x14ac:dyDescent="0.3">
      <c r="A722" t="s">
        <v>792</v>
      </c>
      <c r="B722" s="13">
        <v>44782</v>
      </c>
      <c r="C722" t="s">
        <v>793</v>
      </c>
      <c r="D722" t="s">
        <v>528</v>
      </c>
      <c r="E722" t="s">
        <v>99</v>
      </c>
      <c r="F722" t="s">
        <v>89</v>
      </c>
      <c r="G722" t="s">
        <v>34</v>
      </c>
      <c r="H722">
        <v>2</v>
      </c>
      <c r="I722">
        <v>177.35</v>
      </c>
      <c r="J722">
        <v>0.05</v>
      </c>
      <c r="K722">
        <v>26.96</v>
      </c>
      <c r="L722">
        <v>14.57</v>
      </c>
      <c r="M722">
        <v>378.49</v>
      </c>
      <c r="N722" t="s">
        <v>24</v>
      </c>
      <c r="O722" t="s">
        <v>25</v>
      </c>
      <c r="P722" t="s">
        <v>178</v>
      </c>
      <c r="Q722" t="s">
        <v>69</v>
      </c>
      <c r="R722" t="s">
        <v>38</v>
      </c>
    </row>
    <row r="723" spans="1:18" x14ac:dyDescent="0.3">
      <c r="A723" t="s">
        <v>794</v>
      </c>
      <c r="B723" s="13">
        <v>44935</v>
      </c>
      <c r="C723" t="s">
        <v>795</v>
      </c>
      <c r="D723" t="s">
        <v>796</v>
      </c>
      <c r="E723" t="s">
        <v>691</v>
      </c>
      <c r="F723" t="s">
        <v>89</v>
      </c>
      <c r="G723" t="s">
        <v>90</v>
      </c>
      <c r="H723">
        <v>5</v>
      </c>
      <c r="I723">
        <v>276.27</v>
      </c>
      <c r="J723">
        <v>0</v>
      </c>
      <c r="K723">
        <v>110.51</v>
      </c>
      <c r="L723">
        <v>9.92</v>
      </c>
      <c r="M723">
        <v>1501.78</v>
      </c>
      <c r="N723" t="s">
        <v>123</v>
      </c>
      <c r="O723" t="s">
        <v>25</v>
      </c>
      <c r="P723" t="s">
        <v>145</v>
      </c>
      <c r="Q723" t="s">
        <v>146</v>
      </c>
      <c r="R723" t="s">
        <v>38</v>
      </c>
    </row>
    <row r="724" spans="1:18" x14ac:dyDescent="0.3">
      <c r="A724" t="s">
        <v>817</v>
      </c>
      <c r="B724" s="13">
        <v>45079</v>
      </c>
      <c r="C724" t="s">
        <v>818</v>
      </c>
      <c r="D724" t="s">
        <v>193</v>
      </c>
      <c r="E724" t="s">
        <v>138</v>
      </c>
      <c r="F724" t="s">
        <v>89</v>
      </c>
      <c r="G724" t="s">
        <v>90</v>
      </c>
      <c r="H724">
        <v>1</v>
      </c>
      <c r="I724">
        <v>94.16</v>
      </c>
      <c r="J724">
        <v>0.05</v>
      </c>
      <c r="K724">
        <v>7.16</v>
      </c>
      <c r="L724">
        <v>0.9</v>
      </c>
      <c r="M724">
        <v>97.51</v>
      </c>
      <c r="N724" t="s">
        <v>58</v>
      </c>
      <c r="O724" t="s">
        <v>25</v>
      </c>
      <c r="P724" t="s">
        <v>101</v>
      </c>
      <c r="Q724" t="s">
        <v>102</v>
      </c>
      <c r="R724" t="s">
        <v>38</v>
      </c>
    </row>
    <row r="725" spans="1:18" x14ac:dyDescent="0.3">
      <c r="A725" t="s">
        <v>821</v>
      </c>
      <c r="B725" s="13">
        <v>45257</v>
      </c>
      <c r="C725" t="s">
        <v>822</v>
      </c>
      <c r="D725" t="s">
        <v>159</v>
      </c>
      <c r="E725" t="s">
        <v>216</v>
      </c>
      <c r="F725" t="s">
        <v>89</v>
      </c>
      <c r="G725" t="s">
        <v>34</v>
      </c>
      <c r="H725">
        <v>1</v>
      </c>
      <c r="I725">
        <v>85.61</v>
      </c>
      <c r="J725">
        <v>0</v>
      </c>
      <c r="K725">
        <v>6.85</v>
      </c>
      <c r="L725">
        <v>10.64</v>
      </c>
      <c r="M725">
        <v>103.1</v>
      </c>
      <c r="N725" t="s">
        <v>67</v>
      </c>
      <c r="O725" t="s">
        <v>25</v>
      </c>
      <c r="P725" t="s">
        <v>117</v>
      </c>
      <c r="Q725" t="s">
        <v>118</v>
      </c>
      <c r="R725" t="s">
        <v>38</v>
      </c>
    </row>
    <row r="726" spans="1:18" x14ac:dyDescent="0.3">
      <c r="A726" t="s">
        <v>837</v>
      </c>
      <c r="B726" s="13">
        <v>45564</v>
      </c>
      <c r="C726" t="s">
        <v>838</v>
      </c>
      <c r="D726" t="s">
        <v>839</v>
      </c>
      <c r="E726" t="s">
        <v>294</v>
      </c>
      <c r="F726" t="s">
        <v>89</v>
      </c>
      <c r="G726" t="s">
        <v>100</v>
      </c>
      <c r="H726">
        <v>3</v>
      </c>
      <c r="I726">
        <v>171.64</v>
      </c>
      <c r="J726">
        <v>0</v>
      </c>
      <c r="K726">
        <v>41.19</v>
      </c>
      <c r="L726">
        <v>1.74</v>
      </c>
      <c r="M726">
        <v>557.85</v>
      </c>
      <c r="N726" t="s">
        <v>24</v>
      </c>
      <c r="O726" t="s">
        <v>25</v>
      </c>
      <c r="P726" t="s">
        <v>133</v>
      </c>
      <c r="Q726" t="s">
        <v>134</v>
      </c>
      <c r="R726" t="s">
        <v>38</v>
      </c>
    </row>
    <row r="727" spans="1:18" x14ac:dyDescent="0.3">
      <c r="A727" t="s">
        <v>846</v>
      </c>
      <c r="B727" s="13">
        <v>45293</v>
      </c>
      <c r="C727" t="s">
        <v>847</v>
      </c>
      <c r="D727" t="s">
        <v>690</v>
      </c>
      <c r="E727" t="s">
        <v>220</v>
      </c>
      <c r="F727" t="s">
        <v>89</v>
      </c>
      <c r="G727" t="s">
        <v>57</v>
      </c>
      <c r="H727">
        <v>3</v>
      </c>
      <c r="I727">
        <v>349.83</v>
      </c>
      <c r="J727">
        <v>0</v>
      </c>
      <c r="K727">
        <v>52.47</v>
      </c>
      <c r="L727">
        <v>9.06</v>
      </c>
      <c r="M727">
        <v>1111.02</v>
      </c>
      <c r="N727" t="s">
        <v>35</v>
      </c>
      <c r="O727" t="s">
        <v>25</v>
      </c>
      <c r="P727" t="s">
        <v>124</v>
      </c>
      <c r="Q727" t="s">
        <v>125</v>
      </c>
      <c r="R727" t="s">
        <v>28</v>
      </c>
    </row>
    <row r="728" spans="1:18" x14ac:dyDescent="0.3">
      <c r="A728" t="s">
        <v>848</v>
      </c>
      <c r="B728" s="13">
        <v>44033</v>
      </c>
      <c r="C728" t="s">
        <v>849</v>
      </c>
      <c r="D728" t="s">
        <v>415</v>
      </c>
      <c r="E728" t="s">
        <v>340</v>
      </c>
      <c r="F728" t="s">
        <v>89</v>
      </c>
      <c r="G728" t="s">
        <v>100</v>
      </c>
      <c r="H728">
        <v>1</v>
      </c>
      <c r="I728">
        <v>25.8</v>
      </c>
      <c r="J728">
        <v>0.15</v>
      </c>
      <c r="K728">
        <v>1.75</v>
      </c>
      <c r="L728">
        <v>2.16</v>
      </c>
      <c r="M728">
        <v>25.84</v>
      </c>
      <c r="N728" t="s">
        <v>67</v>
      </c>
      <c r="O728" t="s">
        <v>107</v>
      </c>
      <c r="P728" t="s">
        <v>74</v>
      </c>
      <c r="Q728" t="s">
        <v>75</v>
      </c>
      <c r="R728" t="s">
        <v>183</v>
      </c>
    </row>
    <row r="729" spans="1:18" x14ac:dyDescent="0.3">
      <c r="A729" t="s">
        <v>864</v>
      </c>
      <c r="B729" s="13">
        <v>44714</v>
      </c>
      <c r="C729" t="s">
        <v>865</v>
      </c>
      <c r="D729" t="s">
        <v>711</v>
      </c>
      <c r="E729" t="s">
        <v>437</v>
      </c>
      <c r="F729" t="s">
        <v>89</v>
      </c>
      <c r="G729" t="s">
        <v>49</v>
      </c>
      <c r="H729">
        <v>2</v>
      </c>
      <c r="I729">
        <v>57.26</v>
      </c>
      <c r="J729">
        <v>0.2</v>
      </c>
      <c r="K729">
        <v>10.99</v>
      </c>
      <c r="L729">
        <v>1.1100000000000001</v>
      </c>
      <c r="M729">
        <v>103.72</v>
      </c>
      <c r="N729" t="s">
        <v>58</v>
      </c>
      <c r="O729" t="s">
        <v>25</v>
      </c>
      <c r="P729" t="s">
        <v>26</v>
      </c>
      <c r="Q729" t="s">
        <v>27</v>
      </c>
      <c r="R729" t="s">
        <v>38</v>
      </c>
    </row>
    <row r="730" spans="1:18" x14ac:dyDescent="0.3">
      <c r="A730" t="s">
        <v>889</v>
      </c>
      <c r="B730" s="13">
        <v>45180</v>
      </c>
      <c r="C730" t="s">
        <v>890</v>
      </c>
      <c r="D730" t="s">
        <v>791</v>
      </c>
      <c r="E730" t="s">
        <v>48</v>
      </c>
      <c r="F730" t="s">
        <v>89</v>
      </c>
      <c r="G730" t="s">
        <v>90</v>
      </c>
      <c r="H730">
        <v>2</v>
      </c>
      <c r="I730">
        <v>41.57</v>
      </c>
      <c r="J730">
        <v>0.25</v>
      </c>
      <c r="K730">
        <v>7.48</v>
      </c>
      <c r="L730">
        <v>12.91</v>
      </c>
      <c r="M730">
        <v>82.74</v>
      </c>
      <c r="N730" t="s">
        <v>35</v>
      </c>
      <c r="O730" t="s">
        <v>25</v>
      </c>
      <c r="P730" t="s">
        <v>112</v>
      </c>
      <c r="Q730" t="s">
        <v>113</v>
      </c>
      <c r="R730" t="s">
        <v>38</v>
      </c>
    </row>
    <row r="731" spans="1:18" x14ac:dyDescent="0.3">
      <c r="A731" t="s">
        <v>922</v>
      </c>
      <c r="B731" s="13">
        <v>44319</v>
      </c>
      <c r="C731" t="s">
        <v>923</v>
      </c>
      <c r="D731" t="s">
        <v>246</v>
      </c>
      <c r="E731" t="s">
        <v>122</v>
      </c>
      <c r="F731" t="s">
        <v>89</v>
      </c>
      <c r="G731" t="s">
        <v>268</v>
      </c>
      <c r="H731">
        <v>1</v>
      </c>
      <c r="I731">
        <v>528.48</v>
      </c>
      <c r="J731">
        <v>0</v>
      </c>
      <c r="K731">
        <v>0</v>
      </c>
      <c r="L731">
        <v>8.7899999999999991</v>
      </c>
      <c r="M731">
        <v>537.27</v>
      </c>
      <c r="N731" t="s">
        <v>58</v>
      </c>
      <c r="O731" t="s">
        <v>25</v>
      </c>
      <c r="P731" t="s">
        <v>124</v>
      </c>
      <c r="Q731" t="s">
        <v>125</v>
      </c>
      <c r="R731" t="s">
        <v>38</v>
      </c>
    </row>
    <row r="732" spans="1:18" x14ac:dyDescent="0.3">
      <c r="A732" t="s">
        <v>943</v>
      </c>
      <c r="B732" s="13">
        <v>45269</v>
      </c>
      <c r="C732" t="s">
        <v>944</v>
      </c>
      <c r="D732" t="s">
        <v>504</v>
      </c>
      <c r="E732" t="s">
        <v>182</v>
      </c>
      <c r="F732" t="s">
        <v>89</v>
      </c>
      <c r="G732" t="s">
        <v>268</v>
      </c>
      <c r="H732">
        <v>3</v>
      </c>
      <c r="I732">
        <v>120.94</v>
      </c>
      <c r="J732">
        <v>0.2</v>
      </c>
      <c r="K732">
        <v>14.51</v>
      </c>
      <c r="L732">
        <v>5.34</v>
      </c>
      <c r="M732">
        <v>310.11</v>
      </c>
      <c r="N732" t="s">
        <v>35</v>
      </c>
      <c r="O732" t="s">
        <v>25</v>
      </c>
      <c r="P732" t="s">
        <v>257</v>
      </c>
      <c r="Q732" t="s">
        <v>69</v>
      </c>
      <c r="R732" t="s">
        <v>38</v>
      </c>
    </row>
    <row r="733" spans="1:18" x14ac:dyDescent="0.3">
      <c r="A733" t="s">
        <v>947</v>
      </c>
      <c r="B733" s="13">
        <v>45465</v>
      </c>
      <c r="C733" t="s">
        <v>948</v>
      </c>
      <c r="D733" t="s">
        <v>41</v>
      </c>
      <c r="E733" t="s">
        <v>392</v>
      </c>
      <c r="F733" t="s">
        <v>89</v>
      </c>
      <c r="G733" t="s">
        <v>90</v>
      </c>
      <c r="H733">
        <v>5</v>
      </c>
      <c r="I733">
        <v>246.53</v>
      </c>
      <c r="J733">
        <v>0</v>
      </c>
      <c r="K733">
        <v>61.63</v>
      </c>
      <c r="L733">
        <v>14.46</v>
      </c>
      <c r="M733">
        <v>1308.74</v>
      </c>
      <c r="N733" t="s">
        <v>67</v>
      </c>
      <c r="O733" t="s">
        <v>25</v>
      </c>
      <c r="P733" t="s">
        <v>60</v>
      </c>
      <c r="Q733" t="s">
        <v>37</v>
      </c>
      <c r="R733" t="s">
        <v>38</v>
      </c>
    </row>
    <row r="734" spans="1:18" x14ac:dyDescent="0.3">
      <c r="A734" t="s">
        <v>958</v>
      </c>
      <c r="B734" s="13">
        <v>44454</v>
      </c>
      <c r="C734" t="s">
        <v>959</v>
      </c>
      <c r="D734" t="s">
        <v>566</v>
      </c>
      <c r="E734" t="s">
        <v>287</v>
      </c>
      <c r="F734" t="s">
        <v>89</v>
      </c>
      <c r="G734" t="s">
        <v>100</v>
      </c>
      <c r="H734">
        <v>1</v>
      </c>
      <c r="I734">
        <v>352.82</v>
      </c>
      <c r="J734">
        <v>0</v>
      </c>
      <c r="K734">
        <v>28.23</v>
      </c>
      <c r="L734">
        <v>6.11</v>
      </c>
      <c r="M734">
        <v>387.16</v>
      </c>
      <c r="N734" t="s">
        <v>35</v>
      </c>
      <c r="O734" t="s">
        <v>25</v>
      </c>
      <c r="P734" t="s">
        <v>133</v>
      </c>
      <c r="Q734" t="s">
        <v>134</v>
      </c>
      <c r="R734" t="s">
        <v>38</v>
      </c>
    </row>
    <row r="735" spans="1:18" x14ac:dyDescent="0.3">
      <c r="A735" t="s">
        <v>988</v>
      </c>
      <c r="B735" s="13">
        <v>45087</v>
      </c>
      <c r="C735" t="s">
        <v>989</v>
      </c>
      <c r="D735" t="s">
        <v>230</v>
      </c>
      <c r="E735" t="s">
        <v>294</v>
      </c>
      <c r="F735" t="s">
        <v>89</v>
      </c>
      <c r="G735" t="s">
        <v>90</v>
      </c>
      <c r="H735">
        <v>1</v>
      </c>
      <c r="I735">
        <v>369.08</v>
      </c>
      <c r="J735">
        <v>0</v>
      </c>
      <c r="K735">
        <v>18.45</v>
      </c>
      <c r="L735">
        <v>1.59</v>
      </c>
      <c r="M735">
        <v>389.12</v>
      </c>
      <c r="N735" t="s">
        <v>67</v>
      </c>
      <c r="O735" t="s">
        <v>25</v>
      </c>
      <c r="P735" t="s">
        <v>257</v>
      </c>
      <c r="Q735" t="s">
        <v>69</v>
      </c>
      <c r="R735" t="s">
        <v>38</v>
      </c>
    </row>
    <row r="736" spans="1:18" x14ac:dyDescent="0.3">
      <c r="A736" t="s">
        <v>996</v>
      </c>
      <c r="B736" s="13">
        <v>44038</v>
      </c>
      <c r="C736" t="s">
        <v>997</v>
      </c>
      <c r="D736" t="s">
        <v>998</v>
      </c>
      <c r="E736" t="s">
        <v>243</v>
      </c>
      <c r="F736" t="s">
        <v>89</v>
      </c>
      <c r="G736" t="s">
        <v>90</v>
      </c>
      <c r="H736">
        <v>5</v>
      </c>
      <c r="I736">
        <v>548.98</v>
      </c>
      <c r="J736">
        <v>0</v>
      </c>
      <c r="K736">
        <v>219.59</v>
      </c>
      <c r="L736">
        <v>11.56</v>
      </c>
      <c r="M736">
        <v>2976.05</v>
      </c>
      <c r="N736" t="s">
        <v>35</v>
      </c>
      <c r="O736" t="s">
        <v>25</v>
      </c>
      <c r="P736" t="s">
        <v>36</v>
      </c>
      <c r="Q736" t="s">
        <v>37</v>
      </c>
      <c r="R736" t="s">
        <v>38</v>
      </c>
    </row>
    <row r="737" spans="1:18" x14ac:dyDescent="0.3">
      <c r="A737" t="s">
        <v>1008</v>
      </c>
      <c r="B737" s="13">
        <v>44974</v>
      </c>
      <c r="C737" t="s">
        <v>1009</v>
      </c>
      <c r="D737" t="s">
        <v>754</v>
      </c>
      <c r="E737" t="s">
        <v>94</v>
      </c>
      <c r="F737" t="s">
        <v>89</v>
      </c>
      <c r="G737" t="s">
        <v>100</v>
      </c>
      <c r="H737">
        <v>2</v>
      </c>
      <c r="I737">
        <v>57.37</v>
      </c>
      <c r="J737">
        <v>0</v>
      </c>
      <c r="K737">
        <v>5.74</v>
      </c>
      <c r="L737">
        <v>0.48</v>
      </c>
      <c r="M737">
        <v>120.96</v>
      </c>
      <c r="N737" t="s">
        <v>50</v>
      </c>
      <c r="O737" t="s">
        <v>107</v>
      </c>
      <c r="P737" t="s">
        <v>124</v>
      </c>
      <c r="Q737" t="s">
        <v>125</v>
      </c>
      <c r="R737" t="s">
        <v>38</v>
      </c>
    </row>
    <row r="738" spans="1:18" x14ac:dyDescent="0.3">
      <c r="A738" t="s">
        <v>1030</v>
      </c>
      <c r="B738" s="13">
        <v>44966</v>
      </c>
      <c r="C738" t="s">
        <v>1031</v>
      </c>
      <c r="D738" t="s">
        <v>1032</v>
      </c>
      <c r="E738" t="s">
        <v>182</v>
      </c>
      <c r="F738" t="s">
        <v>89</v>
      </c>
      <c r="G738" t="s">
        <v>203</v>
      </c>
      <c r="H738">
        <v>5</v>
      </c>
      <c r="I738">
        <v>104.87</v>
      </c>
      <c r="J738">
        <v>0.05</v>
      </c>
      <c r="K738">
        <v>39.85</v>
      </c>
      <c r="L738">
        <v>10.01</v>
      </c>
      <c r="M738">
        <v>547.99</v>
      </c>
      <c r="N738" t="s">
        <v>24</v>
      </c>
      <c r="O738" t="s">
        <v>59</v>
      </c>
      <c r="P738" t="s">
        <v>36</v>
      </c>
      <c r="Q738" t="s">
        <v>37</v>
      </c>
      <c r="R738" t="s">
        <v>28</v>
      </c>
    </row>
    <row r="739" spans="1:18" x14ac:dyDescent="0.3">
      <c r="A739" t="s">
        <v>1037</v>
      </c>
      <c r="B739" s="13">
        <v>43929</v>
      </c>
      <c r="C739" t="s">
        <v>1038</v>
      </c>
      <c r="D739" t="s">
        <v>93</v>
      </c>
      <c r="E739" t="s">
        <v>287</v>
      </c>
      <c r="F739" t="s">
        <v>89</v>
      </c>
      <c r="G739" t="s">
        <v>49</v>
      </c>
      <c r="H739">
        <v>3</v>
      </c>
      <c r="I739">
        <v>43.51</v>
      </c>
      <c r="J739">
        <v>0</v>
      </c>
      <c r="K739">
        <v>15.66</v>
      </c>
      <c r="L739">
        <v>12.06</v>
      </c>
      <c r="M739">
        <v>158.25</v>
      </c>
      <c r="N739" t="s">
        <v>58</v>
      </c>
      <c r="O739" t="s">
        <v>25</v>
      </c>
      <c r="P739" t="s">
        <v>173</v>
      </c>
      <c r="Q739" t="s">
        <v>174</v>
      </c>
      <c r="R739" t="s">
        <v>38</v>
      </c>
    </row>
    <row r="740" spans="1:18" x14ac:dyDescent="0.3">
      <c r="A740" t="s">
        <v>1041</v>
      </c>
      <c r="B740" s="13">
        <v>44744</v>
      </c>
      <c r="C740" t="s">
        <v>1042</v>
      </c>
      <c r="D740" t="s">
        <v>531</v>
      </c>
      <c r="E740" t="s">
        <v>425</v>
      </c>
      <c r="F740" t="s">
        <v>89</v>
      </c>
      <c r="G740" t="s">
        <v>66</v>
      </c>
      <c r="H740">
        <v>4</v>
      </c>
      <c r="I740">
        <v>575.92999999999995</v>
      </c>
      <c r="J740">
        <v>0.15</v>
      </c>
      <c r="K740">
        <v>97.91</v>
      </c>
      <c r="L740">
        <v>14.12</v>
      </c>
      <c r="M740">
        <v>2070.19</v>
      </c>
      <c r="N740" t="s">
        <v>50</v>
      </c>
      <c r="O740" t="s">
        <v>144</v>
      </c>
      <c r="P740" t="s">
        <v>165</v>
      </c>
      <c r="Q740" t="s">
        <v>37</v>
      </c>
      <c r="R740" t="s">
        <v>38</v>
      </c>
    </row>
    <row r="741" spans="1:18" x14ac:dyDescent="0.3">
      <c r="A741" t="s">
        <v>1055</v>
      </c>
      <c r="B741" s="13">
        <v>44787</v>
      </c>
      <c r="C741" t="s">
        <v>1056</v>
      </c>
      <c r="D741" t="s">
        <v>172</v>
      </c>
      <c r="E741" t="s">
        <v>106</v>
      </c>
      <c r="F741" t="s">
        <v>89</v>
      </c>
      <c r="G741" t="s">
        <v>100</v>
      </c>
      <c r="H741">
        <v>2</v>
      </c>
      <c r="I741">
        <v>317.20999999999998</v>
      </c>
      <c r="J741">
        <v>0.2</v>
      </c>
      <c r="K741">
        <v>25.38</v>
      </c>
      <c r="L741">
        <v>2.14</v>
      </c>
      <c r="M741">
        <v>535.05999999999995</v>
      </c>
      <c r="N741" t="s">
        <v>35</v>
      </c>
      <c r="O741" t="s">
        <v>25</v>
      </c>
      <c r="P741" t="s">
        <v>150</v>
      </c>
      <c r="Q741" t="s">
        <v>69</v>
      </c>
      <c r="R741" t="s">
        <v>38</v>
      </c>
    </row>
    <row r="742" spans="1:18" x14ac:dyDescent="0.3">
      <c r="A742" t="s">
        <v>1057</v>
      </c>
      <c r="B742" s="13">
        <v>45535</v>
      </c>
      <c r="C742" t="s">
        <v>1058</v>
      </c>
      <c r="D742" t="s">
        <v>382</v>
      </c>
      <c r="E742" t="s">
        <v>88</v>
      </c>
      <c r="F742" t="s">
        <v>89</v>
      </c>
      <c r="G742" t="s">
        <v>34</v>
      </c>
      <c r="H742">
        <v>3</v>
      </c>
      <c r="I742">
        <v>430.49</v>
      </c>
      <c r="J742">
        <v>0</v>
      </c>
      <c r="K742">
        <v>64.569999999999993</v>
      </c>
      <c r="L742">
        <v>7.48</v>
      </c>
      <c r="M742">
        <v>1363.52</v>
      </c>
      <c r="N742" t="s">
        <v>35</v>
      </c>
      <c r="O742" t="s">
        <v>25</v>
      </c>
      <c r="P742" t="s">
        <v>101</v>
      </c>
      <c r="Q742" t="s">
        <v>102</v>
      </c>
      <c r="R742" t="s">
        <v>28</v>
      </c>
    </row>
    <row r="743" spans="1:18" x14ac:dyDescent="0.3">
      <c r="A743" t="s">
        <v>1106</v>
      </c>
      <c r="B743" s="13">
        <v>43868</v>
      </c>
      <c r="C743" t="s">
        <v>1107</v>
      </c>
      <c r="D743" t="s">
        <v>279</v>
      </c>
      <c r="E743" t="s">
        <v>271</v>
      </c>
      <c r="F743" t="s">
        <v>89</v>
      </c>
      <c r="G743" t="s">
        <v>203</v>
      </c>
      <c r="H743">
        <v>4</v>
      </c>
      <c r="I743">
        <v>388.55</v>
      </c>
      <c r="J743">
        <v>0</v>
      </c>
      <c r="K743">
        <v>77.709999999999994</v>
      </c>
      <c r="L743">
        <v>1.1499999999999999</v>
      </c>
      <c r="M743">
        <v>1633.06</v>
      </c>
      <c r="N743" t="s">
        <v>50</v>
      </c>
      <c r="O743" t="s">
        <v>107</v>
      </c>
      <c r="P743" t="s">
        <v>133</v>
      </c>
      <c r="Q743" t="s">
        <v>134</v>
      </c>
      <c r="R743" t="s">
        <v>38</v>
      </c>
    </row>
    <row r="744" spans="1:18" x14ac:dyDescent="0.3">
      <c r="A744" t="s">
        <v>1120</v>
      </c>
      <c r="B744" s="13">
        <v>43857</v>
      </c>
      <c r="C744" t="s">
        <v>1121</v>
      </c>
      <c r="D744" t="s">
        <v>141</v>
      </c>
      <c r="E744" t="s">
        <v>340</v>
      </c>
      <c r="F744" t="s">
        <v>89</v>
      </c>
      <c r="G744" t="s">
        <v>198</v>
      </c>
      <c r="H744">
        <v>5</v>
      </c>
      <c r="I744">
        <v>7.14</v>
      </c>
      <c r="J744">
        <v>0.1</v>
      </c>
      <c r="K744">
        <v>0</v>
      </c>
      <c r="L744">
        <v>4.57</v>
      </c>
      <c r="M744">
        <v>36.700000000000003</v>
      </c>
      <c r="N744" t="s">
        <v>123</v>
      </c>
      <c r="O744" t="s">
        <v>25</v>
      </c>
      <c r="P744" t="s">
        <v>178</v>
      </c>
      <c r="Q744" t="s">
        <v>69</v>
      </c>
      <c r="R744" t="s">
        <v>38</v>
      </c>
    </row>
    <row r="745" spans="1:18" x14ac:dyDescent="0.3">
      <c r="A745" t="s">
        <v>1124</v>
      </c>
      <c r="B745" s="13">
        <v>45131</v>
      </c>
      <c r="C745" t="s">
        <v>1125</v>
      </c>
      <c r="D745" t="s">
        <v>911</v>
      </c>
      <c r="E745" t="s">
        <v>340</v>
      </c>
      <c r="F745" t="s">
        <v>89</v>
      </c>
      <c r="G745" t="s">
        <v>198</v>
      </c>
      <c r="H745">
        <v>4</v>
      </c>
      <c r="I745">
        <v>133.38999999999999</v>
      </c>
      <c r="J745">
        <v>0</v>
      </c>
      <c r="K745">
        <v>96.04</v>
      </c>
      <c r="L745">
        <v>5.4</v>
      </c>
      <c r="M745">
        <v>635</v>
      </c>
      <c r="N745" t="s">
        <v>50</v>
      </c>
      <c r="O745" t="s">
        <v>144</v>
      </c>
      <c r="P745" t="s">
        <v>257</v>
      </c>
      <c r="Q745" t="s">
        <v>69</v>
      </c>
      <c r="R745" t="s">
        <v>38</v>
      </c>
    </row>
    <row r="746" spans="1:18" x14ac:dyDescent="0.3">
      <c r="A746" t="s">
        <v>1126</v>
      </c>
      <c r="B746" s="13">
        <v>44628</v>
      </c>
      <c r="C746" t="s">
        <v>1127</v>
      </c>
      <c r="D746" t="s">
        <v>286</v>
      </c>
      <c r="E746" t="s">
        <v>160</v>
      </c>
      <c r="F746" t="s">
        <v>89</v>
      </c>
      <c r="G746" t="s">
        <v>57</v>
      </c>
      <c r="H746">
        <v>5</v>
      </c>
      <c r="I746">
        <v>262.89999999999998</v>
      </c>
      <c r="J746">
        <v>0</v>
      </c>
      <c r="K746">
        <v>65.73</v>
      </c>
      <c r="L746">
        <v>12.41</v>
      </c>
      <c r="M746">
        <v>1392.64</v>
      </c>
      <c r="N746" t="s">
        <v>58</v>
      </c>
      <c r="O746" t="s">
        <v>25</v>
      </c>
      <c r="P746" t="s">
        <v>51</v>
      </c>
      <c r="Q746" t="s">
        <v>52</v>
      </c>
      <c r="R746" t="s">
        <v>28</v>
      </c>
    </row>
    <row r="747" spans="1:18" x14ac:dyDescent="0.3">
      <c r="A747" t="s">
        <v>1154</v>
      </c>
      <c r="B747" s="13">
        <v>45366</v>
      </c>
      <c r="C747" t="s">
        <v>1155</v>
      </c>
      <c r="D747" t="s">
        <v>212</v>
      </c>
      <c r="E747" t="s">
        <v>197</v>
      </c>
      <c r="F747" t="s">
        <v>89</v>
      </c>
      <c r="G747" t="s">
        <v>90</v>
      </c>
      <c r="H747">
        <v>5</v>
      </c>
      <c r="I747">
        <v>125.23</v>
      </c>
      <c r="J747">
        <v>0.15</v>
      </c>
      <c r="K747">
        <v>26.61</v>
      </c>
      <c r="L747">
        <v>2.11</v>
      </c>
      <c r="M747">
        <v>560.95000000000005</v>
      </c>
      <c r="N747" t="s">
        <v>67</v>
      </c>
      <c r="O747" t="s">
        <v>25</v>
      </c>
      <c r="P747" t="s">
        <v>68</v>
      </c>
      <c r="Q747" t="s">
        <v>69</v>
      </c>
      <c r="R747" t="s">
        <v>183</v>
      </c>
    </row>
    <row r="748" spans="1:18" x14ac:dyDescent="0.3">
      <c r="A748" t="s">
        <v>1161</v>
      </c>
      <c r="B748" s="13">
        <v>45074</v>
      </c>
      <c r="C748" t="s">
        <v>1162</v>
      </c>
      <c r="D748" t="s">
        <v>634</v>
      </c>
      <c r="E748" t="s">
        <v>65</v>
      </c>
      <c r="F748" t="s">
        <v>89</v>
      </c>
      <c r="G748" t="s">
        <v>23</v>
      </c>
      <c r="H748">
        <v>3</v>
      </c>
      <c r="I748">
        <v>234.48</v>
      </c>
      <c r="J748">
        <v>0</v>
      </c>
      <c r="K748">
        <v>35.17</v>
      </c>
      <c r="L748">
        <v>4.3099999999999996</v>
      </c>
      <c r="M748">
        <v>742.92</v>
      </c>
      <c r="N748" t="s">
        <v>123</v>
      </c>
      <c r="O748" t="s">
        <v>25</v>
      </c>
      <c r="P748" t="s">
        <v>83</v>
      </c>
      <c r="Q748" t="s">
        <v>84</v>
      </c>
      <c r="R748" t="s">
        <v>38</v>
      </c>
    </row>
    <row r="749" spans="1:18" x14ac:dyDescent="0.3">
      <c r="A749" t="s">
        <v>1163</v>
      </c>
      <c r="B749" s="13">
        <v>43988</v>
      </c>
      <c r="C749" t="s">
        <v>1164</v>
      </c>
      <c r="D749" t="s">
        <v>897</v>
      </c>
      <c r="E749" t="s">
        <v>231</v>
      </c>
      <c r="F749" t="s">
        <v>89</v>
      </c>
      <c r="G749" t="s">
        <v>198</v>
      </c>
      <c r="H749">
        <v>5</v>
      </c>
      <c r="I749">
        <v>326.45999999999998</v>
      </c>
      <c r="J749">
        <v>0</v>
      </c>
      <c r="K749">
        <v>293.81</v>
      </c>
      <c r="L749">
        <v>6.8</v>
      </c>
      <c r="M749">
        <v>1932.91</v>
      </c>
      <c r="N749" t="s">
        <v>24</v>
      </c>
      <c r="O749" t="s">
        <v>25</v>
      </c>
      <c r="P749" t="s">
        <v>36</v>
      </c>
      <c r="Q749" t="s">
        <v>37</v>
      </c>
      <c r="R749" t="s">
        <v>38</v>
      </c>
    </row>
    <row r="750" spans="1:18" x14ac:dyDescent="0.3">
      <c r="A750" t="s">
        <v>1174</v>
      </c>
      <c r="B750" s="13">
        <v>43929</v>
      </c>
      <c r="C750" t="s">
        <v>1175</v>
      </c>
      <c r="D750" t="s">
        <v>1176</v>
      </c>
      <c r="E750" t="s">
        <v>300</v>
      </c>
      <c r="F750" t="s">
        <v>89</v>
      </c>
      <c r="G750" t="s">
        <v>49</v>
      </c>
      <c r="H750">
        <v>4</v>
      </c>
      <c r="I750">
        <v>416.04</v>
      </c>
      <c r="J750">
        <v>0</v>
      </c>
      <c r="K750">
        <v>0</v>
      </c>
      <c r="L750">
        <v>3.76</v>
      </c>
      <c r="M750">
        <v>1667.92</v>
      </c>
      <c r="N750" t="s">
        <v>58</v>
      </c>
      <c r="O750" t="s">
        <v>107</v>
      </c>
      <c r="P750" t="s">
        <v>68</v>
      </c>
      <c r="Q750" t="s">
        <v>69</v>
      </c>
      <c r="R750" t="s">
        <v>38</v>
      </c>
    </row>
    <row r="751" spans="1:18" x14ac:dyDescent="0.3">
      <c r="A751" t="s">
        <v>1187</v>
      </c>
      <c r="B751" s="13">
        <v>44132</v>
      </c>
      <c r="C751" t="s">
        <v>1188</v>
      </c>
      <c r="D751" t="s">
        <v>1189</v>
      </c>
      <c r="E751" t="s">
        <v>425</v>
      </c>
      <c r="F751" t="s">
        <v>89</v>
      </c>
      <c r="G751" t="s">
        <v>268</v>
      </c>
      <c r="H751">
        <v>3</v>
      </c>
      <c r="I751">
        <v>108.48</v>
      </c>
      <c r="J751">
        <v>0.05</v>
      </c>
      <c r="K751">
        <v>37.1</v>
      </c>
      <c r="L751">
        <v>14.17</v>
      </c>
      <c r="M751">
        <v>360.44</v>
      </c>
      <c r="N751" t="s">
        <v>24</v>
      </c>
      <c r="O751" t="s">
        <v>25</v>
      </c>
      <c r="P751" t="s">
        <v>145</v>
      </c>
      <c r="Q751" t="s">
        <v>146</v>
      </c>
      <c r="R751" t="s">
        <v>38</v>
      </c>
    </row>
    <row r="752" spans="1:18" x14ac:dyDescent="0.3">
      <c r="A752" t="s">
        <v>1206</v>
      </c>
      <c r="B752" s="13">
        <v>44811</v>
      </c>
      <c r="C752" t="s">
        <v>1207</v>
      </c>
      <c r="D752" t="s">
        <v>55</v>
      </c>
      <c r="E752" t="s">
        <v>425</v>
      </c>
      <c r="F752" t="s">
        <v>89</v>
      </c>
      <c r="G752" t="s">
        <v>90</v>
      </c>
      <c r="H752">
        <v>5</v>
      </c>
      <c r="I752">
        <v>73.63</v>
      </c>
      <c r="J752">
        <v>0.2</v>
      </c>
      <c r="K752">
        <v>14.73</v>
      </c>
      <c r="L752">
        <v>1.28</v>
      </c>
      <c r="M752">
        <v>310.52999999999997</v>
      </c>
      <c r="N752" t="s">
        <v>67</v>
      </c>
      <c r="O752" t="s">
        <v>25</v>
      </c>
      <c r="P752" t="s">
        <v>145</v>
      </c>
      <c r="Q752" t="s">
        <v>146</v>
      </c>
      <c r="R752" t="s">
        <v>38</v>
      </c>
    </row>
    <row r="753" spans="1:18" x14ac:dyDescent="0.3">
      <c r="A753" t="s">
        <v>1216</v>
      </c>
      <c r="B753" s="13">
        <v>43958</v>
      </c>
      <c r="C753" t="s">
        <v>1217</v>
      </c>
      <c r="D753" t="s">
        <v>424</v>
      </c>
      <c r="E753" t="s">
        <v>21</v>
      </c>
      <c r="F753" t="s">
        <v>89</v>
      </c>
      <c r="G753" t="s">
        <v>66</v>
      </c>
      <c r="H753">
        <v>1</v>
      </c>
      <c r="I753">
        <v>30.73</v>
      </c>
      <c r="J753">
        <v>0.05</v>
      </c>
      <c r="K753">
        <v>1.46</v>
      </c>
      <c r="L753">
        <v>2.2999999999999998</v>
      </c>
      <c r="M753">
        <v>32.950000000000003</v>
      </c>
      <c r="N753" t="s">
        <v>67</v>
      </c>
      <c r="O753" t="s">
        <v>25</v>
      </c>
      <c r="P753" t="s">
        <v>83</v>
      </c>
      <c r="Q753" t="s">
        <v>84</v>
      </c>
      <c r="R753" t="s">
        <v>38</v>
      </c>
    </row>
    <row r="754" spans="1:18" x14ac:dyDescent="0.3">
      <c r="A754" t="s">
        <v>1220</v>
      </c>
      <c r="B754" s="13">
        <v>45647</v>
      </c>
      <c r="C754" t="s">
        <v>1221</v>
      </c>
      <c r="D754" t="s">
        <v>911</v>
      </c>
      <c r="E754" t="s">
        <v>138</v>
      </c>
      <c r="F754" t="s">
        <v>89</v>
      </c>
      <c r="G754" t="s">
        <v>268</v>
      </c>
      <c r="H754">
        <v>4</v>
      </c>
      <c r="I754">
        <v>456.47</v>
      </c>
      <c r="J754">
        <v>0.15</v>
      </c>
      <c r="K754">
        <v>77.599999999999994</v>
      </c>
      <c r="L754">
        <v>0.88</v>
      </c>
      <c r="M754">
        <v>1630.48</v>
      </c>
      <c r="N754" t="s">
        <v>58</v>
      </c>
      <c r="O754" t="s">
        <v>25</v>
      </c>
      <c r="P754" t="s">
        <v>51</v>
      </c>
      <c r="Q754" t="s">
        <v>52</v>
      </c>
      <c r="R754" t="s">
        <v>38</v>
      </c>
    </row>
    <row r="755" spans="1:18" x14ac:dyDescent="0.3">
      <c r="A755" t="s">
        <v>1226</v>
      </c>
      <c r="B755" s="13">
        <v>44400</v>
      </c>
      <c r="C755" t="s">
        <v>1227</v>
      </c>
      <c r="D755" t="s">
        <v>255</v>
      </c>
      <c r="E755" t="s">
        <v>340</v>
      </c>
      <c r="F755" t="s">
        <v>89</v>
      </c>
      <c r="G755" t="s">
        <v>203</v>
      </c>
      <c r="H755">
        <v>4</v>
      </c>
      <c r="I755">
        <v>406.52</v>
      </c>
      <c r="J755">
        <v>0.2</v>
      </c>
      <c r="K755">
        <v>65.040000000000006</v>
      </c>
      <c r="L755">
        <v>5.64</v>
      </c>
      <c r="M755">
        <v>1371.54</v>
      </c>
      <c r="N755" t="s">
        <v>35</v>
      </c>
      <c r="O755" t="s">
        <v>25</v>
      </c>
      <c r="P755" t="s">
        <v>124</v>
      </c>
      <c r="Q755" t="s">
        <v>125</v>
      </c>
      <c r="R755" t="s">
        <v>38</v>
      </c>
    </row>
    <row r="756" spans="1:18" x14ac:dyDescent="0.3">
      <c r="A756" t="s">
        <v>1238</v>
      </c>
      <c r="B756" s="13">
        <v>44684</v>
      </c>
      <c r="C756" t="s">
        <v>1239</v>
      </c>
      <c r="D756" t="s">
        <v>206</v>
      </c>
      <c r="E756" t="s">
        <v>243</v>
      </c>
      <c r="F756" t="s">
        <v>89</v>
      </c>
      <c r="G756" t="s">
        <v>23</v>
      </c>
      <c r="H756">
        <v>3</v>
      </c>
      <c r="I756">
        <v>204.5</v>
      </c>
      <c r="J756">
        <v>0.05</v>
      </c>
      <c r="K756">
        <v>29.14</v>
      </c>
      <c r="L756">
        <v>13.05</v>
      </c>
      <c r="M756">
        <v>625.01</v>
      </c>
      <c r="N756" t="s">
        <v>50</v>
      </c>
      <c r="O756" t="s">
        <v>25</v>
      </c>
      <c r="P756" t="s">
        <v>124</v>
      </c>
      <c r="Q756" t="s">
        <v>125</v>
      </c>
      <c r="R756" t="s">
        <v>38</v>
      </c>
    </row>
    <row r="757" spans="1:18" x14ac:dyDescent="0.3">
      <c r="A757" t="s">
        <v>1244</v>
      </c>
      <c r="B757" s="13">
        <v>45493</v>
      </c>
      <c r="C757" t="s">
        <v>1245</v>
      </c>
      <c r="D757" t="s">
        <v>469</v>
      </c>
      <c r="E757" t="s">
        <v>156</v>
      </c>
      <c r="F757" t="s">
        <v>89</v>
      </c>
      <c r="G757" t="s">
        <v>23</v>
      </c>
      <c r="H757">
        <v>3</v>
      </c>
      <c r="I757">
        <v>533.12</v>
      </c>
      <c r="J757">
        <v>0</v>
      </c>
      <c r="K757">
        <v>79.97</v>
      </c>
      <c r="L757">
        <v>6.18</v>
      </c>
      <c r="M757">
        <v>1685.51</v>
      </c>
      <c r="N757" t="s">
        <v>58</v>
      </c>
      <c r="O757" t="s">
        <v>107</v>
      </c>
      <c r="P757" t="s">
        <v>117</v>
      </c>
      <c r="Q757" t="s">
        <v>118</v>
      </c>
      <c r="R757" t="s">
        <v>28</v>
      </c>
    </row>
    <row r="758" spans="1:18" x14ac:dyDescent="0.3">
      <c r="A758" t="s">
        <v>1252</v>
      </c>
      <c r="B758" s="13">
        <v>44615</v>
      </c>
      <c r="C758" t="s">
        <v>1253</v>
      </c>
      <c r="D758" t="s">
        <v>696</v>
      </c>
      <c r="E758" t="s">
        <v>197</v>
      </c>
      <c r="F758" t="s">
        <v>89</v>
      </c>
      <c r="G758" t="s">
        <v>34</v>
      </c>
      <c r="H758">
        <v>4</v>
      </c>
      <c r="I758">
        <v>237.92</v>
      </c>
      <c r="J758">
        <v>0.15</v>
      </c>
      <c r="K758">
        <v>64.709999999999994</v>
      </c>
      <c r="L758">
        <v>13.11</v>
      </c>
      <c r="M758">
        <v>886.75</v>
      </c>
      <c r="N758" t="s">
        <v>24</v>
      </c>
      <c r="O758" t="s">
        <v>25</v>
      </c>
      <c r="P758" t="s">
        <v>44</v>
      </c>
      <c r="Q758" t="s">
        <v>37</v>
      </c>
      <c r="R758" t="s">
        <v>38</v>
      </c>
    </row>
    <row r="759" spans="1:18" x14ac:dyDescent="0.3">
      <c r="A759" t="s">
        <v>1258</v>
      </c>
      <c r="B759" s="13">
        <v>44076</v>
      </c>
      <c r="C759" t="s">
        <v>1259</v>
      </c>
      <c r="D759" t="s">
        <v>186</v>
      </c>
      <c r="E759" t="s">
        <v>80</v>
      </c>
      <c r="F759" t="s">
        <v>89</v>
      </c>
      <c r="G759" t="s">
        <v>198</v>
      </c>
      <c r="H759">
        <v>5</v>
      </c>
      <c r="I759">
        <v>361.27</v>
      </c>
      <c r="J759">
        <v>0.1</v>
      </c>
      <c r="K759">
        <v>195.09</v>
      </c>
      <c r="L759">
        <v>7.04</v>
      </c>
      <c r="M759">
        <v>1827.84</v>
      </c>
      <c r="N759" t="s">
        <v>58</v>
      </c>
      <c r="O759" t="s">
        <v>25</v>
      </c>
      <c r="P759" t="s">
        <v>117</v>
      </c>
      <c r="Q759" t="s">
        <v>118</v>
      </c>
      <c r="R759" t="s">
        <v>38</v>
      </c>
    </row>
    <row r="760" spans="1:18" x14ac:dyDescent="0.3">
      <c r="A760" t="s">
        <v>1266</v>
      </c>
      <c r="B760" s="13">
        <v>45331</v>
      </c>
      <c r="C760" t="s">
        <v>1267</v>
      </c>
      <c r="D760" t="s">
        <v>1268</v>
      </c>
      <c r="E760" t="s">
        <v>182</v>
      </c>
      <c r="F760" t="s">
        <v>89</v>
      </c>
      <c r="G760" t="s">
        <v>268</v>
      </c>
      <c r="H760">
        <v>1</v>
      </c>
      <c r="I760">
        <v>443.67</v>
      </c>
      <c r="J760">
        <v>0.2</v>
      </c>
      <c r="K760">
        <v>17.75</v>
      </c>
      <c r="L760">
        <v>13.76</v>
      </c>
      <c r="M760">
        <v>386.45</v>
      </c>
      <c r="N760" t="s">
        <v>123</v>
      </c>
      <c r="O760" t="s">
        <v>107</v>
      </c>
      <c r="P760" t="s">
        <v>36</v>
      </c>
      <c r="Q760" t="s">
        <v>37</v>
      </c>
      <c r="R760" t="s">
        <v>183</v>
      </c>
    </row>
    <row r="761" spans="1:18" x14ac:dyDescent="0.3">
      <c r="A761" t="s">
        <v>1280</v>
      </c>
      <c r="B761" s="13">
        <v>44658</v>
      </c>
      <c r="C761" t="s">
        <v>1281</v>
      </c>
      <c r="D761" t="s">
        <v>327</v>
      </c>
      <c r="E761" t="s">
        <v>291</v>
      </c>
      <c r="F761" t="s">
        <v>89</v>
      </c>
      <c r="G761" t="s">
        <v>90</v>
      </c>
      <c r="H761">
        <v>2</v>
      </c>
      <c r="I761">
        <v>173.59</v>
      </c>
      <c r="J761">
        <v>0</v>
      </c>
      <c r="K761">
        <v>27.77</v>
      </c>
      <c r="L761">
        <v>5.12</v>
      </c>
      <c r="M761">
        <v>380.07</v>
      </c>
      <c r="N761" t="s">
        <v>58</v>
      </c>
      <c r="O761" t="s">
        <v>25</v>
      </c>
      <c r="P761" t="s">
        <v>178</v>
      </c>
      <c r="Q761" t="s">
        <v>69</v>
      </c>
      <c r="R761" t="s">
        <v>38</v>
      </c>
    </row>
    <row r="762" spans="1:18" x14ac:dyDescent="0.3">
      <c r="A762" t="s">
        <v>1288</v>
      </c>
      <c r="B762" s="13">
        <v>44515</v>
      </c>
      <c r="C762" t="s">
        <v>1289</v>
      </c>
      <c r="D762" t="s">
        <v>1176</v>
      </c>
      <c r="E762" t="s">
        <v>202</v>
      </c>
      <c r="F762" t="s">
        <v>89</v>
      </c>
      <c r="G762" t="s">
        <v>100</v>
      </c>
      <c r="H762">
        <v>4</v>
      </c>
      <c r="I762">
        <v>178.94</v>
      </c>
      <c r="J762">
        <v>0</v>
      </c>
      <c r="K762">
        <v>128.84</v>
      </c>
      <c r="L762">
        <v>10.83</v>
      </c>
      <c r="M762">
        <v>855.43</v>
      </c>
      <c r="N762" t="s">
        <v>58</v>
      </c>
      <c r="O762" t="s">
        <v>25</v>
      </c>
      <c r="P762" t="s">
        <v>26</v>
      </c>
      <c r="Q762" t="s">
        <v>27</v>
      </c>
      <c r="R762" t="s">
        <v>38</v>
      </c>
    </row>
    <row r="763" spans="1:18" x14ac:dyDescent="0.3">
      <c r="A763" t="s">
        <v>1313</v>
      </c>
      <c r="B763" s="13">
        <v>44664</v>
      </c>
      <c r="C763" t="s">
        <v>1314</v>
      </c>
      <c r="D763" t="s">
        <v>116</v>
      </c>
      <c r="E763" t="s">
        <v>597</v>
      </c>
      <c r="F763" t="s">
        <v>89</v>
      </c>
      <c r="G763" t="s">
        <v>34</v>
      </c>
      <c r="H763">
        <v>5</v>
      </c>
      <c r="I763">
        <v>214.2</v>
      </c>
      <c r="J763">
        <v>0.2</v>
      </c>
      <c r="K763">
        <v>154.22</v>
      </c>
      <c r="L763">
        <v>8.69</v>
      </c>
      <c r="M763">
        <v>1019.71</v>
      </c>
      <c r="N763" t="s">
        <v>58</v>
      </c>
      <c r="O763" t="s">
        <v>25</v>
      </c>
      <c r="P763" t="s">
        <v>26</v>
      </c>
      <c r="Q763" t="s">
        <v>27</v>
      </c>
      <c r="R763" t="s">
        <v>38</v>
      </c>
    </row>
    <row r="764" spans="1:18" x14ac:dyDescent="0.3">
      <c r="A764" t="s">
        <v>1315</v>
      </c>
      <c r="B764" s="13">
        <v>45654</v>
      </c>
      <c r="C764" t="s">
        <v>1316</v>
      </c>
      <c r="D764" t="s">
        <v>1173</v>
      </c>
      <c r="E764" t="s">
        <v>160</v>
      </c>
      <c r="F764" t="s">
        <v>89</v>
      </c>
      <c r="G764" t="s">
        <v>100</v>
      </c>
      <c r="H764">
        <v>2</v>
      </c>
      <c r="I764">
        <v>512.67999999999995</v>
      </c>
      <c r="J764">
        <v>0</v>
      </c>
      <c r="K764">
        <v>123.04</v>
      </c>
      <c r="L764">
        <v>2.95</v>
      </c>
      <c r="M764">
        <v>1151.3499999999999</v>
      </c>
      <c r="N764" t="s">
        <v>24</v>
      </c>
      <c r="O764" t="s">
        <v>25</v>
      </c>
      <c r="P764" t="s">
        <v>112</v>
      </c>
      <c r="Q764" t="s">
        <v>113</v>
      </c>
      <c r="R764" t="s">
        <v>28</v>
      </c>
    </row>
    <row r="765" spans="1:18" x14ac:dyDescent="0.3">
      <c r="A765" t="s">
        <v>1321</v>
      </c>
      <c r="B765" s="13">
        <v>43881</v>
      </c>
      <c r="C765" t="s">
        <v>1322</v>
      </c>
      <c r="D765" t="s">
        <v>159</v>
      </c>
      <c r="E765" t="s">
        <v>80</v>
      </c>
      <c r="F765" t="s">
        <v>89</v>
      </c>
      <c r="G765" t="s">
        <v>198</v>
      </c>
      <c r="H765">
        <v>2</v>
      </c>
      <c r="I765">
        <v>14.71</v>
      </c>
      <c r="J765">
        <v>0</v>
      </c>
      <c r="K765">
        <v>2.35</v>
      </c>
      <c r="L765">
        <v>4.47</v>
      </c>
      <c r="M765">
        <v>36.24</v>
      </c>
      <c r="N765" t="s">
        <v>67</v>
      </c>
      <c r="O765" t="s">
        <v>25</v>
      </c>
      <c r="P765" t="s">
        <v>26</v>
      </c>
      <c r="Q765" t="s">
        <v>27</v>
      </c>
      <c r="R765" t="s">
        <v>38</v>
      </c>
    </row>
    <row r="766" spans="1:18" x14ac:dyDescent="0.3">
      <c r="A766" t="s">
        <v>1337</v>
      </c>
      <c r="B766" s="13">
        <v>44400</v>
      </c>
      <c r="C766" t="s">
        <v>1338</v>
      </c>
      <c r="D766" t="s">
        <v>410</v>
      </c>
      <c r="E766" t="s">
        <v>132</v>
      </c>
      <c r="F766" t="s">
        <v>89</v>
      </c>
      <c r="G766" t="s">
        <v>23</v>
      </c>
      <c r="H766">
        <v>1</v>
      </c>
      <c r="I766">
        <v>169.23</v>
      </c>
      <c r="J766">
        <v>0.05</v>
      </c>
      <c r="K766">
        <v>8.0399999999999991</v>
      </c>
      <c r="L766">
        <v>2.9</v>
      </c>
      <c r="M766">
        <v>171.71</v>
      </c>
      <c r="N766" t="s">
        <v>58</v>
      </c>
      <c r="O766" t="s">
        <v>107</v>
      </c>
      <c r="P766" t="s">
        <v>68</v>
      </c>
      <c r="Q766" t="s">
        <v>69</v>
      </c>
      <c r="R766" t="s">
        <v>38</v>
      </c>
    </row>
    <row r="767" spans="1:18" x14ac:dyDescent="0.3">
      <c r="A767" t="s">
        <v>1343</v>
      </c>
      <c r="B767" s="13">
        <v>45546</v>
      </c>
      <c r="C767" t="s">
        <v>1344</v>
      </c>
      <c r="D767" t="s">
        <v>346</v>
      </c>
      <c r="E767" t="s">
        <v>267</v>
      </c>
      <c r="F767" t="s">
        <v>89</v>
      </c>
      <c r="G767" t="s">
        <v>23</v>
      </c>
      <c r="H767">
        <v>5</v>
      </c>
      <c r="I767">
        <v>210.72</v>
      </c>
      <c r="J767">
        <v>0.05</v>
      </c>
      <c r="K767">
        <v>180.17</v>
      </c>
      <c r="L767">
        <v>2.68</v>
      </c>
      <c r="M767">
        <v>1183.77</v>
      </c>
      <c r="N767" t="s">
        <v>35</v>
      </c>
      <c r="O767" t="s">
        <v>25</v>
      </c>
      <c r="P767" t="s">
        <v>173</v>
      </c>
      <c r="Q767" t="s">
        <v>174</v>
      </c>
      <c r="R767" t="s">
        <v>38</v>
      </c>
    </row>
    <row r="768" spans="1:18" x14ac:dyDescent="0.3">
      <c r="A768" t="s">
        <v>1347</v>
      </c>
      <c r="B768" s="13">
        <v>44668</v>
      </c>
      <c r="C768" t="s">
        <v>1348</v>
      </c>
      <c r="D768" t="s">
        <v>1349</v>
      </c>
      <c r="E768" t="s">
        <v>291</v>
      </c>
      <c r="F768" t="s">
        <v>89</v>
      </c>
      <c r="G768" t="s">
        <v>268</v>
      </c>
      <c r="H768">
        <v>5</v>
      </c>
      <c r="I768">
        <v>77.319999999999993</v>
      </c>
      <c r="J768">
        <v>0.05</v>
      </c>
      <c r="K768">
        <v>18.36</v>
      </c>
      <c r="L768">
        <v>14.21</v>
      </c>
      <c r="M768">
        <v>399.84</v>
      </c>
      <c r="N768" t="s">
        <v>58</v>
      </c>
      <c r="O768" t="s">
        <v>25</v>
      </c>
      <c r="P768" t="s">
        <v>173</v>
      </c>
      <c r="Q768" t="s">
        <v>174</v>
      </c>
      <c r="R768" t="s">
        <v>28</v>
      </c>
    </row>
    <row r="769" spans="1:18" x14ac:dyDescent="0.3">
      <c r="A769" t="s">
        <v>1365</v>
      </c>
      <c r="B769" s="13">
        <v>44907</v>
      </c>
      <c r="C769" t="s">
        <v>1366</v>
      </c>
      <c r="D769" t="s">
        <v>1367</v>
      </c>
      <c r="E769" t="s">
        <v>243</v>
      </c>
      <c r="F769" t="s">
        <v>89</v>
      </c>
      <c r="G769" t="s">
        <v>100</v>
      </c>
      <c r="H769">
        <v>4</v>
      </c>
      <c r="I769">
        <v>562.49</v>
      </c>
      <c r="J769">
        <v>0.05</v>
      </c>
      <c r="K769">
        <v>106.87</v>
      </c>
      <c r="L769">
        <v>10.79</v>
      </c>
      <c r="M769">
        <v>2255.12</v>
      </c>
      <c r="N769" t="s">
        <v>24</v>
      </c>
      <c r="O769" t="s">
        <v>82</v>
      </c>
      <c r="P769" t="s">
        <v>145</v>
      </c>
      <c r="Q769" t="s">
        <v>146</v>
      </c>
      <c r="R769" t="s">
        <v>38</v>
      </c>
    </row>
    <row r="770" spans="1:18" x14ac:dyDescent="0.3">
      <c r="A770" t="s">
        <v>1370</v>
      </c>
      <c r="B770" s="13">
        <v>44834</v>
      </c>
      <c r="C770" t="s">
        <v>1371</v>
      </c>
      <c r="D770" t="s">
        <v>1372</v>
      </c>
      <c r="E770" t="s">
        <v>392</v>
      </c>
      <c r="F770" t="s">
        <v>89</v>
      </c>
      <c r="G770" t="s">
        <v>90</v>
      </c>
      <c r="H770">
        <v>3</v>
      </c>
      <c r="I770">
        <v>300.62</v>
      </c>
      <c r="J770">
        <v>0</v>
      </c>
      <c r="K770">
        <v>72.150000000000006</v>
      </c>
      <c r="L770">
        <v>5.26</v>
      </c>
      <c r="M770">
        <v>979.27</v>
      </c>
      <c r="N770" t="s">
        <v>58</v>
      </c>
      <c r="O770" t="s">
        <v>25</v>
      </c>
      <c r="P770" t="s">
        <v>36</v>
      </c>
      <c r="Q770" t="s">
        <v>37</v>
      </c>
      <c r="R770" t="s">
        <v>38</v>
      </c>
    </row>
    <row r="771" spans="1:18" x14ac:dyDescent="0.3">
      <c r="A771" t="s">
        <v>1454</v>
      </c>
      <c r="B771" s="13">
        <v>44632</v>
      </c>
      <c r="C771" t="s">
        <v>1455</v>
      </c>
      <c r="D771" t="s">
        <v>400</v>
      </c>
      <c r="E771" t="s">
        <v>122</v>
      </c>
      <c r="F771" t="s">
        <v>89</v>
      </c>
      <c r="G771" t="s">
        <v>198</v>
      </c>
      <c r="H771">
        <v>2</v>
      </c>
      <c r="I771">
        <v>165.15</v>
      </c>
      <c r="J771">
        <v>0</v>
      </c>
      <c r="K771">
        <v>16.52</v>
      </c>
      <c r="L771">
        <v>10.49</v>
      </c>
      <c r="M771">
        <v>357.31</v>
      </c>
      <c r="N771" t="s">
        <v>58</v>
      </c>
      <c r="O771" t="s">
        <v>25</v>
      </c>
      <c r="P771" t="s">
        <v>74</v>
      </c>
      <c r="Q771" t="s">
        <v>75</v>
      </c>
      <c r="R771" t="s">
        <v>38</v>
      </c>
    </row>
    <row r="772" spans="1:18" x14ac:dyDescent="0.3">
      <c r="A772" t="s">
        <v>1458</v>
      </c>
      <c r="B772" s="13">
        <v>45492</v>
      </c>
      <c r="C772" t="s">
        <v>762</v>
      </c>
      <c r="D772" t="s">
        <v>242</v>
      </c>
      <c r="E772" t="s">
        <v>349</v>
      </c>
      <c r="F772" t="s">
        <v>89</v>
      </c>
      <c r="G772" t="s">
        <v>66</v>
      </c>
      <c r="H772">
        <v>2</v>
      </c>
      <c r="I772">
        <v>532.98</v>
      </c>
      <c r="J772">
        <v>0.3</v>
      </c>
      <c r="K772">
        <v>59.69</v>
      </c>
      <c r="L772">
        <v>3.77</v>
      </c>
      <c r="M772">
        <v>809.63</v>
      </c>
      <c r="N772" t="s">
        <v>24</v>
      </c>
      <c r="O772" t="s">
        <v>25</v>
      </c>
      <c r="P772" t="s">
        <v>133</v>
      </c>
      <c r="Q772" t="s">
        <v>134</v>
      </c>
      <c r="R772" t="s">
        <v>38</v>
      </c>
    </row>
    <row r="773" spans="1:18" x14ac:dyDescent="0.3">
      <c r="A773" t="s">
        <v>1467</v>
      </c>
      <c r="B773" s="13">
        <v>45091</v>
      </c>
      <c r="C773" t="s">
        <v>1468</v>
      </c>
      <c r="D773" t="s">
        <v>957</v>
      </c>
      <c r="E773" t="s">
        <v>324</v>
      </c>
      <c r="F773" t="s">
        <v>89</v>
      </c>
      <c r="G773" t="s">
        <v>34</v>
      </c>
      <c r="H773">
        <v>4</v>
      </c>
      <c r="I773">
        <v>194.44</v>
      </c>
      <c r="J773">
        <v>0.05</v>
      </c>
      <c r="K773">
        <v>59.11</v>
      </c>
      <c r="L773">
        <v>5.87</v>
      </c>
      <c r="M773">
        <v>803.85</v>
      </c>
      <c r="N773" t="s">
        <v>58</v>
      </c>
      <c r="O773" t="s">
        <v>25</v>
      </c>
      <c r="P773" t="s">
        <v>101</v>
      </c>
      <c r="Q773" t="s">
        <v>102</v>
      </c>
      <c r="R773" t="s">
        <v>38</v>
      </c>
    </row>
    <row r="774" spans="1:18" x14ac:dyDescent="0.3">
      <c r="A774" t="s">
        <v>1471</v>
      </c>
      <c r="B774" s="13">
        <v>45126</v>
      </c>
      <c r="C774" t="s">
        <v>1472</v>
      </c>
      <c r="D774" t="s">
        <v>237</v>
      </c>
      <c r="E774" t="s">
        <v>287</v>
      </c>
      <c r="F774" t="s">
        <v>89</v>
      </c>
      <c r="G774" t="s">
        <v>198</v>
      </c>
      <c r="H774">
        <v>5</v>
      </c>
      <c r="I774">
        <v>584.19000000000005</v>
      </c>
      <c r="J774">
        <v>0.1</v>
      </c>
      <c r="K774">
        <v>131.44</v>
      </c>
      <c r="L774">
        <v>5.65</v>
      </c>
      <c r="M774">
        <v>2765.95</v>
      </c>
      <c r="N774" t="s">
        <v>58</v>
      </c>
      <c r="O774" t="s">
        <v>25</v>
      </c>
      <c r="P774" t="s">
        <v>165</v>
      </c>
      <c r="Q774" t="s">
        <v>37</v>
      </c>
      <c r="R774" t="s">
        <v>38</v>
      </c>
    </row>
    <row r="775" spans="1:18" x14ac:dyDescent="0.3">
      <c r="A775" t="s">
        <v>1479</v>
      </c>
      <c r="B775" s="13">
        <v>44411</v>
      </c>
      <c r="C775" t="s">
        <v>1480</v>
      </c>
      <c r="D775" t="s">
        <v>574</v>
      </c>
      <c r="E775" t="s">
        <v>691</v>
      </c>
      <c r="F775" t="s">
        <v>89</v>
      </c>
      <c r="G775" t="s">
        <v>268</v>
      </c>
      <c r="H775">
        <v>5</v>
      </c>
      <c r="I775">
        <v>29.2</v>
      </c>
      <c r="J775">
        <v>0.05</v>
      </c>
      <c r="K775">
        <v>0</v>
      </c>
      <c r="L775">
        <v>11.99</v>
      </c>
      <c r="M775">
        <v>150.69</v>
      </c>
      <c r="N775" t="s">
        <v>50</v>
      </c>
      <c r="O775" t="s">
        <v>107</v>
      </c>
      <c r="P775" t="s">
        <v>257</v>
      </c>
      <c r="Q775" t="s">
        <v>69</v>
      </c>
      <c r="R775" t="s">
        <v>183</v>
      </c>
    </row>
    <row r="776" spans="1:18" x14ac:dyDescent="0.3">
      <c r="A776" t="s">
        <v>1487</v>
      </c>
      <c r="B776" s="13">
        <v>44930</v>
      </c>
      <c r="C776" t="s">
        <v>1488</v>
      </c>
      <c r="D776" t="s">
        <v>1176</v>
      </c>
      <c r="E776" t="s">
        <v>106</v>
      </c>
      <c r="F776" t="s">
        <v>89</v>
      </c>
      <c r="G776" t="s">
        <v>57</v>
      </c>
      <c r="H776">
        <v>3</v>
      </c>
      <c r="I776">
        <v>172.75</v>
      </c>
      <c r="J776">
        <v>0</v>
      </c>
      <c r="K776">
        <v>25.91</v>
      </c>
      <c r="L776">
        <v>0.56999999999999995</v>
      </c>
      <c r="M776">
        <v>544.73</v>
      </c>
      <c r="N776" t="s">
        <v>58</v>
      </c>
      <c r="O776" t="s">
        <v>25</v>
      </c>
      <c r="P776" t="s">
        <v>178</v>
      </c>
      <c r="Q776" t="s">
        <v>69</v>
      </c>
      <c r="R776" t="s">
        <v>76</v>
      </c>
    </row>
    <row r="777" spans="1:18" x14ac:dyDescent="0.3">
      <c r="A777" t="s">
        <v>1493</v>
      </c>
      <c r="B777" s="13">
        <v>45289</v>
      </c>
      <c r="C777" t="s">
        <v>1494</v>
      </c>
      <c r="D777" t="s">
        <v>1495</v>
      </c>
      <c r="E777" t="s">
        <v>349</v>
      </c>
      <c r="F777" t="s">
        <v>89</v>
      </c>
      <c r="G777" t="s">
        <v>198</v>
      </c>
      <c r="H777">
        <v>5</v>
      </c>
      <c r="I777">
        <v>365.39</v>
      </c>
      <c r="J777">
        <v>0.2</v>
      </c>
      <c r="K777">
        <v>73.08</v>
      </c>
      <c r="L777">
        <v>13.35</v>
      </c>
      <c r="M777">
        <v>1547.99</v>
      </c>
      <c r="N777" t="s">
        <v>24</v>
      </c>
      <c r="O777" t="s">
        <v>25</v>
      </c>
      <c r="P777" t="s">
        <v>44</v>
      </c>
      <c r="Q777" t="s">
        <v>37</v>
      </c>
      <c r="R777" t="s">
        <v>38</v>
      </c>
    </row>
    <row r="778" spans="1:18" x14ac:dyDescent="0.3">
      <c r="A778" t="s">
        <v>1508</v>
      </c>
      <c r="B778" s="13">
        <v>44901</v>
      </c>
      <c r="C778" t="s">
        <v>1509</v>
      </c>
      <c r="D778" t="s">
        <v>791</v>
      </c>
      <c r="E778" t="s">
        <v>267</v>
      </c>
      <c r="F778" t="s">
        <v>89</v>
      </c>
      <c r="G778" t="s">
        <v>90</v>
      </c>
      <c r="H778">
        <v>1</v>
      </c>
      <c r="I778">
        <v>409.03</v>
      </c>
      <c r="J778">
        <v>0.2</v>
      </c>
      <c r="K778">
        <v>39.270000000000003</v>
      </c>
      <c r="L778">
        <v>2.71</v>
      </c>
      <c r="M778">
        <v>369.2</v>
      </c>
      <c r="N778" t="s">
        <v>50</v>
      </c>
      <c r="O778" t="s">
        <v>25</v>
      </c>
      <c r="P778" t="s">
        <v>83</v>
      </c>
      <c r="Q778" t="s">
        <v>84</v>
      </c>
      <c r="R778" t="s">
        <v>38</v>
      </c>
    </row>
    <row r="779" spans="1:18" x14ac:dyDescent="0.3">
      <c r="A779" t="s">
        <v>1516</v>
      </c>
      <c r="B779" s="13">
        <v>44788</v>
      </c>
      <c r="C779" t="s">
        <v>1517</v>
      </c>
      <c r="D779" t="s">
        <v>360</v>
      </c>
      <c r="E779" t="s">
        <v>231</v>
      </c>
      <c r="F779" t="s">
        <v>89</v>
      </c>
      <c r="G779" t="s">
        <v>23</v>
      </c>
      <c r="H779">
        <v>2</v>
      </c>
      <c r="I779">
        <v>592.01</v>
      </c>
      <c r="J779">
        <v>0.05</v>
      </c>
      <c r="K779">
        <v>89.99</v>
      </c>
      <c r="L779">
        <v>1.49</v>
      </c>
      <c r="M779">
        <v>1216.3</v>
      </c>
      <c r="N779" t="s">
        <v>67</v>
      </c>
      <c r="O779" t="s">
        <v>107</v>
      </c>
      <c r="P779" t="s">
        <v>257</v>
      </c>
      <c r="Q779" t="s">
        <v>69</v>
      </c>
      <c r="R779" t="s">
        <v>28</v>
      </c>
    </row>
    <row r="780" spans="1:18" x14ac:dyDescent="0.3">
      <c r="A780" t="s">
        <v>1558</v>
      </c>
      <c r="B780" s="13">
        <v>44632</v>
      </c>
      <c r="C780" t="s">
        <v>1559</v>
      </c>
      <c r="D780" t="s">
        <v>196</v>
      </c>
      <c r="E780" t="s">
        <v>365</v>
      </c>
      <c r="F780" t="s">
        <v>89</v>
      </c>
      <c r="G780" t="s">
        <v>49</v>
      </c>
      <c r="H780">
        <v>4</v>
      </c>
      <c r="I780">
        <v>339.22</v>
      </c>
      <c r="J780">
        <v>0</v>
      </c>
      <c r="K780">
        <v>0</v>
      </c>
      <c r="L780">
        <v>8.32</v>
      </c>
      <c r="M780">
        <v>1365.2</v>
      </c>
      <c r="N780" t="s">
        <v>123</v>
      </c>
      <c r="O780" t="s">
        <v>25</v>
      </c>
      <c r="P780" t="s">
        <v>178</v>
      </c>
      <c r="Q780" t="s">
        <v>69</v>
      </c>
      <c r="R780" t="s">
        <v>183</v>
      </c>
    </row>
    <row r="781" spans="1:18" x14ac:dyDescent="0.3">
      <c r="A781" t="s">
        <v>1572</v>
      </c>
      <c r="B781" s="13">
        <v>44599</v>
      </c>
      <c r="C781" t="s">
        <v>1573</v>
      </c>
      <c r="D781" t="s">
        <v>181</v>
      </c>
      <c r="E781" t="s">
        <v>56</v>
      </c>
      <c r="F781" t="s">
        <v>89</v>
      </c>
      <c r="G781" t="s">
        <v>100</v>
      </c>
      <c r="H781">
        <v>2</v>
      </c>
      <c r="I781">
        <v>291.54000000000002</v>
      </c>
      <c r="J781">
        <v>0</v>
      </c>
      <c r="K781">
        <v>0</v>
      </c>
      <c r="L781">
        <v>2.78</v>
      </c>
      <c r="M781">
        <v>585.86</v>
      </c>
      <c r="N781" t="s">
        <v>58</v>
      </c>
      <c r="O781" t="s">
        <v>82</v>
      </c>
      <c r="P781" t="s">
        <v>133</v>
      </c>
      <c r="Q781" t="s">
        <v>134</v>
      </c>
      <c r="R781" t="s">
        <v>38</v>
      </c>
    </row>
    <row r="782" spans="1:18" x14ac:dyDescent="0.3">
      <c r="A782" t="s">
        <v>1591</v>
      </c>
      <c r="B782" s="13">
        <v>44327</v>
      </c>
      <c r="C782" t="s">
        <v>1592</v>
      </c>
      <c r="D782" t="s">
        <v>1593</v>
      </c>
      <c r="E782" t="s">
        <v>216</v>
      </c>
      <c r="F782" t="s">
        <v>89</v>
      </c>
      <c r="G782" t="s">
        <v>100</v>
      </c>
      <c r="H782">
        <v>5</v>
      </c>
      <c r="I782">
        <v>214.56</v>
      </c>
      <c r="J782">
        <v>0</v>
      </c>
      <c r="K782">
        <v>128.74</v>
      </c>
      <c r="L782">
        <v>4.45</v>
      </c>
      <c r="M782">
        <v>1205.99</v>
      </c>
      <c r="N782" t="s">
        <v>67</v>
      </c>
      <c r="O782" t="s">
        <v>25</v>
      </c>
      <c r="P782" t="s">
        <v>145</v>
      </c>
      <c r="Q782" t="s">
        <v>146</v>
      </c>
      <c r="R782" t="s">
        <v>28</v>
      </c>
    </row>
    <row r="783" spans="1:18" x14ac:dyDescent="0.3">
      <c r="A783" t="s">
        <v>1620</v>
      </c>
      <c r="B783" s="13">
        <v>45122</v>
      </c>
      <c r="C783" t="s">
        <v>1621</v>
      </c>
      <c r="D783" t="s">
        <v>558</v>
      </c>
      <c r="E783" t="s">
        <v>691</v>
      </c>
      <c r="F783" t="s">
        <v>89</v>
      </c>
      <c r="G783" t="s">
        <v>66</v>
      </c>
      <c r="H783">
        <v>4</v>
      </c>
      <c r="I783">
        <v>370.92</v>
      </c>
      <c r="J783">
        <v>0.2</v>
      </c>
      <c r="K783">
        <v>59.35</v>
      </c>
      <c r="L783">
        <v>4.67</v>
      </c>
      <c r="M783">
        <v>1250.96</v>
      </c>
      <c r="N783" t="s">
        <v>123</v>
      </c>
      <c r="O783" t="s">
        <v>107</v>
      </c>
      <c r="P783" t="s">
        <v>257</v>
      </c>
      <c r="Q783" t="s">
        <v>69</v>
      </c>
      <c r="R783" t="s">
        <v>28</v>
      </c>
    </row>
    <row r="784" spans="1:18" x14ac:dyDescent="0.3">
      <c r="A784" t="s">
        <v>1641</v>
      </c>
      <c r="B784" s="13">
        <v>45156</v>
      </c>
      <c r="C784" t="s">
        <v>1642</v>
      </c>
      <c r="D784" t="s">
        <v>1066</v>
      </c>
      <c r="E784" t="s">
        <v>80</v>
      </c>
      <c r="F784" t="s">
        <v>89</v>
      </c>
      <c r="G784" t="s">
        <v>34</v>
      </c>
      <c r="H784">
        <v>5</v>
      </c>
      <c r="I784">
        <v>484.82</v>
      </c>
      <c r="J784">
        <v>0.1</v>
      </c>
      <c r="K784">
        <v>109.08</v>
      </c>
      <c r="L784">
        <v>9.1199999999999992</v>
      </c>
      <c r="M784">
        <v>2299.89</v>
      </c>
      <c r="N784" t="s">
        <v>58</v>
      </c>
      <c r="O784" t="s">
        <v>25</v>
      </c>
      <c r="P784" t="s">
        <v>60</v>
      </c>
      <c r="Q784" t="s">
        <v>37</v>
      </c>
      <c r="R784" t="s">
        <v>38</v>
      </c>
    </row>
    <row r="785" spans="1:18" x14ac:dyDescent="0.3">
      <c r="A785" t="s">
        <v>1658</v>
      </c>
      <c r="B785" s="13">
        <v>44435</v>
      </c>
      <c r="C785" t="s">
        <v>1659</v>
      </c>
      <c r="D785" t="s">
        <v>828</v>
      </c>
      <c r="E785" t="s">
        <v>294</v>
      </c>
      <c r="F785" t="s">
        <v>89</v>
      </c>
      <c r="G785" t="s">
        <v>49</v>
      </c>
      <c r="H785">
        <v>1</v>
      </c>
      <c r="I785">
        <v>174.15</v>
      </c>
      <c r="J785">
        <v>0.1</v>
      </c>
      <c r="K785">
        <v>28.21</v>
      </c>
      <c r="L785">
        <v>8.6199999999999992</v>
      </c>
      <c r="M785">
        <v>193.57</v>
      </c>
      <c r="N785" t="s">
        <v>35</v>
      </c>
      <c r="O785" t="s">
        <v>25</v>
      </c>
      <c r="P785" t="s">
        <v>165</v>
      </c>
      <c r="Q785" t="s">
        <v>37</v>
      </c>
      <c r="R785" t="s">
        <v>28</v>
      </c>
    </row>
    <row r="786" spans="1:18" x14ac:dyDescent="0.3">
      <c r="A786" t="s">
        <v>1678</v>
      </c>
      <c r="B786" s="13">
        <v>45480</v>
      </c>
      <c r="C786" t="s">
        <v>1679</v>
      </c>
      <c r="D786" t="s">
        <v>469</v>
      </c>
      <c r="E786" t="s">
        <v>271</v>
      </c>
      <c r="F786" t="s">
        <v>89</v>
      </c>
      <c r="G786" t="s">
        <v>66</v>
      </c>
      <c r="H786">
        <v>4</v>
      </c>
      <c r="I786">
        <v>500.88</v>
      </c>
      <c r="J786">
        <v>0.15</v>
      </c>
      <c r="K786">
        <v>85.15</v>
      </c>
      <c r="L786">
        <v>2.61</v>
      </c>
      <c r="M786">
        <v>1790.75</v>
      </c>
      <c r="N786" t="s">
        <v>24</v>
      </c>
      <c r="O786" t="s">
        <v>82</v>
      </c>
      <c r="P786" t="s">
        <v>101</v>
      </c>
      <c r="Q786" t="s">
        <v>102</v>
      </c>
      <c r="R786" t="s">
        <v>28</v>
      </c>
    </row>
    <row r="787" spans="1:18" x14ac:dyDescent="0.3">
      <c r="A787" t="s">
        <v>1688</v>
      </c>
      <c r="B787" s="13">
        <v>45274</v>
      </c>
      <c r="C787" t="s">
        <v>1689</v>
      </c>
      <c r="D787" t="s">
        <v>645</v>
      </c>
      <c r="E787" t="s">
        <v>132</v>
      </c>
      <c r="F787" t="s">
        <v>89</v>
      </c>
      <c r="G787" t="s">
        <v>203</v>
      </c>
      <c r="H787">
        <v>2</v>
      </c>
      <c r="I787">
        <v>415.43</v>
      </c>
      <c r="J787">
        <v>0.15</v>
      </c>
      <c r="K787">
        <v>84.75</v>
      </c>
      <c r="L787">
        <v>7.29</v>
      </c>
      <c r="M787">
        <v>798.27</v>
      </c>
      <c r="N787" t="s">
        <v>67</v>
      </c>
      <c r="O787" t="s">
        <v>144</v>
      </c>
      <c r="P787" t="s">
        <v>112</v>
      </c>
      <c r="Q787" t="s">
        <v>113</v>
      </c>
      <c r="R787" t="s">
        <v>28</v>
      </c>
    </row>
    <row r="788" spans="1:18" x14ac:dyDescent="0.3">
      <c r="A788" t="s">
        <v>1690</v>
      </c>
      <c r="B788" s="13">
        <v>44559</v>
      </c>
      <c r="C788" t="s">
        <v>1691</v>
      </c>
      <c r="D788" t="s">
        <v>1087</v>
      </c>
      <c r="E788" t="s">
        <v>32</v>
      </c>
      <c r="F788" t="s">
        <v>89</v>
      </c>
      <c r="G788" t="s">
        <v>198</v>
      </c>
      <c r="H788">
        <v>1</v>
      </c>
      <c r="I788">
        <v>299.44</v>
      </c>
      <c r="J788">
        <v>0.2</v>
      </c>
      <c r="K788">
        <v>0</v>
      </c>
      <c r="L788">
        <v>12.55</v>
      </c>
      <c r="M788">
        <v>252.1</v>
      </c>
      <c r="N788" t="s">
        <v>67</v>
      </c>
      <c r="O788" t="s">
        <v>25</v>
      </c>
      <c r="P788" t="s">
        <v>133</v>
      </c>
      <c r="Q788" t="s">
        <v>134</v>
      </c>
      <c r="R788" t="s">
        <v>28</v>
      </c>
    </row>
    <row r="789" spans="1:18" x14ac:dyDescent="0.3">
      <c r="A789" t="s">
        <v>1696</v>
      </c>
      <c r="B789" s="13">
        <v>44591</v>
      </c>
      <c r="C789" t="s">
        <v>1697</v>
      </c>
      <c r="D789" t="s">
        <v>785</v>
      </c>
      <c r="E789" t="s">
        <v>80</v>
      </c>
      <c r="F789" t="s">
        <v>89</v>
      </c>
      <c r="G789" t="s">
        <v>100</v>
      </c>
      <c r="H789">
        <v>1</v>
      </c>
      <c r="I789">
        <v>250.92</v>
      </c>
      <c r="J789">
        <v>0.05</v>
      </c>
      <c r="K789">
        <v>42.91</v>
      </c>
      <c r="L789">
        <v>0.25</v>
      </c>
      <c r="M789">
        <v>281.52999999999997</v>
      </c>
      <c r="N789" t="s">
        <v>50</v>
      </c>
      <c r="O789" t="s">
        <v>25</v>
      </c>
      <c r="P789" t="s">
        <v>83</v>
      </c>
      <c r="Q789" t="s">
        <v>84</v>
      </c>
      <c r="R789" t="s">
        <v>38</v>
      </c>
    </row>
    <row r="790" spans="1:18" x14ac:dyDescent="0.3">
      <c r="A790" t="s">
        <v>1717</v>
      </c>
      <c r="B790" s="13">
        <v>44839</v>
      </c>
      <c r="C790" t="s">
        <v>1718</v>
      </c>
      <c r="D790" t="s">
        <v>604</v>
      </c>
      <c r="E790" t="s">
        <v>190</v>
      </c>
      <c r="F790" t="s">
        <v>89</v>
      </c>
      <c r="G790" t="s">
        <v>198</v>
      </c>
      <c r="H790">
        <v>5</v>
      </c>
      <c r="I790">
        <v>226.07</v>
      </c>
      <c r="J790">
        <v>0</v>
      </c>
      <c r="K790">
        <v>90.43</v>
      </c>
      <c r="L790">
        <v>5.75</v>
      </c>
      <c r="M790">
        <v>1226.53</v>
      </c>
      <c r="N790" t="s">
        <v>35</v>
      </c>
      <c r="O790" t="s">
        <v>25</v>
      </c>
      <c r="P790" t="s">
        <v>74</v>
      </c>
      <c r="Q790" t="s">
        <v>75</v>
      </c>
      <c r="R790" t="s">
        <v>38</v>
      </c>
    </row>
    <row r="791" spans="1:18" x14ac:dyDescent="0.3">
      <c r="A791" t="s">
        <v>1719</v>
      </c>
      <c r="B791" s="13">
        <v>43926</v>
      </c>
      <c r="C791" t="s">
        <v>1720</v>
      </c>
      <c r="D791" t="s">
        <v>852</v>
      </c>
      <c r="E791" t="s">
        <v>340</v>
      </c>
      <c r="F791" t="s">
        <v>89</v>
      </c>
      <c r="G791" t="s">
        <v>203</v>
      </c>
      <c r="H791">
        <v>5</v>
      </c>
      <c r="I791">
        <v>168.27</v>
      </c>
      <c r="J791">
        <v>0.1</v>
      </c>
      <c r="K791">
        <v>0</v>
      </c>
      <c r="L791">
        <v>8.52</v>
      </c>
      <c r="M791">
        <v>765.74</v>
      </c>
      <c r="N791" t="s">
        <v>58</v>
      </c>
      <c r="O791" t="s">
        <v>107</v>
      </c>
      <c r="P791" t="s">
        <v>44</v>
      </c>
      <c r="Q791" t="s">
        <v>37</v>
      </c>
      <c r="R791" t="s">
        <v>38</v>
      </c>
    </row>
    <row r="792" spans="1:18" x14ac:dyDescent="0.3">
      <c r="A792" t="s">
        <v>1723</v>
      </c>
      <c r="B792" s="13">
        <v>44493</v>
      </c>
      <c r="C792" t="s">
        <v>1724</v>
      </c>
      <c r="D792" t="s">
        <v>904</v>
      </c>
      <c r="E792" t="s">
        <v>42</v>
      </c>
      <c r="F792" t="s">
        <v>89</v>
      </c>
      <c r="G792" t="s">
        <v>23</v>
      </c>
      <c r="H792">
        <v>5</v>
      </c>
      <c r="I792">
        <v>231.15</v>
      </c>
      <c r="J792">
        <v>0</v>
      </c>
      <c r="K792">
        <v>92.46</v>
      </c>
      <c r="L792">
        <v>4.8499999999999996</v>
      </c>
      <c r="M792">
        <v>1253.06</v>
      </c>
      <c r="N792" t="s">
        <v>24</v>
      </c>
      <c r="O792" t="s">
        <v>25</v>
      </c>
      <c r="P792" t="s">
        <v>68</v>
      </c>
      <c r="Q792" t="s">
        <v>69</v>
      </c>
      <c r="R792" t="s">
        <v>38</v>
      </c>
    </row>
    <row r="793" spans="1:18" x14ac:dyDescent="0.3">
      <c r="A793" t="s">
        <v>1729</v>
      </c>
      <c r="B793" s="13">
        <v>43867</v>
      </c>
      <c r="C793" t="s">
        <v>1730</v>
      </c>
      <c r="D793" t="s">
        <v>168</v>
      </c>
      <c r="E793" t="s">
        <v>99</v>
      </c>
      <c r="F793" t="s">
        <v>89</v>
      </c>
      <c r="G793" t="s">
        <v>57</v>
      </c>
      <c r="H793">
        <v>5</v>
      </c>
      <c r="I793">
        <v>264.33999999999997</v>
      </c>
      <c r="J793">
        <v>0</v>
      </c>
      <c r="K793">
        <v>0</v>
      </c>
      <c r="L793">
        <v>10.32</v>
      </c>
      <c r="M793">
        <v>1332.02</v>
      </c>
      <c r="N793" t="s">
        <v>123</v>
      </c>
      <c r="O793" t="s">
        <v>25</v>
      </c>
      <c r="P793" t="s">
        <v>178</v>
      </c>
      <c r="Q793" t="s">
        <v>69</v>
      </c>
      <c r="R793" t="s">
        <v>183</v>
      </c>
    </row>
    <row r="794" spans="1:18" x14ac:dyDescent="0.3">
      <c r="A794" t="s">
        <v>1756</v>
      </c>
      <c r="B794" s="13">
        <v>45196</v>
      </c>
      <c r="C794" t="s">
        <v>1757</v>
      </c>
      <c r="D794" t="s">
        <v>98</v>
      </c>
      <c r="E794" t="s">
        <v>425</v>
      </c>
      <c r="F794" t="s">
        <v>89</v>
      </c>
      <c r="G794" t="s">
        <v>100</v>
      </c>
      <c r="H794">
        <v>2</v>
      </c>
      <c r="I794">
        <v>487.44</v>
      </c>
      <c r="J794">
        <v>0</v>
      </c>
      <c r="K794">
        <v>77.989999999999995</v>
      </c>
      <c r="L794">
        <v>5.31</v>
      </c>
      <c r="M794">
        <v>1058.18</v>
      </c>
      <c r="N794" t="s">
        <v>123</v>
      </c>
      <c r="O794" t="s">
        <v>144</v>
      </c>
      <c r="P794" t="s">
        <v>68</v>
      </c>
      <c r="Q794" t="s">
        <v>69</v>
      </c>
      <c r="R794" t="s">
        <v>38</v>
      </c>
    </row>
    <row r="795" spans="1:18" x14ac:dyDescent="0.3">
      <c r="A795" t="s">
        <v>1795</v>
      </c>
      <c r="B795" s="13">
        <v>45221</v>
      </c>
      <c r="C795" t="s">
        <v>1796</v>
      </c>
      <c r="D795" t="s">
        <v>445</v>
      </c>
      <c r="E795" t="s">
        <v>577</v>
      </c>
      <c r="F795" t="s">
        <v>89</v>
      </c>
      <c r="G795" t="s">
        <v>198</v>
      </c>
      <c r="H795">
        <v>2</v>
      </c>
      <c r="I795">
        <v>296.23</v>
      </c>
      <c r="J795">
        <v>0.05</v>
      </c>
      <c r="K795">
        <v>67.540000000000006</v>
      </c>
      <c r="L795">
        <v>11.3</v>
      </c>
      <c r="M795">
        <v>641.67999999999995</v>
      </c>
      <c r="N795" t="s">
        <v>35</v>
      </c>
      <c r="O795" t="s">
        <v>25</v>
      </c>
      <c r="P795" t="s">
        <v>112</v>
      </c>
      <c r="Q795" t="s">
        <v>113</v>
      </c>
      <c r="R795" t="s">
        <v>28</v>
      </c>
    </row>
    <row r="796" spans="1:18" x14ac:dyDescent="0.3">
      <c r="A796" t="s">
        <v>1804</v>
      </c>
      <c r="B796" s="13">
        <v>44953</v>
      </c>
      <c r="C796" t="s">
        <v>120</v>
      </c>
      <c r="D796" t="s">
        <v>266</v>
      </c>
      <c r="E796" t="s">
        <v>498</v>
      </c>
      <c r="F796" t="s">
        <v>89</v>
      </c>
      <c r="G796" t="s">
        <v>66</v>
      </c>
      <c r="H796">
        <v>1</v>
      </c>
      <c r="I796">
        <v>123.43</v>
      </c>
      <c r="J796">
        <v>0</v>
      </c>
      <c r="K796">
        <v>22.22</v>
      </c>
      <c r="L796">
        <v>13.52</v>
      </c>
      <c r="M796">
        <v>159.16999999999999</v>
      </c>
      <c r="N796" t="s">
        <v>67</v>
      </c>
      <c r="O796" t="s">
        <v>25</v>
      </c>
      <c r="P796" t="s">
        <v>95</v>
      </c>
      <c r="Q796" t="s">
        <v>37</v>
      </c>
      <c r="R796" t="s">
        <v>38</v>
      </c>
    </row>
    <row r="797" spans="1:18" x14ac:dyDescent="0.3">
      <c r="A797" t="s">
        <v>1819</v>
      </c>
      <c r="B797" s="13">
        <v>45005</v>
      </c>
      <c r="C797" t="s">
        <v>1820</v>
      </c>
      <c r="D797" t="s">
        <v>290</v>
      </c>
      <c r="E797" t="s">
        <v>220</v>
      </c>
      <c r="F797" t="s">
        <v>89</v>
      </c>
      <c r="G797" t="s">
        <v>57</v>
      </c>
      <c r="H797">
        <v>1</v>
      </c>
      <c r="I797">
        <v>346.29</v>
      </c>
      <c r="J797">
        <v>0.3</v>
      </c>
      <c r="K797">
        <v>12.12</v>
      </c>
      <c r="L797">
        <v>9.0399999999999991</v>
      </c>
      <c r="M797">
        <v>263.56</v>
      </c>
      <c r="N797" t="s">
        <v>24</v>
      </c>
      <c r="O797" t="s">
        <v>25</v>
      </c>
      <c r="P797" t="s">
        <v>26</v>
      </c>
      <c r="Q797" t="s">
        <v>27</v>
      </c>
      <c r="R797" t="s">
        <v>38</v>
      </c>
    </row>
    <row r="798" spans="1:18" x14ac:dyDescent="0.3">
      <c r="A798" t="s">
        <v>1821</v>
      </c>
      <c r="B798" s="13">
        <v>44998</v>
      </c>
      <c r="C798" t="s">
        <v>1822</v>
      </c>
      <c r="D798" t="s">
        <v>696</v>
      </c>
      <c r="E798" t="s">
        <v>365</v>
      </c>
      <c r="F798" t="s">
        <v>89</v>
      </c>
      <c r="G798" t="s">
        <v>34</v>
      </c>
      <c r="H798">
        <v>1</v>
      </c>
      <c r="I798">
        <v>408.88</v>
      </c>
      <c r="J798">
        <v>0.05</v>
      </c>
      <c r="K798">
        <v>69.92</v>
      </c>
      <c r="L798">
        <v>3.2</v>
      </c>
      <c r="M798">
        <v>461.56</v>
      </c>
      <c r="N798" t="s">
        <v>24</v>
      </c>
      <c r="O798" t="s">
        <v>25</v>
      </c>
      <c r="P798" t="s">
        <v>165</v>
      </c>
      <c r="Q798" t="s">
        <v>37</v>
      </c>
      <c r="R798" t="s">
        <v>38</v>
      </c>
    </row>
    <row r="799" spans="1:18" x14ac:dyDescent="0.3">
      <c r="A799" t="s">
        <v>1833</v>
      </c>
      <c r="B799" s="13">
        <v>45040</v>
      </c>
      <c r="C799" t="s">
        <v>1834</v>
      </c>
      <c r="D799" t="s">
        <v>517</v>
      </c>
      <c r="E799" t="s">
        <v>32</v>
      </c>
      <c r="F799" t="s">
        <v>89</v>
      </c>
      <c r="G799" t="s">
        <v>203</v>
      </c>
      <c r="H799">
        <v>1</v>
      </c>
      <c r="I799">
        <v>6.85</v>
      </c>
      <c r="J799">
        <v>0.15</v>
      </c>
      <c r="K799">
        <v>0.7</v>
      </c>
      <c r="L799">
        <v>5.57</v>
      </c>
      <c r="M799">
        <v>12.09</v>
      </c>
      <c r="N799" t="s">
        <v>123</v>
      </c>
      <c r="O799" t="s">
        <v>25</v>
      </c>
      <c r="P799" t="s">
        <v>26</v>
      </c>
      <c r="Q799" t="s">
        <v>27</v>
      </c>
      <c r="R799" t="s">
        <v>38</v>
      </c>
    </row>
    <row r="800" spans="1:18" x14ac:dyDescent="0.3">
      <c r="A800" t="s">
        <v>1841</v>
      </c>
      <c r="B800" s="13">
        <v>44464</v>
      </c>
      <c r="C800" t="s">
        <v>1842</v>
      </c>
      <c r="D800" t="s">
        <v>596</v>
      </c>
      <c r="E800" t="s">
        <v>294</v>
      </c>
      <c r="F800" t="s">
        <v>89</v>
      </c>
      <c r="G800" t="s">
        <v>100</v>
      </c>
      <c r="H800">
        <v>5</v>
      </c>
      <c r="I800">
        <v>240.42</v>
      </c>
      <c r="J800">
        <v>0.2</v>
      </c>
      <c r="K800">
        <v>0</v>
      </c>
      <c r="L800">
        <v>12.58</v>
      </c>
      <c r="M800">
        <v>974.26</v>
      </c>
      <c r="N800" t="s">
        <v>24</v>
      </c>
      <c r="O800" t="s">
        <v>25</v>
      </c>
      <c r="P800" t="s">
        <v>44</v>
      </c>
      <c r="Q800" t="s">
        <v>37</v>
      </c>
      <c r="R800" t="s">
        <v>38</v>
      </c>
    </row>
    <row r="801" spans="1:18" x14ac:dyDescent="0.3">
      <c r="A801" t="s">
        <v>1849</v>
      </c>
      <c r="B801" s="13">
        <v>44563</v>
      </c>
      <c r="C801" t="s">
        <v>1850</v>
      </c>
      <c r="D801" t="s">
        <v>477</v>
      </c>
      <c r="E801" t="s">
        <v>111</v>
      </c>
      <c r="F801" t="s">
        <v>89</v>
      </c>
      <c r="G801" t="s">
        <v>100</v>
      </c>
      <c r="H801">
        <v>3</v>
      </c>
      <c r="I801">
        <v>293.74</v>
      </c>
      <c r="J801">
        <v>0.1</v>
      </c>
      <c r="K801">
        <v>39.65</v>
      </c>
      <c r="L801">
        <v>6.29</v>
      </c>
      <c r="M801">
        <v>839.04</v>
      </c>
      <c r="N801" t="s">
        <v>24</v>
      </c>
      <c r="O801" t="s">
        <v>107</v>
      </c>
      <c r="P801" t="s">
        <v>124</v>
      </c>
      <c r="Q801" t="s">
        <v>125</v>
      </c>
      <c r="R801" t="s">
        <v>38</v>
      </c>
    </row>
    <row r="802" spans="1:18" x14ac:dyDescent="0.3">
      <c r="A802" t="s">
        <v>1851</v>
      </c>
      <c r="B802" s="13">
        <v>44065</v>
      </c>
      <c r="C802" t="s">
        <v>1852</v>
      </c>
      <c r="D802" t="s">
        <v>424</v>
      </c>
      <c r="E802" t="s">
        <v>291</v>
      </c>
      <c r="F802" t="s">
        <v>89</v>
      </c>
      <c r="G802" t="s">
        <v>203</v>
      </c>
      <c r="H802">
        <v>5</v>
      </c>
      <c r="I802">
        <v>238.68</v>
      </c>
      <c r="J802">
        <v>0.2</v>
      </c>
      <c r="K802">
        <v>114.57</v>
      </c>
      <c r="L802">
        <v>1.51</v>
      </c>
      <c r="M802">
        <v>1070.8</v>
      </c>
      <c r="N802" t="s">
        <v>50</v>
      </c>
      <c r="O802" t="s">
        <v>25</v>
      </c>
      <c r="P802" t="s">
        <v>173</v>
      </c>
      <c r="Q802" t="s">
        <v>174</v>
      </c>
      <c r="R802" t="s">
        <v>28</v>
      </c>
    </row>
    <row r="803" spans="1:18" x14ac:dyDescent="0.3">
      <c r="A803" t="s">
        <v>1872</v>
      </c>
      <c r="B803" s="13">
        <v>45373</v>
      </c>
      <c r="C803" t="s">
        <v>1873</v>
      </c>
      <c r="D803" t="s">
        <v>511</v>
      </c>
      <c r="E803" t="s">
        <v>271</v>
      </c>
      <c r="F803" t="s">
        <v>89</v>
      </c>
      <c r="G803" t="s">
        <v>23</v>
      </c>
      <c r="H803">
        <v>1</v>
      </c>
      <c r="I803">
        <v>532.46</v>
      </c>
      <c r="J803">
        <v>0.15</v>
      </c>
      <c r="K803">
        <v>36.21</v>
      </c>
      <c r="L803">
        <v>2.8</v>
      </c>
      <c r="M803">
        <v>491.6</v>
      </c>
      <c r="N803" t="s">
        <v>67</v>
      </c>
      <c r="O803" t="s">
        <v>144</v>
      </c>
      <c r="P803" t="s">
        <v>74</v>
      </c>
      <c r="Q803" t="s">
        <v>75</v>
      </c>
      <c r="R803" t="s">
        <v>28</v>
      </c>
    </row>
    <row r="804" spans="1:18" x14ac:dyDescent="0.3">
      <c r="A804" t="s">
        <v>1883</v>
      </c>
      <c r="B804" s="13">
        <v>45247</v>
      </c>
      <c r="C804" t="s">
        <v>1884</v>
      </c>
      <c r="D804" t="s">
        <v>110</v>
      </c>
      <c r="E804" t="s">
        <v>365</v>
      </c>
      <c r="F804" t="s">
        <v>89</v>
      </c>
      <c r="G804" t="s">
        <v>66</v>
      </c>
      <c r="H804">
        <v>4</v>
      </c>
      <c r="I804">
        <v>334.8</v>
      </c>
      <c r="J804">
        <v>0</v>
      </c>
      <c r="K804">
        <v>241.06</v>
      </c>
      <c r="L804">
        <v>6.64</v>
      </c>
      <c r="M804">
        <v>1586.9</v>
      </c>
      <c r="N804" t="s">
        <v>123</v>
      </c>
      <c r="O804" t="s">
        <v>25</v>
      </c>
      <c r="P804" t="s">
        <v>51</v>
      </c>
      <c r="Q804" t="s">
        <v>52</v>
      </c>
      <c r="R804" t="s">
        <v>38</v>
      </c>
    </row>
    <row r="805" spans="1:18" x14ac:dyDescent="0.3">
      <c r="A805" t="s">
        <v>1891</v>
      </c>
      <c r="B805" s="13">
        <v>45048</v>
      </c>
      <c r="C805" t="s">
        <v>1892</v>
      </c>
      <c r="D805" t="s">
        <v>1265</v>
      </c>
      <c r="E805" t="s">
        <v>177</v>
      </c>
      <c r="F805" t="s">
        <v>89</v>
      </c>
      <c r="G805" t="s">
        <v>23</v>
      </c>
      <c r="H805">
        <v>3</v>
      </c>
      <c r="I805">
        <v>596.12</v>
      </c>
      <c r="J805">
        <v>0</v>
      </c>
      <c r="K805">
        <v>143.07</v>
      </c>
      <c r="L805">
        <v>12.15</v>
      </c>
      <c r="M805">
        <v>1943.58</v>
      </c>
      <c r="N805" t="s">
        <v>58</v>
      </c>
      <c r="O805" t="s">
        <v>25</v>
      </c>
      <c r="P805" t="s">
        <v>44</v>
      </c>
      <c r="Q805" t="s">
        <v>37</v>
      </c>
      <c r="R805" t="s">
        <v>61</v>
      </c>
    </row>
    <row r="806" spans="1:18" x14ac:dyDescent="0.3">
      <c r="A806" t="s">
        <v>1924</v>
      </c>
      <c r="B806" s="13">
        <v>44924</v>
      </c>
      <c r="C806" t="s">
        <v>1925</v>
      </c>
      <c r="D806" t="s">
        <v>1003</v>
      </c>
      <c r="E806" t="s">
        <v>138</v>
      </c>
      <c r="F806" t="s">
        <v>89</v>
      </c>
      <c r="G806" t="s">
        <v>198</v>
      </c>
      <c r="H806">
        <v>3</v>
      </c>
      <c r="I806">
        <v>206.81</v>
      </c>
      <c r="J806">
        <v>0</v>
      </c>
      <c r="K806">
        <v>74.45</v>
      </c>
      <c r="L806">
        <v>12.81</v>
      </c>
      <c r="M806">
        <v>707.69</v>
      </c>
      <c r="N806" t="s">
        <v>67</v>
      </c>
      <c r="O806" t="s">
        <v>82</v>
      </c>
      <c r="P806" t="s">
        <v>165</v>
      </c>
      <c r="Q806" t="s">
        <v>37</v>
      </c>
      <c r="R806" t="s">
        <v>28</v>
      </c>
    </row>
    <row r="807" spans="1:18" x14ac:dyDescent="0.3">
      <c r="A807" t="s">
        <v>1945</v>
      </c>
      <c r="B807" s="13">
        <v>43869</v>
      </c>
      <c r="C807" t="s">
        <v>1946</v>
      </c>
      <c r="D807" t="s">
        <v>648</v>
      </c>
      <c r="E807" t="s">
        <v>94</v>
      </c>
      <c r="F807" t="s">
        <v>89</v>
      </c>
      <c r="G807" t="s">
        <v>198</v>
      </c>
      <c r="H807">
        <v>5</v>
      </c>
      <c r="I807">
        <v>109.2</v>
      </c>
      <c r="J807">
        <v>0.05</v>
      </c>
      <c r="K807">
        <v>25.94</v>
      </c>
      <c r="L807">
        <v>4.12</v>
      </c>
      <c r="M807">
        <v>548.76</v>
      </c>
      <c r="N807" t="s">
        <v>123</v>
      </c>
      <c r="O807" t="s">
        <v>25</v>
      </c>
      <c r="P807" t="s">
        <v>68</v>
      </c>
      <c r="Q807" t="s">
        <v>69</v>
      </c>
      <c r="R807" t="s">
        <v>38</v>
      </c>
    </row>
    <row r="808" spans="1:18" x14ac:dyDescent="0.3">
      <c r="A808" t="s">
        <v>1967</v>
      </c>
      <c r="B808" s="13">
        <v>44286</v>
      </c>
      <c r="C808" t="s">
        <v>1968</v>
      </c>
      <c r="D808" t="s">
        <v>1020</v>
      </c>
      <c r="E808" t="s">
        <v>48</v>
      </c>
      <c r="F808" t="s">
        <v>89</v>
      </c>
      <c r="G808" t="s">
        <v>57</v>
      </c>
      <c r="H808">
        <v>5</v>
      </c>
      <c r="I808">
        <v>243.23</v>
      </c>
      <c r="J808">
        <v>0</v>
      </c>
      <c r="K808">
        <v>145.94</v>
      </c>
      <c r="L808">
        <v>14.05</v>
      </c>
      <c r="M808">
        <v>1376.14</v>
      </c>
      <c r="N808" t="s">
        <v>24</v>
      </c>
      <c r="O808" t="s">
        <v>25</v>
      </c>
      <c r="P808" t="s">
        <v>257</v>
      </c>
      <c r="Q808" t="s">
        <v>69</v>
      </c>
      <c r="R808" t="s">
        <v>38</v>
      </c>
    </row>
    <row r="809" spans="1:18" x14ac:dyDescent="0.3">
      <c r="A809" t="s">
        <v>1979</v>
      </c>
      <c r="B809" s="13">
        <v>44178</v>
      </c>
      <c r="C809" t="s">
        <v>1980</v>
      </c>
      <c r="D809" t="s">
        <v>110</v>
      </c>
      <c r="E809" t="s">
        <v>138</v>
      </c>
      <c r="F809" t="s">
        <v>89</v>
      </c>
      <c r="G809" t="s">
        <v>23</v>
      </c>
      <c r="H809">
        <v>3</v>
      </c>
      <c r="I809">
        <v>253.09</v>
      </c>
      <c r="J809">
        <v>0</v>
      </c>
      <c r="K809">
        <v>60.74</v>
      </c>
      <c r="L809">
        <v>14.39</v>
      </c>
      <c r="M809">
        <v>834.4</v>
      </c>
      <c r="N809" t="s">
        <v>123</v>
      </c>
      <c r="O809" t="s">
        <v>25</v>
      </c>
      <c r="P809" t="s">
        <v>150</v>
      </c>
      <c r="Q809" t="s">
        <v>69</v>
      </c>
      <c r="R809" t="s">
        <v>38</v>
      </c>
    </row>
    <row r="810" spans="1:18" x14ac:dyDescent="0.3">
      <c r="A810" t="s">
        <v>1983</v>
      </c>
      <c r="B810" s="13">
        <v>44335</v>
      </c>
      <c r="C810" t="s">
        <v>1984</v>
      </c>
      <c r="D810" t="s">
        <v>260</v>
      </c>
      <c r="E810" t="s">
        <v>132</v>
      </c>
      <c r="F810" t="s">
        <v>89</v>
      </c>
      <c r="G810" t="s">
        <v>34</v>
      </c>
      <c r="H810">
        <v>2</v>
      </c>
      <c r="I810">
        <v>148.81</v>
      </c>
      <c r="J810">
        <v>0</v>
      </c>
      <c r="K810">
        <v>0</v>
      </c>
      <c r="L810">
        <v>9.1</v>
      </c>
      <c r="M810">
        <v>306.72000000000003</v>
      </c>
      <c r="N810" t="s">
        <v>24</v>
      </c>
      <c r="O810" t="s">
        <v>25</v>
      </c>
      <c r="P810" t="s">
        <v>124</v>
      </c>
      <c r="Q810" t="s">
        <v>125</v>
      </c>
      <c r="R810" t="s">
        <v>38</v>
      </c>
    </row>
    <row r="811" spans="1:18" x14ac:dyDescent="0.3">
      <c r="A811" t="s">
        <v>1985</v>
      </c>
      <c r="B811" s="13">
        <v>45045</v>
      </c>
      <c r="C811" t="s">
        <v>1986</v>
      </c>
      <c r="D811" t="s">
        <v>415</v>
      </c>
      <c r="E811" t="s">
        <v>32</v>
      </c>
      <c r="F811" t="s">
        <v>89</v>
      </c>
      <c r="G811" t="s">
        <v>66</v>
      </c>
      <c r="H811">
        <v>1</v>
      </c>
      <c r="I811">
        <v>97.25</v>
      </c>
      <c r="J811">
        <v>0.2</v>
      </c>
      <c r="K811">
        <v>6.22</v>
      </c>
      <c r="L811">
        <v>10.68</v>
      </c>
      <c r="M811">
        <v>94.7</v>
      </c>
      <c r="N811" t="s">
        <v>58</v>
      </c>
      <c r="O811" t="s">
        <v>25</v>
      </c>
      <c r="P811" t="s">
        <v>26</v>
      </c>
      <c r="Q811" t="s">
        <v>27</v>
      </c>
      <c r="R811" t="s">
        <v>38</v>
      </c>
    </row>
    <row r="812" spans="1:18" x14ac:dyDescent="0.3">
      <c r="A812" t="s">
        <v>1987</v>
      </c>
      <c r="B812" s="13">
        <v>45362</v>
      </c>
      <c r="C812" t="s">
        <v>1988</v>
      </c>
      <c r="D812" t="s">
        <v>418</v>
      </c>
      <c r="E812" t="s">
        <v>65</v>
      </c>
      <c r="F812" t="s">
        <v>89</v>
      </c>
      <c r="G812" t="s">
        <v>66</v>
      </c>
      <c r="H812">
        <v>3</v>
      </c>
      <c r="I812">
        <v>396</v>
      </c>
      <c r="J812">
        <v>0.25</v>
      </c>
      <c r="K812">
        <v>71.28</v>
      </c>
      <c r="L812">
        <v>10.07</v>
      </c>
      <c r="M812">
        <v>972.35</v>
      </c>
      <c r="N812" t="s">
        <v>50</v>
      </c>
      <c r="O812" t="s">
        <v>59</v>
      </c>
      <c r="P812" t="s">
        <v>95</v>
      </c>
      <c r="Q812" t="s">
        <v>37</v>
      </c>
      <c r="R812" t="s">
        <v>38</v>
      </c>
    </row>
    <row r="813" spans="1:18" x14ac:dyDescent="0.3">
      <c r="A813" t="s">
        <v>2019</v>
      </c>
      <c r="B813" s="13">
        <v>44716</v>
      </c>
      <c r="C813" t="s">
        <v>2020</v>
      </c>
      <c r="D813" t="s">
        <v>791</v>
      </c>
      <c r="E813" t="s">
        <v>177</v>
      </c>
      <c r="F813" t="s">
        <v>89</v>
      </c>
      <c r="G813" t="s">
        <v>268</v>
      </c>
      <c r="H813">
        <v>1</v>
      </c>
      <c r="I813">
        <v>585.61</v>
      </c>
      <c r="J813">
        <v>0.05</v>
      </c>
      <c r="K813">
        <v>27.82</v>
      </c>
      <c r="L813">
        <v>11.33</v>
      </c>
      <c r="M813">
        <v>595.48</v>
      </c>
      <c r="N813" t="s">
        <v>67</v>
      </c>
      <c r="O813" t="s">
        <v>25</v>
      </c>
      <c r="P813" t="s">
        <v>51</v>
      </c>
      <c r="Q813" t="s">
        <v>52</v>
      </c>
      <c r="R813" t="s">
        <v>38</v>
      </c>
    </row>
    <row r="814" spans="1:18" x14ac:dyDescent="0.3">
      <c r="A814" t="s">
        <v>2025</v>
      </c>
      <c r="B814" s="13">
        <v>44594</v>
      </c>
      <c r="C814" t="s">
        <v>2026</v>
      </c>
      <c r="D814" t="s">
        <v>696</v>
      </c>
      <c r="E814" t="s">
        <v>94</v>
      </c>
      <c r="F814" t="s">
        <v>89</v>
      </c>
      <c r="G814" t="s">
        <v>203</v>
      </c>
      <c r="H814">
        <v>3</v>
      </c>
      <c r="I814">
        <v>385.36</v>
      </c>
      <c r="J814">
        <v>0.05</v>
      </c>
      <c r="K814">
        <v>54.91</v>
      </c>
      <c r="L814">
        <v>13.97</v>
      </c>
      <c r="M814">
        <v>1167.1600000000001</v>
      </c>
      <c r="N814" t="s">
        <v>35</v>
      </c>
      <c r="O814" t="s">
        <v>25</v>
      </c>
      <c r="P814" t="s">
        <v>117</v>
      </c>
      <c r="Q814" t="s">
        <v>118</v>
      </c>
      <c r="R814" t="s">
        <v>38</v>
      </c>
    </row>
    <row r="815" spans="1:18" x14ac:dyDescent="0.3">
      <c r="A815" t="s">
        <v>2041</v>
      </c>
      <c r="B815" s="13">
        <v>43877</v>
      </c>
      <c r="C815" t="s">
        <v>2042</v>
      </c>
      <c r="D815" t="s">
        <v>497</v>
      </c>
      <c r="E815" t="s">
        <v>294</v>
      </c>
      <c r="F815" t="s">
        <v>89</v>
      </c>
      <c r="G815" t="s">
        <v>49</v>
      </c>
      <c r="H815">
        <v>2</v>
      </c>
      <c r="I815">
        <v>444.34</v>
      </c>
      <c r="J815">
        <v>0</v>
      </c>
      <c r="K815">
        <v>44.43</v>
      </c>
      <c r="L815">
        <v>4.2300000000000004</v>
      </c>
      <c r="M815">
        <v>937.34</v>
      </c>
      <c r="N815" t="s">
        <v>58</v>
      </c>
      <c r="O815" t="s">
        <v>25</v>
      </c>
      <c r="P815" t="s">
        <v>68</v>
      </c>
      <c r="Q815" t="s">
        <v>69</v>
      </c>
      <c r="R815" t="s">
        <v>38</v>
      </c>
    </row>
    <row r="816" spans="1:18" x14ac:dyDescent="0.3">
      <c r="A816" t="s">
        <v>2052</v>
      </c>
      <c r="B816" s="13">
        <v>45367</v>
      </c>
      <c r="C816" t="s">
        <v>2053</v>
      </c>
      <c r="D816" t="s">
        <v>589</v>
      </c>
      <c r="E816" t="s">
        <v>182</v>
      </c>
      <c r="F816" t="s">
        <v>89</v>
      </c>
      <c r="G816" t="s">
        <v>34</v>
      </c>
      <c r="H816">
        <v>1</v>
      </c>
      <c r="I816">
        <v>259.39</v>
      </c>
      <c r="J816">
        <v>0</v>
      </c>
      <c r="K816">
        <v>20.75</v>
      </c>
      <c r="L816">
        <v>7.95</v>
      </c>
      <c r="M816">
        <v>288.08999999999997</v>
      </c>
      <c r="N816" t="s">
        <v>24</v>
      </c>
      <c r="O816" t="s">
        <v>25</v>
      </c>
      <c r="P816" t="s">
        <v>257</v>
      </c>
      <c r="Q816" t="s">
        <v>69</v>
      </c>
      <c r="R816" t="s">
        <v>38</v>
      </c>
    </row>
    <row r="817" spans="1:18" x14ac:dyDescent="0.3">
      <c r="A817" t="s">
        <v>2062</v>
      </c>
      <c r="B817" s="13">
        <v>44301</v>
      </c>
      <c r="C817" t="s">
        <v>2063</v>
      </c>
      <c r="D817" t="s">
        <v>290</v>
      </c>
      <c r="E817" t="s">
        <v>65</v>
      </c>
      <c r="F817" t="s">
        <v>89</v>
      </c>
      <c r="G817" t="s">
        <v>268</v>
      </c>
      <c r="H817">
        <v>5</v>
      </c>
      <c r="I817">
        <v>525.72</v>
      </c>
      <c r="J817">
        <v>0.05</v>
      </c>
      <c r="K817">
        <v>199.77</v>
      </c>
      <c r="L817">
        <v>7.45</v>
      </c>
      <c r="M817">
        <v>2704.39</v>
      </c>
      <c r="N817" t="s">
        <v>123</v>
      </c>
      <c r="O817" t="s">
        <v>107</v>
      </c>
      <c r="P817" t="s">
        <v>117</v>
      </c>
      <c r="Q817" t="s">
        <v>118</v>
      </c>
      <c r="R817" t="s">
        <v>38</v>
      </c>
    </row>
    <row r="818" spans="1:18" x14ac:dyDescent="0.3">
      <c r="A818" t="s">
        <v>2082</v>
      </c>
      <c r="B818" s="13">
        <v>44498</v>
      </c>
      <c r="C818" t="s">
        <v>2083</v>
      </c>
      <c r="D818" t="s">
        <v>457</v>
      </c>
      <c r="E818" t="s">
        <v>156</v>
      </c>
      <c r="F818" t="s">
        <v>89</v>
      </c>
      <c r="G818" t="s">
        <v>34</v>
      </c>
      <c r="H818">
        <v>2</v>
      </c>
      <c r="I818">
        <v>110.53</v>
      </c>
      <c r="J818">
        <v>0.15</v>
      </c>
      <c r="K818">
        <v>9.4</v>
      </c>
      <c r="L818">
        <v>6.03</v>
      </c>
      <c r="M818">
        <v>203.33</v>
      </c>
      <c r="N818" t="s">
        <v>24</v>
      </c>
      <c r="O818" t="s">
        <v>25</v>
      </c>
      <c r="P818" t="s">
        <v>83</v>
      </c>
      <c r="Q818" t="s">
        <v>84</v>
      </c>
      <c r="R818" t="s">
        <v>28</v>
      </c>
    </row>
    <row r="819" spans="1:18" x14ac:dyDescent="0.3">
      <c r="A819" t="s">
        <v>2088</v>
      </c>
      <c r="B819" s="13">
        <v>44976</v>
      </c>
      <c r="C819" t="s">
        <v>2089</v>
      </c>
      <c r="D819" t="s">
        <v>517</v>
      </c>
      <c r="E819" t="s">
        <v>231</v>
      </c>
      <c r="F819" t="s">
        <v>89</v>
      </c>
      <c r="G819" t="s">
        <v>57</v>
      </c>
      <c r="H819">
        <v>3</v>
      </c>
      <c r="I819">
        <v>552.08000000000004</v>
      </c>
      <c r="J819">
        <v>0</v>
      </c>
      <c r="K819">
        <v>132.5</v>
      </c>
      <c r="L819">
        <v>12.79</v>
      </c>
      <c r="M819">
        <v>1801.53</v>
      </c>
      <c r="N819" t="s">
        <v>58</v>
      </c>
      <c r="O819" t="s">
        <v>25</v>
      </c>
      <c r="P819" t="s">
        <v>83</v>
      </c>
      <c r="Q819" t="s">
        <v>84</v>
      </c>
      <c r="R819" t="s">
        <v>38</v>
      </c>
    </row>
    <row r="820" spans="1:18" x14ac:dyDescent="0.3">
      <c r="A820" t="s">
        <v>2098</v>
      </c>
      <c r="B820" s="13">
        <v>44528</v>
      </c>
      <c r="C820" t="s">
        <v>2099</v>
      </c>
      <c r="D820" t="s">
        <v>582</v>
      </c>
      <c r="E820" t="s">
        <v>182</v>
      </c>
      <c r="F820" t="s">
        <v>89</v>
      </c>
      <c r="G820" t="s">
        <v>34</v>
      </c>
      <c r="H820">
        <v>1</v>
      </c>
      <c r="I820">
        <v>62.61</v>
      </c>
      <c r="J820">
        <v>0.1</v>
      </c>
      <c r="K820">
        <v>2.82</v>
      </c>
      <c r="L820">
        <v>14.04</v>
      </c>
      <c r="M820">
        <v>73.209999999999994</v>
      </c>
      <c r="N820" t="s">
        <v>35</v>
      </c>
      <c r="O820" t="s">
        <v>25</v>
      </c>
      <c r="P820" t="s">
        <v>44</v>
      </c>
      <c r="Q820" t="s">
        <v>37</v>
      </c>
      <c r="R820" t="s">
        <v>38</v>
      </c>
    </row>
    <row r="821" spans="1:18" x14ac:dyDescent="0.3">
      <c r="A821" t="s">
        <v>2102</v>
      </c>
      <c r="B821" s="13">
        <v>45032</v>
      </c>
      <c r="C821" t="s">
        <v>2103</v>
      </c>
      <c r="D821" t="s">
        <v>1801</v>
      </c>
      <c r="E821" t="s">
        <v>324</v>
      </c>
      <c r="F821" t="s">
        <v>89</v>
      </c>
      <c r="G821" t="s">
        <v>49</v>
      </c>
      <c r="H821">
        <v>1</v>
      </c>
      <c r="I821">
        <v>123.14</v>
      </c>
      <c r="J821">
        <v>0.05</v>
      </c>
      <c r="K821">
        <v>5.85</v>
      </c>
      <c r="L821">
        <v>9.1999999999999993</v>
      </c>
      <c r="M821">
        <v>132.03</v>
      </c>
      <c r="N821" t="s">
        <v>67</v>
      </c>
      <c r="O821" t="s">
        <v>82</v>
      </c>
      <c r="P821" t="s">
        <v>165</v>
      </c>
      <c r="Q821" t="s">
        <v>37</v>
      </c>
      <c r="R821" t="s">
        <v>28</v>
      </c>
    </row>
    <row r="822" spans="1:18" x14ac:dyDescent="0.3">
      <c r="A822" t="s">
        <v>2123</v>
      </c>
      <c r="B822" s="13">
        <v>44759</v>
      </c>
      <c r="C822" t="s">
        <v>2124</v>
      </c>
      <c r="D822" t="s">
        <v>504</v>
      </c>
      <c r="E822" t="s">
        <v>294</v>
      </c>
      <c r="F822" t="s">
        <v>89</v>
      </c>
      <c r="G822" t="s">
        <v>198</v>
      </c>
      <c r="H822">
        <v>3</v>
      </c>
      <c r="I822">
        <v>243.82</v>
      </c>
      <c r="J822">
        <v>0.1</v>
      </c>
      <c r="K822">
        <v>79</v>
      </c>
      <c r="L822">
        <v>13.53</v>
      </c>
      <c r="M822">
        <v>750.84</v>
      </c>
      <c r="N822" t="s">
        <v>58</v>
      </c>
      <c r="O822" t="s">
        <v>25</v>
      </c>
      <c r="P822" t="s">
        <v>83</v>
      </c>
      <c r="Q822" t="s">
        <v>84</v>
      </c>
      <c r="R822" t="s">
        <v>38</v>
      </c>
    </row>
    <row r="823" spans="1:18" x14ac:dyDescent="0.3">
      <c r="A823" t="s">
        <v>2127</v>
      </c>
      <c r="B823" s="13">
        <v>44291</v>
      </c>
      <c r="C823" t="s">
        <v>2128</v>
      </c>
      <c r="D823" t="s">
        <v>1882</v>
      </c>
      <c r="E823" t="s">
        <v>48</v>
      </c>
      <c r="F823" t="s">
        <v>89</v>
      </c>
      <c r="G823" t="s">
        <v>203</v>
      </c>
      <c r="H823">
        <v>1</v>
      </c>
      <c r="I823">
        <v>456.37</v>
      </c>
      <c r="J823">
        <v>0</v>
      </c>
      <c r="K823">
        <v>36.51</v>
      </c>
      <c r="L823">
        <v>14.33</v>
      </c>
      <c r="M823">
        <v>507.21</v>
      </c>
      <c r="N823" t="s">
        <v>58</v>
      </c>
      <c r="O823" t="s">
        <v>25</v>
      </c>
      <c r="P823" t="s">
        <v>36</v>
      </c>
      <c r="Q823" t="s">
        <v>37</v>
      </c>
      <c r="R823" t="s">
        <v>28</v>
      </c>
    </row>
    <row r="824" spans="1:18" x14ac:dyDescent="0.3">
      <c r="A824" t="s">
        <v>2129</v>
      </c>
      <c r="B824" s="13">
        <v>44562</v>
      </c>
      <c r="C824" t="s">
        <v>2130</v>
      </c>
      <c r="D824" t="s">
        <v>868</v>
      </c>
      <c r="E824" t="s">
        <v>182</v>
      </c>
      <c r="F824" t="s">
        <v>89</v>
      </c>
      <c r="G824" t="s">
        <v>23</v>
      </c>
      <c r="H824">
        <v>3</v>
      </c>
      <c r="I824">
        <v>306.08</v>
      </c>
      <c r="J824">
        <v>0.1</v>
      </c>
      <c r="K824">
        <v>66.11</v>
      </c>
      <c r="L824">
        <v>8.1999999999999993</v>
      </c>
      <c r="M824">
        <v>900.73</v>
      </c>
      <c r="N824" t="s">
        <v>24</v>
      </c>
      <c r="O824" t="s">
        <v>25</v>
      </c>
      <c r="P824" t="s">
        <v>95</v>
      </c>
      <c r="Q824" t="s">
        <v>37</v>
      </c>
      <c r="R824" t="s">
        <v>183</v>
      </c>
    </row>
    <row r="825" spans="1:18" x14ac:dyDescent="0.3">
      <c r="A825" t="s">
        <v>2131</v>
      </c>
      <c r="B825" s="13">
        <v>44582</v>
      </c>
      <c r="C825" t="s">
        <v>2132</v>
      </c>
      <c r="D825" t="s">
        <v>116</v>
      </c>
      <c r="E825" t="s">
        <v>169</v>
      </c>
      <c r="F825" t="s">
        <v>89</v>
      </c>
      <c r="G825" t="s">
        <v>203</v>
      </c>
      <c r="H825">
        <v>3</v>
      </c>
      <c r="I825">
        <v>346.32</v>
      </c>
      <c r="J825">
        <v>0</v>
      </c>
      <c r="K825">
        <v>83.12</v>
      </c>
      <c r="L825">
        <v>13.1</v>
      </c>
      <c r="M825">
        <v>1135.18</v>
      </c>
      <c r="N825" t="s">
        <v>35</v>
      </c>
      <c r="O825" t="s">
        <v>25</v>
      </c>
      <c r="P825" t="s">
        <v>173</v>
      </c>
      <c r="Q825" t="s">
        <v>174</v>
      </c>
      <c r="R825" t="s">
        <v>28</v>
      </c>
    </row>
    <row r="826" spans="1:18" x14ac:dyDescent="0.3">
      <c r="A826" t="s">
        <v>2150</v>
      </c>
      <c r="B826" s="13">
        <v>44539</v>
      </c>
      <c r="C826" t="s">
        <v>2151</v>
      </c>
      <c r="D826" t="s">
        <v>212</v>
      </c>
      <c r="E826" t="s">
        <v>349</v>
      </c>
      <c r="F826" t="s">
        <v>89</v>
      </c>
      <c r="G826" t="s">
        <v>66</v>
      </c>
      <c r="H826">
        <v>1</v>
      </c>
      <c r="I826">
        <v>154.47</v>
      </c>
      <c r="J826">
        <v>0.05</v>
      </c>
      <c r="K826">
        <v>11.74</v>
      </c>
      <c r="L826">
        <v>3.54</v>
      </c>
      <c r="M826">
        <v>162.03</v>
      </c>
      <c r="N826" t="s">
        <v>58</v>
      </c>
      <c r="O826" t="s">
        <v>82</v>
      </c>
      <c r="P826" t="s">
        <v>257</v>
      </c>
      <c r="Q826" t="s">
        <v>69</v>
      </c>
      <c r="R826" t="s">
        <v>38</v>
      </c>
    </row>
    <row r="827" spans="1:18" x14ac:dyDescent="0.3">
      <c r="A827" t="s">
        <v>2162</v>
      </c>
      <c r="B827" s="13">
        <v>45105</v>
      </c>
      <c r="C827" t="s">
        <v>2163</v>
      </c>
      <c r="D827" t="s">
        <v>128</v>
      </c>
      <c r="E827" t="s">
        <v>437</v>
      </c>
      <c r="F827" t="s">
        <v>89</v>
      </c>
      <c r="G827" t="s">
        <v>100</v>
      </c>
      <c r="H827">
        <v>4</v>
      </c>
      <c r="I827">
        <v>296.88</v>
      </c>
      <c r="J827">
        <v>0.1</v>
      </c>
      <c r="K827">
        <v>53.44</v>
      </c>
      <c r="L827">
        <v>1.53</v>
      </c>
      <c r="M827">
        <v>1123.74</v>
      </c>
      <c r="N827" t="s">
        <v>35</v>
      </c>
      <c r="O827" t="s">
        <v>25</v>
      </c>
      <c r="P827" t="s">
        <v>173</v>
      </c>
      <c r="Q827" t="s">
        <v>174</v>
      </c>
      <c r="R827" t="s">
        <v>61</v>
      </c>
    </row>
    <row r="828" spans="1:18" x14ac:dyDescent="0.3">
      <c r="A828" t="s">
        <v>2178</v>
      </c>
      <c r="B828" s="13">
        <v>43976</v>
      </c>
      <c r="C828" t="s">
        <v>2179</v>
      </c>
      <c r="D828" t="s">
        <v>141</v>
      </c>
      <c r="E828" t="s">
        <v>202</v>
      </c>
      <c r="F828" t="s">
        <v>89</v>
      </c>
      <c r="G828" t="s">
        <v>34</v>
      </c>
      <c r="H828">
        <v>2</v>
      </c>
      <c r="I828">
        <v>236.84</v>
      </c>
      <c r="J828">
        <v>0.25</v>
      </c>
      <c r="K828">
        <v>28.42</v>
      </c>
      <c r="L828">
        <v>9.26</v>
      </c>
      <c r="M828">
        <v>392.94</v>
      </c>
      <c r="N828" t="s">
        <v>24</v>
      </c>
      <c r="O828" t="s">
        <v>82</v>
      </c>
      <c r="P828" t="s">
        <v>74</v>
      </c>
      <c r="Q828" t="s">
        <v>75</v>
      </c>
      <c r="R828" t="s">
        <v>38</v>
      </c>
    </row>
    <row r="829" spans="1:18" x14ac:dyDescent="0.3">
      <c r="A829" t="s">
        <v>2182</v>
      </c>
      <c r="B829" s="13">
        <v>45093</v>
      </c>
      <c r="C829" t="s">
        <v>2183</v>
      </c>
      <c r="D829" t="s">
        <v>520</v>
      </c>
      <c r="E829" t="s">
        <v>271</v>
      </c>
      <c r="F829" t="s">
        <v>89</v>
      </c>
      <c r="G829" t="s">
        <v>100</v>
      </c>
      <c r="H829">
        <v>5</v>
      </c>
      <c r="I829">
        <v>62.9</v>
      </c>
      <c r="J829">
        <v>0.1</v>
      </c>
      <c r="K829">
        <v>33.97</v>
      </c>
      <c r="L829">
        <v>7.71</v>
      </c>
      <c r="M829">
        <v>324.73</v>
      </c>
      <c r="N829" t="s">
        <v>58</v>
      </c>
      <c r="O829" t="s">
        <v>25</v>
      </c>
      <c r="P829" t="s">
        <v>124</v>
      </c>
      <c r="Q829" t="s">
        <v>125</v>
      </c>
      <c r="R829" t="s">
        <v>38</v>
      </c>
    </row>
    <row r="830" spans="1:18" x14ac:dyDescent="0.3">
      <c r="A830" t="s">
        <v>2206</v>
      </c>
      <c r="B830" s="13">
        <v>43935</v>
      </c>
      <c r="C830" t="s">
        <v>2207</v>
      </c>
      <c r="D830" t="s">
        <v>436</v>
      </c>
      <c r="E830" t="s">
        <v>88</v>
      </c>
      <c r="F830" t="s">
        <v>89</v>
      </c>
      <c r="G830" t="s">
        <v>203</v>
      </c>
      <c r="H830">
        <v>4</v>
      </c>
      <c r="I830">
        <v>493.36</v>
      </c>
      <c r="J830">
        <v>0.15</v>
      </c>
      <c r="K830">
        <v>83.87</v>
      </c>
      <c r="L830">
        <v>9.56</v>
      </c>
      <c r="M830">
        <v>1770.85</v>
      </c>
      <c r="N830" t="s">
        <v>123</v>
      </c>
      <c r="O830" t="s">
        <v>25</v>
      </c>
      <c r="P830" t="s">
        <v>178</v>
      </c>
      <c r="Q830" t="s">
        <v>69</v>
      </c>
      <c r="R830" t="s">
        <v>38</v>
      </c>
    </row>
    <row r="831" spans="1:18" x14ac:dyDescent="0.3">
      <c r="A831" t="s">
        <v>2210</v>
      </c>
      <c r="B831" s="13">
        <v>44341</v>
      </c>
      <c r="C831" t="s">
        <v>2211</v>
      </c>
      <c r="D831" t="s">
        <v>193</v>
      </c>
      <c r="E831" t="s">
        <v>267</v>
      </c>
      <c r="F831" t="s">
        <v>89</v>
      </c>
      <c r="G831" t="s">
        <v>268</v>
      </c>
      <c r="H831">
        <v>1</v>
      </c>
      <c r="I831">
        <v>233.92</v>
      </c>
      <c r="J831">
        <v>0</v>
      </c>
      <c r="K831">
        <v>28.07</v>
      </c>
      <c r="L831">
        <v>6.1</v>
      </c>
      <c r="M831">
        <v>268.08999999999997</v>
      </c>
      <c r="N831" t="s">
        <v>35</v>
      </c>
      <c r="O831" t="s">
        <v>25</v>
      </c>
      <c r="P831" t="s">
        <v>95</v>
      </c>
      <c r="Q831" t="s">
        <v>37</v>
      </c>
      <c r="R831" t="s">
        <v>76</v>
      </c>
    </row>
    <row r="832" spans="1:18" x14ac:dyDescent="0.3">
      <c r="A832" t="s">
        <v>2222</v>
      </c>
      <c r="B832" s="13">
        <v>44539</v>
      </c>
      <c r="C832" t="s">
        <v>2223</v>
      </c>
      <c r="D832" t="s">
        <v>242</v>
      </c>
      <c r="E832" t="s">
        <v>577</v>
      </c>
      <c r="F832" t="s">
        <v>89</v>
      </c>
      <c r="G832" t="s">
        <v>198</v>
      </c>
      <c r="H832">
        <v>1</v>
      </c>
      <c r="I832">
        <v>297.12</v>
      </c>
      <c r="J832">
        <v>0</v>
      </c>
      <c r="K832">
        <v>14.86</v>
      </c>
      <c r="L832">
        <v>6.85</v>
      </c>
      <c r="M832">
        <v>318.83</v>
      </c>
      <c r="N832" t="s">
        <v>35</v>
      </c>
      <c r="O832" t="s">
        <v>82</v>
      </c>
      <c r="P832" t="s">
        <v>51</v>
      </c>
      <c r="Q832" t="s">
        <v>52</v>
      </c>
      <c r="R832" t="s">
        <v>38</v>
      </c>
    </row>
    <row r="833" spans="1:18" x14ac:dyDescent="0.3">
      <c r="A833" t="s">
        <v>2230</v>
      </c>
      <c r="B833" s="13">
        <v>44877</v>
      </c>
      <c r="C833" t="s">
        <v>2231</v>
      </c>
      <c r="D833" t="s">
        <v>252</v>
      </c>
      <c r="E833" t="s">
        <v>197</v>
      </c>
      <c r="F833" t="s">
        <v>89</v>
      </c>
      <c r="G833" t="s">
        <v>268</v>
      </c>
      <c r="H833">
        <v>3</v>
      </c>
      <c r="I833">
        <v>205.31</v>
      </c>
      <c r="J833">
        <v>0</v>
      </c>
      <c r="K833">
        <v>73.91</v>
      </c>
      <c r="L833">
        <v>11.44</v>
      </c>
      <c r="M833">
        <v>701.28</v>
      </c>
      <c r="N833" t="s">
        <v>58</v>
      </c>
      <c r="O833" t="s">
        <v>25</v>
      </c>
      <c r="P833" t="s">
        <v>60</v>
      </c>
      <c r="Q833" t="s">
        <v>37</v>
      </c>
      <c r="R833" t="s">
        <v>38</v>
      </c>
    </row>
    <row r="834" spans="1:18" x14ac:dyDescent="0.3">
      <c r="A834" t="s">
        <v>2234</v>
      </c>
      <c r="B834" s="13">
        <v>45419</v>
      </c>
      <c r="C834" t="s">
        <v>2235</v>
      </c>
      <c r="D834" t="s">
        <v>852</v>
      </c>
      <c r="E834" t="s">
        <v>94</v>
      </c>
      <c r="F834" t="s">
        <v>89</v>
      </c>
      <c r="G834" t="s">
        <v>198</v>
      </c>
      <c r="H834">
        <v>2</v>
      </c>
      <c r="I834">
        <v>306.14999999999998</v>
      </c>
      <c r="J834">
        <v>0.05</v>
      </c>
      <c r="K834">
        <v>46.53</v>
      </c>
      <c r="L834">
        <v>13.86</v>
      </c>
      <c r="M834">
        <v>642.07000000000005</v>
      </c>
      <c r="N834" t="s">
        <v>24</v>
      </c>
      <c r="O834" t="s">
        <v>25</v>
      </c>
      <c r="P834" t="s">
        <v>74</v>
      </c>
      <c r="Q834" t="s">
        <v>75</v>
      </c>
      <c r="R834" t="s">
        <v>38</v>
      </c>
    </row>
    <row r="835" spans="1:18" x14ac:dyDescent="0.3">
      <c r="A835" t="s">
        <v>2247</v>
      </c>
      <c r="B835" s="13">
        <v>44939</v>
      </c>
      <c r="C835" t="s">
        <v>2248</v>
      </c>
      <c r="D835" t="s">
        <v>389</v>
      </c>
      <c r="E835" t="s">
        <v>122</v>
      </c>
      <c r="F835" t="s">
        <v>89</v>
      </c>
      <c r="G835" t="s">
        <v>23</v>
      </c>
      <c r="H835">
        <v>4</v>
      </c>
      <c r="I835">
        <v>530.36</v>
      </c>
      <c r="J835">
        <v>0.2</v>
      </c>
      <c r="K835">
        <v>84.86</v>
      </c>
      <c r="L835">
        <v>10.1</v>
      </c>
      <c r="M835">
        <v>1792.11</v>
      </c>
      <c r="N835" t="s">
        <v>24</v>
      </c>
      <c r="O835" t="s">
        <v>25</v>
      </c>
      <c r="P835" t="s">
        <v>173</v>
      </c>
      <c r="Q835" t="s">
        <v>174</v>
      </c>
      <c r="R835" t="s">
        <v>38</v>
      </c>
    </row>
    <row r="836" spans="1:18" x14ac:dyDescent="0.3">
      <c r="A836" t="s">
        <v>2261</v>
      </c>
      <c r="B836" s="13">
        <v>45626</v>
      </c>
      <c r="C836" t="s">
        <v>2262</v>
      </c>
      <c r="D836" t="s">
        <v>1632</v>
      </c>
      <c r="E836" t="s">
        <v>48</v>
      </c>
      <c r="F836" t="s">
        <v>89</v>
      </c>
      <c r="G836" t="s">
        <v>268</v>
      </c>
      <c r="H836">
        <v>1</v>
      </c>
      <c r="I836">
        <v>566.76</v>
      </c>
      <c r="J836">
        <v>0</v>
      </c>
      <c r="K836">
        <v>68.010000000000005</v>
      </c>
      <c r="L836">
        <v>12.09</v>
      </c>
      <c r="M836">
        <v>646.86</v>
      </c>
      <c r="N836" t="s">
        <v>58</v>
      </c>
      <c r="O836" t="s">
        <v>107</v>
      </c>
      <c r="P836" t="s">
        <v>36</v>
      </c>
      <c r="Q836" t="s">
        <v>37</v>
      </c>
      <c r="R836" t="s">
        <v>38</v>
      </c>
    </row>
    <row r="837" spans="1:18" x14ac:dyDescent="0.3">
      <c r="A837" t="s">
        <v>2269</v>
      </c>
      <c r="B837" s="13">
        <v>44318</v>
      </c>
      <c r="C837" t="s">
        <v>989</v>
      </c>
      <c r="D837" t="s">
        <v>357</v>
      </c>
      <c r="E837" t="s">
        <v>32</v>
      </c>
      <c r="F837" t="s">
        <v>89</v>
      </c>
      <c r="G837" t="s">
        <v>203</v>
      </c>
      <c r="H837">
        <v>3</v>
      </c>
      <c r="I837">
        <v>232.1</v>
      </c>
      <c r="J837">
        <v>0.2</v>
      </c>
      <c r="K837">
        <v>27.85</v>
      </c>
      <c r="L837">
        <v>7.52</v>
      </c>
      <c r="M837">
        <v>592.41</v>
      </c>
      <c r="N837" t="s">
        <v>67</v>
      </c>
      <c r="O837" t="s">
        <v>25</v>
      </c>
      <c r="P837" t="s">
        <v>257</v>
      </c>
      <c r="Q837" t="s">
        <v>69</v>
      </c>
      <c r="R837" t="s">
        <v>38</v>
      </c>
    </row>
    <row r="838" spans="1:18" x14ac:dyDescent="0.3">
      <c r="A838" t="s">
        <v>2284</v>
      </c>
      <c r="B838" s="13">
        <v>44080</v>
      </c>
      <c r="C838" t="s">
        <v>2285</v>
      </c>
      <c r="D838" t="s">
        <v>282</v>
      </c>
      <c r="E838" t="s">
        <v>132</v>
      </c>
      <c r="F838" t="s">
        <v>89</v>
      </c>
      <c r="G838" t="s">
        <v>198</v>
      </c>
      <c r="H838">
        <v>5</v>
      </c>
      <c r="I838">
        <v>504.78</v>
      </c>
      <c r="J838">
        <v>0</v>
      </c>
      <c r="K838">
        <v>201.91</v>
      </c>
      <c r="L838">
        <v>3.27</v>
      </c>
      <c r="M838">
        <v>2729.08</v>
      </c>
      <c r="N838" t="s">
        <v>123</v>
      </c>
      <c r="O838" t="s">
        <v>25</v>
      </c>
      <c r="P838" t="s">
        <v>95</v>
      </c>
      <c r="Q838" t="s">
        <v>37</v>
      </c>
      <c r="R838" t="s">
        <v>38</v>
      </c>
    </row>
    <row r="839" spans="1:18" x14ac:dyDescent="0.3">
      <c r="A839" t="s">
        <v>2286</v>
      </c>
      <c r="B839" s="13">
        <v>44504</v>
      </c>
      <c r="C839" t="s">
        <v>2287</v>
      </c>
      <c r="D839" t="s">
        <v>320</v>
      </c>
      <c r="E839" t="s">
        <v>56</v>
      </c>
      <c r="F839" t="s">
        <v>89</v>
      </c>
      <c r="G839" t="s">
        <v>66</v>
      </c>
      <c r="H839">
        <v>4</v>
      </c>
      <c r="I839">
        <v>214.2</v>
      </c>
      <c r="J839">
        <v>0</v>
      </c>
      <c r="K839">
        <v>102.82</v>
      </c>
      <c r="L839">
        <v>9.9600000000000009</v>
      </c>
      <c r="M839">
        <v>969.58</v>
      </c>
      <c r="N839" t="s">
        <v>67</v>
      </c>
      <c r="O839" t="s">
        <v>25</v>
      </c>
      <c r="P839" t="s">
        <v>165</v>
      </c>
      <c r="Q839" t="s">
        <v>37</v>
      </c>
      <c r="R839" t="s">
        <v>28</v>
      </c>
    </row>
    <row r="840" spans="1:18" x14ac:dyDescent="0.3">
      <c r="A840" t="s">
        <v>77</v>
      </c>
      <c r="B840" s="13">
        <v>44875</v>
      </c>
      <c r="C840" t="s">
        <v>78</v>
      </c>
      <c r="D840" t="s">
        <v>79</v>
      </c>
      <c r="E840" t="s">
        <v>80</v>
      </c>
      <c r="F840" t="s">
        <v>81</v>
      </c>
      <c r="G840" t="s">
        <v>57</v>
      </c>
      <c r="H840">
        <v>2</v>
      </c>
      <c r="I840">
        <v>306.51</v>
      </c>
      <c r="J840">
        <v>0.05</v>
      </c>
      <c r="K840">
        <v>29.12</v>
      </c>
      <c r="L840">
        <v>6.24</v>
      </c>
      <c r="M840">
        <v>617.73</v>
      </c>
      <c r="N840" t="s">
        <v>24</v>
      </c>
      <c r="O840" t="s">
        <v>82</v>
      </c>
      <c r="P840" t="s">
        <v>83</v>
      </c>
      <c r="Q840" t="s">
        <v>84</v>
      </c>
      <c r="R840" t="s">
        <v>28</v>
      </c>
    </row>
    <row r="841" spans="1:18" x14ac:dyDescent="0.3">
      <c r="A841" t="s">
        <v>135</v>
      </c>
      <c r="B841" s="13">
        <v>44702</v>
      </c>
      <c r="C841" t="s">
        <v>136</v>
      </c>
      <c r="D841" t="s">
        <v>137</v>
      </c>
      <c r="E841" t="s">
        <v>138</v>
      </c>
      <c r="F841" t="s">
        <v>81</v>
      </c>
      <c r="G841" t="s">
        <v>57</v>
      </c>
      <c r="H841">
        <v>5</v>
      </c>
      <c r="I841">
        <v>547.58000000000004</v>
      </c>
      <c r="J841">
        <v>0</v>
      </c>
      <c r="K841">
        <v>0</v>
      </c>
      <c r="L841">
        <v>10.06</v>
      </c>
      <c r="M841">
        <v>2747.96</v>
      </c>
      <c r="N841" t="s">
        <v>35</v>
      </c>
      <c r="O841" t="s">
        <v>25</v>
      </c>
      <c r="P841" t="s">
        <v>117</v>
      </c>
      <c r="Q841" t="s">
        <v>118</v>
      </c>
      <c r="R841" t="s">
        <v>38</v>
      </c>
    </row>
    <row r="842" spans="1:18" x14ac:dyDescent="0.3">
      <c r="A842" t="s">
        <v>151</v>
      </c>
      <c r="B842" s="13">
        <v>45516</v>
      </c>
      <c r="C842" t="s">
        <v>152</v>
      </c>
      <c r="D842" t="s">
        <v>153</v>
      </c>
      <c r="E842" t="s">
        <v>80</v>
      </c>
      <c r="F842" t="s">
        <v>81</v>
      </c>
      <c r="G842" t="s">
        <v>90</v>
      </c>
      <c r="H842">
        <v>1</v>
      </c>
      <c r="I842">
        <v>226.26</v>
      </c>
      <c r="J842">
        <v>0</v>
      </c>
      <c r="K842">
        <v>11.31</v>
      </c>
      <c r="L842">
        <v>9.5500000000000007</v>
      </c>
      <c r="M842">
        <v>247.12</v>
      </c>
      <c r="N842" t="s">
        <v>58</v>
      </c>
      <c r="O842" t="s">
        <v>25</v>
      </c>
      <c r="P842" t="s">
        <v>36</v>
      </c>
      <c r="Q842" t="s">
        <v>37</v>
      </c>
      <c r="R842" t="s">
        <v>38</v>
      </c>
    </row>
    <row r="843" spans="1:18" x14ac:dyDescent="0.3">
      <c r="A843" t="s">
        <v>157</v>
      </c>
      <c r="B843" s="13">
        <v>44600</v>
      </c>
      <c r="C843" t="s">
        <v>158</v>
      </c>
      <c r="D843" t="s">
        <v>159</v>
      </c>
      <c r="E843" t="s">
        <v>160</v>
      </c>
      <c r="F843" t="s">
        <v>81</v>
      </c>
      <c r="G843" t="s">
        <v>90</v>
      </c>
      <c r="H843">
        <v>5</v>
      </c>
      <c r="I843">
        <v>452.12</v>
      </c>
      <c r="J843">
        <v>0</v>
      </c>
      <c r="K843">
        <v>113.03</v>
      </c>
      <c r="L843">
        <v>9.6199999999999992</v>
      </c>
      <c r="M843">
        <v>2383.25</v>
      </c>
      <c r="N843" t="s">
        <v>24</v>
      </c>
      <c r="O843" t="s">
        <v>25</v>
      </c>
      <c r="P843" t="s">
        <v>145</v>
      </c>
      <c r="Q843" t="s">
        <v>146</v>
      </c>
      <c r="R843" t="s">
        <v>61</v>
      </c>
    </row>
    <row r="844" spans="1:18" x14ac:dyDescent="0.3">
      <c r="A844" t="s">
        <v>166</v>
      </c>
      <c r="B844" s="13">
        <v>45346</v>
      </c>
      <c r="C844" t="s">
        <v>167</v>
      </c>
      <c r="D844" t="s">
        <v>168</v>
      </c>
      <c r="E844" t="s">
        <v>169</v>
      </c>
      <c r="F844" t="s">
        <v>81</v>
      </c>
      <c r="G844" t="s">
        <v>57</v>
      </c>
      <c r="H844">
        <v>1</v>
      </c>
      <c r="I844">
        <v>16.68</v>
      </c>
      <c r="J844">
        <v>0.15</v>
      </c>
      <c r="K844">
        <v>1.1299999999999999</v>
      </c>
      <c r="L844">
        <v>2.39</v>
      </c>
      <c r="M844">
        <v>17.7</v>
      </c>
      <c r="N844" t="s">
        <v>58</v>
      </c>
      <c r="O844" t="s">
        <v>25</v>
      </c>
      <c r="P844" t="s">
        <v>101</v>
      </c>
      <c r="Q844" t="s">
        <v>102</v>
      </c>
      <c r="R844" t="s">
        <v>38</v>
      </c>
    </row>
    <row r="845" spans="1:18" x14ac:dyDescent="0.3">
      <c r="A845" t="s">
        <v>175</v>
      </c>
      <c r="B845" s="13">
        <v>44636</v>
      </c>
      <c r="C845" t="s">
        <v>176</v>
      </c>
      <c r="D845" t="s">
        <v>153</v>
      </c>
      <c r="E845" t="s">
        <v>177</v>
      </c>
      <c r="F845" t="s">
        <v>81</v>
      </c>
      <c r="G845" t="s">
        <v>34</v>
      </c>
      <c r="H845">
        <v>3</v>
      </c>
      <c r="I845">
        <v>569.69000000000005</v>
      </c>
      <c r="J845">
        <v>0.25</v>
      </c>
      <c r="K845">
        <v>153.82</v>
      </c>
      <c r="L845">
        <v>14.27</v>
      </c>
      <c r="M845">
        <v>1449.89</v>
      </c>
      <c r="N845" t="s">
        <v>58</v>
      </c>
      <c r="O845" t="s">
        <v>25</v>
      </c>
      <c r="P845" t="s">
        <v>178</v>
      </c>
      <c r="Q845" t="s">
        <v>69</v>
      </c>
      <c r="R845" t="s">
        <v>38</v>
      </c>
    </row>
    <row r="846" spans="1:18" x14ac:dyDescent="0.3">
      <c r="A846" t="s">
        <v>187</v>
      </c>
      <c r="B846" s="13">
        <v>44786</v>
      </c>
      <c r="C846" t="s">
        <v>188</v>
      </c>
      <c r="D846" t="s">
        <v>189</v>
      </c>
      <c r="E846" t="s">
        <v>190</v>
      </c>
      <c r="F846" t="s">
        <v>81</v>
      </c>
      <c r="G846" t="s">
        <v>66</v>
      </c>
      <c r="H846">
        <v>5</v>
      </c>
      <c r="I846">
        <v>199.99</v>
      </c>
      <c r="J846">
        <v>0</v>
      </c>
      <c r="K846">
        <v>179.99</v>
      </c>
      <c r="L846">
        <v>5.19</v>
      </c>
      <c r="M846">
        <v>1185.1300000000001</v>
      </c>
      <c r="N846" t="s">
        <v>67</v>
      </c>
      <c r="O846" t="s">
        <v>25</v>
      </c>
      <c r="P846" t="s">
        <v>145</v>
      </c>
      <c r="Q846" t="s">
        <v>146</v>
      </c>
      <c r="R846" t="s">
        <v>38</v>
      </c>
    </row>
    <row r="847" spans="1:18" x14ac:dyDescent="0.3">
      <c r="A847" t="s">
        <v>235</v>
      </c>
      <c r="B847" s="13">
        <v>45330</v>
      </c>
      <c r="C847" t="s">
        <v>236</v>
      </c>
      <c r="D847" t="s">
        <v>237</v>
      </c>
      <c r="E847" t="s">
        <v>132</v>
      </c>
      <c r="F847" t="s">
        <v>81</v>
      </c>
      <c r="G847" t="s">
        <v>100</v>
      </c>
      <c r="H847">
        <v>3</v>
      </c>
      <c r="I847">
        <v>88.46</v>
      </c>
      <c r="J847">
        <v>0.15</v>
      </c>
      <c r="K847">
        <v>40.6</v>
      </c>
      <c r="L847">
        <v>2.73</v>
      </c>
      <c r="M847">
        <v>268.89999999999998</v>
      </c>
      <c r="N847" t="s">
        <v>58</v>
      </c>
      <c r="O847" t="s">
        <v>59</v>
      </c>
      <c r="P847" t="s">
        <v>60</v>
      </c>
      <c r="Q847" t="s">
        <v>37</v>
      </c>
      <c r="R847" t="s">
        <v>38</v>
      </c>
    </row>
    <row r="848" spans="1:18" x14ac:dyDescent="0.3">
      <c r="A848" t="s">
        <v>240</v>
      </c>
      <c r="B848" s="13">
        <v>44806</v>
      </c>
      <c r="C848" t="s">
        <v>241</v>
      </c>
      <c r="D848" t="s">
        <v>242</v>
      </c>
      <c r="E848" t="s">
        <v>243</v>
      </c>
      <c r="F848" t="s">
        <v>81</v>
      </c>
      <c r="G848" t="s">
        <v>100</v>
      </c>
      <c r="H848">
        <v>2</v>
      </c>
      <c r="I848">
        <v>449.14</v>
      </c>
      <c r="J848">
        <v>0.05</v>
      </c>
      <c r="K848">
        <v>0</v>
      </c>
      <c r="L848">
        <v>5.62</v>
      </c>
      <c r="M848">
        <v>858.99</v>
      </c>
      <c r="N848" t="s">
        <v>24</v>
      </c>
      <c r="O848" t="s">
        <v>25</v>
      </c>
      <c r="P848" t="s">
        <v>112</v>
      </c>
      <c r="Q848" t="s">
        <v>113</v>
      </c>
      <c r="R848" t="s">
        <v>38</v>
      </c>
    </row>
    <row r="849" spans="1:18" x14ac:dyDescent="0.3">
      <c r="A849" t="s">
        <v>247</v>
      </c>
      <c r="B849" s="13">
        <v>44020</v>
      </c>
      <c r="C849" t="s">
        <v>248</v>
      </c>
      <c r="D849" t="s">
        <v>249</v>
      </c>
      <c r="E849" t="s">
        <v>73</v>
      </c>
      <c r="F849" t="s">
        <v>81</v>
      </c>
      <c r="G849" t="s">
        <v>198</v>
      </c>
      <c r="H849">
        <v>2</v>
      </c>
      <c r="I849">
        <v>140.88999999999999</v>
      </c>
      <c r="J849">
        <v>0.05</v>
      </c>
      <c r="K849">
        <v>21.42</v>
      </c>
      <c r="L849">
        <v>0.48</v>
      </c>
      <c r="M849">
        <v>289.58999999999997</v>
      </c>
      <c r="N849" t="s">
        <v>24</v>
      </c>
      <c r="O849" t="s">
        <v>25</v>
      </c>
      <c r="P849" t="s">
        <v>150</v>
      </c>
      <c r="Q849" t="s">
        <v>69</v>
      </c>
      <c r="R849" t="s">
        <v>76</v>
      </c>
    </row>
    <row r="850" spans="1:18" x14ac:dyDescent="0.3">
      <c r="A850" t="s">
        <v>284</v>
      </c>
      <c r="B850" s="13">
        <v>44477</v>
      </c>
      <c r="C850" t="s">
        <v>285</v>
      </c>
      <c r="D850" t="s">
        <v>286</v>
      </c>
      <c r="E850" t="s">
        <v>287</v>
      </c>
      <c r="F850" t="s">
        <v>81</v>
      </c>
      <c r="G850" t="s">
        <v>90</v>
      </c>
      <c r="H850">
        <v>3</v>
      </c>
      <c r="I850">
        <v>184.7</v>
      </c>
      <c r="J850">
        <v>0.3</v>
      </c>
      <c r="K850">
        <v>46.54</v>
      </c>
      <c r="L850">
        <v>7.98</v>
      </c>
      <c r="M850">
        <v>442.39</v>
      </c>
      <c r="N850" t="s">
        <v>24</v>
      </c>
      <c r="O850" t="s">
        <v>25</v>
      </c>
      <c r="P850" t="s">
        <v>165</v>
      </c>
      <c r="Q850" t="s">
        <v>37</v>
      </c>
      <c r="R850" t="s">
        <v>38</v>
      </c>
    </row>
    <row r="851" spans="1:18" x14ac:dyDescent="0.3">
      <c r="A851" t="s">
        <v>298</v>
      </c>
      <c r="B851" s="13">
        <v>45128</v>
      </c>
      <c r="C851" t="s">
        <v>299</v>
      </c>
      <c r="D851" t="s">
        <v>159</v>
      </c>
      <c r="E851" t="s">
        <v>300</v>
      </c>
      <c r="F851" t="s">
        <v>81</v>
      </c>
      <c r="G851" t="s">
        <v>100</v>
      </c>
      <c r="H851">
        <v>3</v>
      </c>
      <c r="I851">
        <v>71.260000000000005</v>
      </c>
      <c r="J851">
        <v>0.1</v>
      </c>
      <c r="K851">
        <v>23.09</v>
      </c>
      <c r="L851">
        <v>11.28</v>
      </c>
      <c r="M851">
        <v>226.77</v>
      </c>
      <c r="N851" t="s">
        <v>58</v>
      </c>
      <c r="O851" t="s">
        <v>144</v>
      </c>
      <c r="P851" t="s">
        <v>36</v>
      </c>
      <c r="Q851" t="s">
        <v>37</v>
      </c>
      <c r="R851" t="s">
        <v>38</v>
      </c>
    </row>
    <row r="852" spans="1:18" x14ac:dyDescent="0.3">
      <c r="A852" t="s">
        <v>304</v>
      </c>
      <c r="B852" s="13">
        <v>44431</v>
      </c>
      <c r="C852" t="s">
        <v>305</v>
      </c>
      <c r="D852" t="s">
        <v>72</v>
      </c>
      <c r="E852" t="s">
        <v>138</v>
      </c>
      <c r="F852" t="s">
        <v>81</v>
      </c>
      <c r="G852" t="s">
        <v>49</v>
      </c>
      <c r="H852">
        <v>5</v>
      </c>
      <c r="I852">
        <v>417.28</v>
      </c>
      <c r="J852">
        <v>0.15</v>
      </c>
      <c r="K852">
        <v>88.67</v>
      </c>
      <c r="L852">
        <v>9.65</v>
      </c>
      <c r="M852">
        <v>1871.76</v>
      </c>
      <c r="N852" t="s">
        <v>35</v>
      </c>
      <c r="O852" t="s">
        <v>144</v>
      </c>
      <c r="P852" t="s">
        <v>68</v>
      </c>
      <c r="Q852" t="s">
        <v>69</v>
      </c>
      <c r="R852" t="s">
        <v>28</v>
      </c>
    </row>
    <row r="853" spans="1:18" x14ac:dyDescent="0.3">
      <c r="A853" t="s">
        <v>325</v>
      </c>
      <c r="B853" s="13">
        <v>45194</v>
      </c>
      <c r="C853" t="s">
        <v>326</v>
      </c>
      <c r="D853" t="s">
        <v>327</v>
      </c>
      <c r="E853" t="s">
        <v>291</v>
      </c>
      <c r="F853" t="s">
        <v>81</v>
      </c>
      <c r="G853" t="s">
        <v>203</v>
      </c>
      <c r="H853">
        <v>5</v>
      </c>
      <c r="I853">
        <v>582.66</v>
      </c>
      <c r="J853">
        <v>0</v>
      </c>
      <c r="K853">
        <v>233.06</v>
      </c>
      <c r="L853">
        <v>14.07</v>
      </c>
      <c r="M853">
        <v>3160.43</v>
      </c>
      <c r="N853" t="s">
        <v>67</v>
      </c>
      <c r="O853" t="s">
        <v>107</v>
      </c>
      <c r="P853" t="s">
        <v>165</v>
      </c>
      <c r="Q853" t="s">
        <v>37</v>
      </c>
      <c r="R853" t="s">
        <v>38</v>
      </c>
    </row>
    <row r="854" spans="1:18" x14ac:dyDescent="0.3">
      <c r="A854" t="s">
        <v>337</v>
      </c>
      <c r="B854" s="13">
        <v>45309</v>
      </c>
      <c r="C854" t="s">
        <v>338</v>
      </c>
      <c r="D854" t="s">
        <v>339</v>
      </c>
      <c r="E854" t="s">
        <v>340</v>
      </c>
      <c r="F854" t="s">
        <v>81</v>
      </c>
      <c r="G854" t="s">
        <v>268</v>
      </c>
      <c r="H854">
        <v>1</v>
      </c>
      <c r="I854">
        <v>392.71</v>
      </c>
      <c r="J854">
        <v>0.1</v>
      </c>
      <c r="K854">
        <v>42.41</v>
      </c>
      <c r="L854">
        <v>7.82</v>
      </c>
      <c r="M854">
        <v>403.67</v>
      </c>
      <c r="N854" t="s">
        <v>24</v>
      </c>
      <c r="O854" t="s">
        <v>25</v>
      </c>
      <c r="P854" t="s">
        <v>257</v>
      </c>
      <c r="Q854" t="s">
        <v>69</v>
      </c>
      <c r="R854" t="s">
        <v>38</v>
      </c>
    </row>
    <row r="855" spans="1:18" x14ac:dyDescent="0.3">
      <c r="A855" t="s">
        <v>350</v>
      </c>
      <c r="B855" s="13">
        <v>43865</v>
      </c>
      <c r="C855" t="s">
        <v>351</v>
      </c>
      <c r="D855" t="s">
        <v>352</v>
      </c>
      <c r="E855" t="s">
        <v>156</v>
      </c>
      <c r="F855" t="s">
        <v>81</v>
      </c>
      <c r="G855" t="s">
        <v>23</v>
      </c>
      <c r="H855">
        <v>2</v>
      </c>
      <c r="I855">
        <v>402.77</v>
      </c>
      <c r="J855">
        <v>0.05</v>
      </c>
      <c r="K855">
        <v>38.26</v>
      </c>
      <c r="L855">
        <v>13.08</v>
      </c>
      <c r="M855">
        <v>816.6</v>
      </c>
      <c r="N855" t="s">
        <v>67</v>
      </c>
      <c r="O855" t="s">
        <v>25</v>
      </c>
      <c r="P855" t="s">
        <v>44</v>
      </c>
      <c r="Q855" t="s">
        <v>37</v>
      </c>
      <c r="R855" t="s">
        <v>28</v>
      </c>
    </row>
    <row r="856" spans="1:18" x14ac:dyDescent="0.3">
      <c r="A856" t="s">
        <v>411</v>
      </c>
      <c r="B856" s="13">
        <v>45316</v>
      </c>
      <c r="C856" t="s">
        <v>412</v>
      </c>
      <c r="D856" t="s">
        <v>168</v>
      </c>
      <c r="E856" t="s">
        <v>88</v>
      </c>
      <c r="F856" t="s">
        <v>81</v>
      </c>
      <c r="G856" t="s">
        <v>203</v>
      </c>
      <c r="H856">
        <v>4</v>
      </c>
      <c r="I856">
        <v>548.39</v>
      </c>
      <c r="J856">
        <v>0</v>
      </c>
      <c r="K856">
        <v>109.68</v>
      </c>
      <c r="L856">
        <v>12.26</v>
      </c>
      <c r="M856">
        <v>2315.5</v>
      </c>
      <c r="N856" t="s">
        <v>67</v>
      </c>
      <c r="O856" t="s">
        <v>25</v>
      </c>
      <c r="P856" t="s">
        <v>124</v>
      </c>
      <c r="Q856" t="s">
        <v>125</v>
      </c>
      <c r="R856" t="s">
        <v>38</v>
      </c>
    </row>
    <row r="857" spans="1:18" x14ac:dyDescent="0.3">
      <c r="A857" t="s">
        <v>416</v>
      </c>
      <c r="B857" s="13">
        <v>45106</v>
      </c>
      <c r="C857" t="s">
        <v>417</v>
      </c>
      <c r="D857" t="s">
        <v>418</v>
      </c>
      <c r="E857" t="s">
        <v>365</v>
      </c>
      <c r="F857" t="s">
        <v>81</v>
      </c>
      <c r="G857" t="s">
        <v>23</v>
      </c>
      <c r="H857">
        <v>1</v>
      </c>
      <c r="I857">
        <v>113.27</v>
      </c>
      <c r="J857">
        <v>0.05</v>
      </c>
      <c r="K857">
        <v>5.38</v>
      </c>
      <c r="L857">
        <v>0.22</v>
      </c>
      <c r="M857">
        <v>113.21</v>
      </c>
      <c r="N857" t="s">
        <v>67</v>
      </c>
      <c r="O857" t="s">
        <v>25</v>
      </c>
      <c r="P857" t="s">
        <v>44</v>
      </c>
      <c r="Q857" t="s">
        <v>37</v>
      </c>
      <c r="R857" t="s">
        <v>38</v>
      </c>
    </row>
    <row r="858" spans="1:18" x14ac:dyDescent="0.3">
      <c r="A858" t="s">
        <v>455</v>
      </c>
      <c r="B858" s="13">
        <v>44323</v>
      </c>
      <c r="C858" t="s">
        <v>456</v>
      </c>
      <c r="D858" t="s">
        <v>457</v>
      </c>
      <c r="E858" t="s">
        <v>365</v>
      </c>
      <c r="F858" t="s">
        <v>81</v>
      </c>
      <c r="G858" t="s">
        <v>49</v>
      </c>
      <c r="H858">
        <v>5</v>
      </c>
      <c r="I858">
        <v>230.99</v>
      </c>
      <c r="J858">
        <v>0.15</v>
      </c>
      <c r="K858">
        <v>117.8</v>
      </c>
      <c r="L858">
        <v>10.69</v>
      </c>
      <c r="M858">
        <v>1110.2</v>
      </c>
      <c r="N858" t="s">
        <v>67</v>
      </c>
      <c r="O858" t="s">
        <v>25</v>
      </c>
      <c r="P858" t="s">
        <v>173</v>
      </c>
      <c r="Q858" t="s">
        <v>174</v>
      </c>
      <c r="R858" t="s">
        <v>38</v>
      </c>
    </row>
    <row r="859" spans="1:18" x14ac:dyDescent="0.3">
      <c r="A859" t="s">
        <v>492</v>
      </c>
      <c r="B859" s="13">
        <v>44222</v>
      </c>
      <c r="C859" t="s">
        <v>493</v>
      </c>
      <c r="D859" t="s">
        <v>494</v>
      </c>
      <c r="E859" t="s">
        <v>160</v>
      </c>
      <c r="F859" t="s">
        <v>81</v>
      </c>
      <c r="G859" t="s">
        <v>100</v>
      </c>
      <c r="H859">
        <v>2</v>
      </c>
      <c r="I859">
        <v>321.45999999999998</v>
      </c>
      <c r="J859">
        <v>0.1</v>
      </c>
      <c r="K859">
        <v>69.44</v>
      </c>
      <c r="L859">
        <v>5.41</v>
      </c>
      <c r="M859">
        <v>653.48</v>
      </c>
      <c r="N859" t="s">
        <v>50</v>
      </c>
      <c r="O859" t="s">
        <v>25</v>
      </c>
      <c r="P859" t="s">
        <v>68</v>
      </c>
      <c r="Q859" t="s">
        <v>69</v>
      </c>
      <c r="R859" t="s">
        <v>28</v>
      </c>
    </row>
    <row r="860" spans="1:18" x14ac:dyDescent="0.3">
      <c r="A860" t="s">
        <v>495</v>
      </c>
      <c r="B860" s="13">
        <v>45529</v>
      </c>
      <c r="C860" t="s">
        <v>496</v>
      </c>
      <c r="D860" t="s">
        <v>497</v>
      </c>
      <c r="E860" t="s">
        <v>498</v>
      </c>
      <c r="F860" t="s">
        <v>81</v>
      </c>
      <c r="G860" t="s">
        <v>66</v>
      </c>
      <c r="H860">
        <v>5</v>
      </c>
      <c r="I860">
        <v>498.26</v>
      </c>
      <c r="J860">
        <v>0.05</v>
      </c>
      <c r="K860">
        <v>189.34</v>
      </c>
      <c r="L860">
        <v>3.64</v>
      </c>
      <c r="M860">
        <v>2559.7199999999998</v>
      </c>
      <c r="N860" t="s">
        <v>67</v>
      </c>
      <c r="O860" t="s">
        <v>107</v>
      </c>
      <c r="P860" t="s">
        <v>26</v>
      </c>
      <c r="Q860" t="s">
        <v>27</v>
      </c>
      <c r="R860" t="s">
        <v>183</v>
      </c>
    </row>
    <row r="861" spans="1:18" x14ac:dyDescent="0.3">
      <c r="A861" t="s">
        <v>507</v>
      </c>
      <c r="B861" s="13">
        <v>45627</v>
      </c>
      <c r="C861" t="s">
        <v>508</v>
      </c>
      <c r="D861" t="s">
        <v>410</v>
      </c>
      <c r="E861" t="s">
        <v>283</v>
      </c>
      <c r="F861" t="s">
        <v>81</v>
      </c>
      <c r="G861" t="s">
        <v>34</v>
      </c>
      <c r="H861">
        <v>4</v>
      </c>
      <c r="I861">
        <v>67.78</v>
      </c>
      <c r="J861">
        <v>0.05</v>
      </c>
      <c r="K861">
        <v>20.61</v>
      </c>
      <c r="L861">
        <v>11.17</v>
      </c>
      <c r="M861">
        <v>289.33999999999997</v>
      </c>
      <c r="N861" t="s">
        <v>50</v>
      </c>
      <c r="O861" t="s">
        <v>25</v>
      </c>
      <c r="P861" t="s">
        <v>173</v>
      </c>
      <c r="Q861" t="s">
        <v>174</v>
      </c>
      <c r="R861" t="s">
        <v>38</v>
      </c>
    </row>
    <row r="862" spans="1:18" x14ac:dyDescent="0.3">
      <c r="A862" t="s">
        <v>532</v>
      </c>
      <c r="B862" s="13">
        <v>44760</v>
      </c>
      <c r="C862" t="s">
        <v>533</v>
      </c>
      <c r="D862" t="s">
        <v>534</v>
      </c>
      <c r="E862" t="s">
        <v>216</v>
      </c>
      <c r="F862" t="s">
        <v>81</v>
      </c>
      <c r="G862" t="s">
        <v>90</v>
      </c>
      <c r="H862">
        <v>3</v>
      </c>
      <c r="I862">
        <v>262.02</v>
      </c>
      <c r="J862">
        <v>0.15</v>
      </c>
      <c r="K862">
        <v>120.27</v>
      </c>
      <c r="L862">
        <v>7.09</v>
      </c>
      <c r="M862">
        <v>795.51</v>
      </c>
      <c r="N862" t="s">
        <v>58</v>
      </c>
      <c r="O862" t="s">
        <v>144</v>
      </c>
      <c r="P862" t="s">
        <v>74</v>
      </c>
      <c r="Q862" t="s">
        <v>75</v>
      </c>
      <c r="R862" t="s">
        <v>38</v>
      </c>
    </row>
    <row r="863" spans="1:18" x14ac:dyDescent="0.3">
      <c r="A863" t="s">
        <v>535</v>
      </c>
      <c r="B863" s="13">
        <v>44887</v>
      </c>
      <c r="C863" t="s">
        <v>536</v>
      </c>
      <c r="D863" t="s">
        <v>400</v>
      </c>
      <c r="E863" t="s">
        <v>243</v>
      </c>
      <c r="F863" t="s">
        <v>81</v>
      </c>
      <c r="G863" t="s">
        <v>268</v>
      </c>
      <c r="H863">
        <v>3</v>
      </c>
      <c r="I863">
        <v>43.8</v>
      </c>
      <c r="J863">
        <v>0</v>
      </c>
      <c r="K863">
        <v>10.51</v>
      </c>
      <c r="L863">
        <v>6.23</v>
      </c>
      <c r="M863">
        <v>148.13999999999999</v>
      </c>
      <c r="N863" t="s">
        <v>50</v>
      </c>
      <c r="O863" t="s">
        <v>107</v>
      </c>
      <c r="P863" t="s">
        <v>173</v>
      </c>
      <c r="Q863" t="s">
        <v>174</v>
      </c>
      <c r="R863" t="s">
        <v>38</v>
      </c>
    </row>
    <row r="864" spans="1:18" x14ac:dyDescent="0.3">
      <c r="A864" t="s">
        <v>561</v>
      </c>
      <c r="B864" s="13">
        <v>44791</v>
      </c>
      <c r="C864" t="s">
        <v>562</v>
      </c>
      <c r="D864" t="s">
        <v>563</v>
      </c>
      <c r="E864" t="s">
        <v>340</v>
      </c>
      <c r="F864" t="s">
        <v>81</v>
      </c>
      <c r="G864" t="s">
        <v>198</v>
      </c>
      <c r="H864">
        <v>3</v>
      </c>
      <c r="I864">
        <v>14.51</v>
      </c>
      <c r="J864">
        <v>0.05</v>
      </c>
      <c r="K864">
        <v>4.96</v>
      </c>
      <c r="L864">
        <v>0.82</v>
      </c>
      <c r="M864">
        <v>47.13</v>
      </c>
      <c r="N864" t="s">
        <v>58</v>
      </c>
      <c r="O864" t="s">
        <v>25</v>
      </c>
      <c r="P864" t="s">
        <v>117</v>
      </c>
      <c r="Q864" t="s">
        <v>118</v>
      </c>
      <c r="R864" t="s">
        <v>38</v>
      </c>
    </row>
    <row r="865" spans="1:18" x14ac:dyDescent="0.3">
      <c r="A865" t="s">
        <v>580</v>
      </c>
      <c r="B865" s="13">
        <v>45072</v>
      </c>
      <c r="C865" t="s">
        <v>581</v>
      </c>
      <c r="D865" t="s">
        <v>582</v>
      </c>
      <c r="E865" t="s">
        <v>220</v>
      </c>
      <c r="F865" t="s">
        <v>81</v>
      </c>
      <c r="G865" t="s">
        <v>268</v>
      </c>
      <c r="H865">
        <v>5</v>
      </c>
      <c r="I865">
        <v>232.62</v>
      </c>
      <c r="J865">
        <v>0.05</v>
      </c>
      <c r="K865">
        <v>88.4</v>
      </c>
      <c r="L865">
        <v>9.35</v>
      </c>
      <c r="M865">
        <v>1202.7</v>
      </c>
      <c r="N865" t="s">
        <v>58</v>
      </c>
      <c r="O865" t="s">
        <v>107</v>
      </c>
      <c r="P865" t="s">
        <v>44</v>
      </c>
      <c r="Q865" t="s">
        <v>37</v>
      </c>
      <c r="R865" t="s">
        <v>38</v>
      </c>
    </row>
    <row r="866" spans="1:18" x14ac:dyDescent="0.3">
      <c r="A866" t="s">
        <v>605</v>
      </c>
      <c r="B866" s="13">
        <v>44722</v>
      </c>
      <c r="C866" t="s">
        <v>606</v>
      </c>
      <c r="D866" t="s">
        <v>330</v>
      </c>
      <c r="E866" t="s">
        <v>197</v>
      </c>
      <c r="F866" t="s">
        <v>81</v>
      </c>
      <c r="G866" t="s">
        <v>49</v>
      </c>
      <c r="H866">
        <v>4</v>
      </c>
      <c r="I866">
        <v>131.22</v>
      </c>
      <c r="J866">
        <v>0.1</v>
      </c>
      <c r="K866">
        <v>0</v>
      </c>
      <c r="L866">
        <v>14.12</v>
      </c>
      <c r="M866">
        <v>486.51</v>
      </c>
      <c r="N866" t="s">
        <v>24</v>
      </c>
      <c r="O866" t="s">
        <v>25</v>
      </c>
      <c r="P866" t="s">
        <v>51</v>
      </c>
      <c r="Q866" t="s">
        <v>52</v>
      </c>
      <c r="R866" t="s">
        <v>28</v>
      </c>
    </row>
    <row r="867" spans="1:18" x14ac:dyDescent="0.3">
      <c r="A867" t="s">
        <v>607</v>
      </c>
      <c r="B867" s="13">
        <v>45315</v>
      </c>
      <c r="C867" t="s">
        <v>608</v>
      </c>
      <c r="D867" t="s">
        <v>246</v>
      </c>
      <c r="E867" t="s">
        <v>21</v>
      </c>
      <c r="F867" t="s">
        <v>81</v>
      </c>
      <c r="G867" t="s">
        <v>100</v>
      </c>
      <c r="H867">
        <v>2</v>
      </c>
      <c r="I867">
        <v>176.38</v>
      </c>
      <c r="J867">
        <v>0.05</v>
      </c>
      <c r="K867">
        <v>26.81</v>
      </c>
      <c r="L867">
        <v>11.05</v>
      </c>
      <c r="M867">
        <v>372.98</v>
      </c>
      <c r="N867" t="s">
        <v>123</v>
      </c>
      <c r="O867" t="s">
        <v>25</v>
      </c>
      <c r="P867" t="s">
        <v>68</v>
      </c>
      <c r="Q867" t="s">
        <v>69</v>
      </c>
      <c r="R867" t="s">
        <v>38</v>
      </c>
    </row>
    <row r="868" spans="1:18" x14ac:dyDescent="0.3">
      <c r="A868" t="s">
        <v>624</v>
      </c>
      <c r="B868" s="13">
        <v>44851</v>
      </c>
      <c r="C868" t="s">
        <v>625</v>
      </c>
      <c r="D868" t="s">
        <v>255</v>
      </c>
      <c r="E868" t="s">
        <v>106</v>
      </c>
      <c r="F868" t="s">
        <v>81</v>
      </c>
      <c r="G868" t="s">
        <v>34</v>
      </c>
      <c r="H868">
        <v>2</v>
      </c>
      <c r="I868">
        <v>495.32</v>
      </c>
      <c r="J868">
        <v>0</v>
      </c>
      <c r="K868">
        <v>49.53</v>
      </c>
      <c r="L868">
        <v>10.01</v>
      </c>
      <c r="M868">
        <v>1050.18</v>
      </c>
      <c r="N868" t="s">
        <v>58</v>
      </c>
      <c r="O868" t="s">
        <v>82</v>
      </c>
      <c r="P868" t="s">
        <v>145</v>
      </c>
      <c r="Q868" t="s">
        <v>146</v>
      </c>
      <c r="R868" t="s">
        <v>38</v>
      </c>
    </row>
    <row r="869" spans="1:18" x14ac:dyDescent="0.3">
      <c r="A869" t="s">
        <v>630</v>
      </c>
      <c r="B869" s="13">
        <v>44315</v>
      </c>
      <c r="C869" t="s">
        <v>631</v>
      </c>
      <c r="D869" t="s">
        <v>72</v>
      </c>
      <c r="E869" t="s">
        <v>142</v>
      </c>
      <c r="F869" t="s">
        <v>81</v>
      </c>
      <c r="G869" t="s">
        <v>198</v>
      </c>
      <c r="H869">
        <v>5</v>
      </c>
      <c r="I869">
        <v>129.25</v>
      </c>
      <c r="J869">
        <v>0.15</v>
      </c>
      <c r="K869">
        <v>43.94</v>
      </c>
      <c r="L869">
        <v>6.24</v>
      </c>
      <c r="M869">
        <v>599.49</v>
      </c>
      <c r="N869" t="s">
        <v>58</v>
      </c>
      <c r="O869" t="s">
        <v>107</v>
      </c>
      <c r="P869" t="s">
        <v>51</v>
      </c>
      <c r="Q869" t="s">
        <v>52</v>
      </c>
      <c r="R869" t="s">
        <v>38</v>
      </c>
    </row>
    <row r="870" spans="1:18" x14ac:dyDescent="0.3">
      <c r="A870" t="s">
        <v>639</v>
      </c>
      <c r="B870" s="13">
        <v>45509</v>
      </c>
      <c r="C870" t="s">
        <v>640</v>
      </c>
      <c r="D870" t="s">
        <v>421</v>
      </c>
      <c r="E870" t="s">
        <v>256</v>
      </c>
      <c r="F870" t="s">
        <v>81</v>
      </c>
      <c r="G870" t="s">
        <v>66</v>
      </c>
      <c r="H870">
        <v>2</v>
      </c>
      <c r="I870">
        <v>289.23</v>
      </c>
      <c r="J870">
        <v>0.1</v>
      </c>
      <c r="K870">
        <v>0</v>
      </c>
      <c r="L870">
        <v>13.08</v>
      </c>
      <c r="M870">
        <v>533.69000000000005</v>
      </c>
      <c r="N870" t="s">
        <v>35</v>
      </c>
      <c r="O870" t="s">
        <v>25</v>
      </c>
      <c r="P870" t="s">
        <v>124</v>
      </c>
      <c r="Q870" t="s">
        <v>125</v>
      </c>
      <c r="R870" t="s">
        <v>38</v>
      </c>
    </row>
    <row r="871" spans="1:18" x14ac:dyDescent="0.3">
      <c r="A871" t="s">
        <v>646</v>
      </c>
      <c r="B871" s="13">
        <v>44890</v>
      </c>
      <c r="C871" t="s">
        <v>647</v>
      </c>
      <c r="D871" t="s">
        <v>648</v>
      </c>
      <c r="E871" t="s">
        <v>340</v>
      </c>
      <c r="F871" t="s">
        <v>81</v>
      </c>
      <c r="G871" t="s">
        <v>268</v>
      </c>
      <c r="H871">
        <v>5</v>
      </c>
      <c r="I871">
        <v>449.1</v>
      </c>
      <c r="J871">
        <v>0.1</v>
      </c>
      <c r="K871">
        <v>101.05</v>
      </c>
      <c r="L871">
        <v>7.48</v>
      </c>
      <c r="M871">
        <v>2129.48</v>
      </c>
      <c r="N871" t="s">
        <v>123</v>
      </c>
      <c r="O871" t="s">
        <v>25</v>
      </c>
      <c r="P871" t="s">
        <v>150</v>
      </c>
      <c r="Q871" t="s">
        <v>69</v>
      </c>
      <c r="R871" t="s">
        <v>38</v>
      </c>
    </row>
    <row r="872" spans="1:18" x14ac:dyDescent="0.3">
      <c r="A872" t="s">
        <v>660</v>
      </c>
      <c r="B872" s="13">
        <v>45650</v>
      </c>
      <c r="C872" t="s">
        <v>661</v>
      </c>
      <c r="D872" t="s">
        <v>662</v>
      </c>
      <c r="E872" t="s">
        <v>182</v>
      </c>
      <c r="F872" t="s">
        <v>81</v>
      </c>
      <c r="G872" t="s">
        <v>23</v>
      </c>
      <c r="H872">
        <v>5</v>
      </c>
      <c r="I872">
        <v>167.97</v>
      </c>
      <c r="J872">
        <v>0</v>
      </c>
      <c r="K872">
        <v>0</v>
      </c>
      <c r="L872">
        <v>8.35</v>
      </c>
      <c r="M872">
        <v>848.2</v>
      </c>
      <c r="N872" t="s">
        <v>67</v>
      </c>
      <c r="O872" t="s">
        <v>25</v>
      </c>
      <c r="P872" t="s">
        <v>165</v>
      </c>
      <c r="Q872" t="s">
        <v>37</v>
      </c>
      <c r="R872" t="s">
        <v>38</v>
      </c>
    </row>
    <row r="873" spans="1:18" x14ac:dyDescent="0.3">
      <c r="A873" t="s">
        <v>663</v>
      </c>
      <c r="B873" s="13">
        <v>44408</v>
      </c>
      <c r="C873" t="s">
        <v>664</v>
      </c>
      <c r="D873" t="s">
        <v>64</v>
      </c>
      <c r="E873" t="s">
        <v>169</v>
      </c>
      <c r="F873" t="s">
        <v>81</v>
      </c>
      <c r="G873" t="s">
        <v>34</v>
      </c>
      <c r="H873">
        <v>5</v>
      </c>
      <c r="I873">
        <v>471.14</v>
      </c>
      <c r="J873">
        <v>0</v>
      </c>
      <c r="K873">
        <v>188.46</v>
      </c>
      <c r="L873">
        <v>4.18</v>
      </c>
      <c r="M873">
        <v>2548.34</v>
      </c>
      <c r="N873" t="s">
        <v>35</v>
      </c>
      <c r="O873" t="s">
        <v>25</v>
      </c>
      <c r="P873" t="s">
        <v>83</v>
      </c>
      <c r="Q873" t="s">
        <v>84</v>
      </c>
      <c r="R873" t="s">
        <v>61</v>
      </c>
    </row>
    <row r="874" spans="1:18" x14ac:dyDescent="0.3">
      <c r="A874" t="s">
        <v>665</v>
      </c>
      <c r="B874" s="13">
        <v>44512</v>
      </c>
      <c r="C874" t="s">
        <v>666</v>
      </c>
      <c r="D874" t="s">
        <v>206</v>
      </c>
      <c r="E874" t="s">
        <v>48</v>
      </c>
      <c r="F874" t="s">
        <v>81</v>
      </c>
      <c r="G874" t="s">
        <v>34</v>
      </c>
      <c r="H874">
        <v>3</v>
      </c>
      <c r="I874">
        <v>461.7</v>
      </c>
      <c r="J874">
        <v>0.05</v>
      </c>
      <c r="K874">
        <v>65.790000000000006</v>
      </c>
      <c r="L874">
        <v>13.58</v>
      </c>
      <c r="M874">
        <v>1395.21</v>
      </c>
      <c r="N874" t="s">
        <v>58</v>
      </c>
      <c r="O874" t="s">
        <v>144</v>
      </c>
      <c r="P874" t="s">
        <v>36</v>
      </c>
      <c r="Q874" t="s">
        <v>37</v>
      </c>
      <c r="R874" t="s">
        <v>28</v>
      </c>
    </row>
    <row r="875" spans="1:18" x14ac:dyDescent="0.3">
      <c r="A875" t="s">
        <v>694</v>
      </c>
      <c r="B875" s="13">
        <v>45360</v>
      </c>
      <c r="C875" t="s">
        <v>695</v>
      </c>
      <c r="D875" t="s">
        <v>696</v>
      </c>
      <c r="E875" t="s">
        <v>283</v>
      </c>
      <c r="F875" t="s">
        <v>81</v>
      </c>
      <c r="G875" t="s">
        <v>198</v>
      </c>
      <c r="H875">
        <v>5</v>
      </c>
      <c r="I875">
        <v>470.82</v>
      </c>
      <c r="J875">
        <v>0.1</v>
      </c>
      <c r="K875">
        <v>169.5</v>
      </c>
      <c r="L875">
        <v>12.39</v>
      </c>
      <c r="M875">
        <v>2300.58</v>
      </c>
      <c r="N875" t="s">
        <v>24</v>
      </c>
      <c r="O875" t="s">
        <v>25</v>
      </c>
      <c r="P875" t="s">
        <v>83</v>
      </c>
      <c r="Q875" t="s">
        <v>84</v>
      </c>
      <c r="R875" t="s">
        <v>38</v>
      </c>
    </row>
    <row r="876" spans="1:18" x14ac:dyDescent="0.3">
      <c r="A876" t="s">
        <v>718</v>
      </c>
      <c r="B876" s="13">
        <v>44458</v>
      </c>
      <c r="C876" t="s">
        <v>719</v>
      </c>
      <c r="D876" t="s">
        <v>720</v>
      </c>
      <c r="E876" t="s">
        <v>65</v>
      </c>
      <c r="F876" t="s">
        <v>81</v>
      </c>
      <c r="G876" t="s">
        <v>100</v>
      </c>
      <c r="H876">
        <v>4</v>
      </c>
      <c r="I876">
        <v>377.77</v>
      </c>
      <c r="J876">
        <v>0.1</v>
      </c>
      <c r="K876">
        <v>163.19999999999999</v>
      </c>
      <c r="L876">
        <v>11.35</v>
      </c>
      <c r="M876">
        <v>1534.52</v>
      </c>
      <c r="N876" t="s">
        <v>35</v>
      </c>
      <c r="O876" t="s">
        <v>25</v>
      </c>
      <c r="P876" t="s">
        <v>26</v>
      </c>
      <c r="Q876" t="s">
        <v>27</v>
      </c>
      <c r="R876" t="s">
        <v>38</v>
      </c>
    </row>
    <row r="877" spans="1:18" x14ac:dyDescent="0.3">
      <c r="A877" t="s">
        <v>725</v>
      </c>
      <c r="B877" s="13">
        <v>45113</v>
      </c>
      <c r="C877" t="s">
        <v>726</v>
      </c>
      <c r="D877" t="s">
        <v>517</v>
      </c>
      <c r="E877" t="s">
        <v>142</v>
      </c>
      <c r="F877" t="s">
        <v>81</v>
      </c>
      <c r="G877" t="s">
        <v>34</v>
      </c>
      <c r="H877">
        <v>5</v>
      </c>
      <c r="I877">
        <v>493.81</v>
      </c>
      <c r="J877">
        <v>0.3</v>
      </c>
      <c r="K877">
        <v>138.27000000000001</v>
      </c>
      <c r="L877">
        <v>14.7</v>
      </c>
      <c r="M877">
        <v>1881.3</v>
      </c>
      <c r="N877" t="s">
        <v>35</v>
      </c>
      <c r="O877" t="s">
        <v>82</v>
      </c>
      <c r="P877" t="s">
        <v>83</v>
      </c>
      <c r="Q877" t="s">
        <v>84</v>
      </c>
      <c r="R877" t="s">
        <v>38</v>
      </c>
    </row>
    <row r="878" spans="1:18" x14ac:dyDescent="0.3">
      <c r="A878" t="s">
        <v>729</v>
      </c>
      <c r="B878" s="13">
        <v>44540</v>
      </c>
      <c r="C878" t="s">
        <v>730</v>
      </c>
      <c r="D878" t="s">
        <v>731</v>
      </c>
      <c r="E878" t="s">
        <v>340</v>
      </c>
      <c r="F878" t="s">
        <v>81</v>
      </c>
      <c r="G878" t="s">
        <v>198</v>
      </c>
      <c r="H878">
        <v>2</v>
      </c>
      <c r="I878">
        <v>426.66</v>
      </c>
      <c r="J878">
        <v>0.15</v>
      </c>
      <c r="K878">
        <v>87.04</v>
      </c>
      <c r="L878">
        <v>11.68</v>
      </c>
      <c r="M878">
        <v>824.04</v>
      </c>
      <c r="N878" t="s">
        <v>35</v>
      </c>
      <c r="O878" t="s">
        <v>25</v>
      </c>
      <c r="P878" t="s">
        <v>101</v>
      </c>
      <c r="Q878" t="s">
        <v>102</v>
      </c>
      <c r="R878" t="s">
        <v>38</v>
      </c>
    </row>
    <row r="879" spans="1:18" x14ac:dyDescent="0.3">
      <c r="A879" t="s">
        <v>735</v>
      </c>
      <c r="B879" s="13">
        <v>45265</v>
      </c>
      <c r="C879" t="s">
        <v>736</v>
      </c>
      <c r="D879" t="s">
        <v>137</v>
      </c>
      <c r="E879" t="s">
        <v>256</v>
      </c>
      <c r="F879" t="s">
        <v>81</v>
      </c>
      <c r="G879" t="s">
        <v>198</v>
      </c>
      <c r="H879">
        <v>4</v>
      </c>
      <c r="I879">
        <v>139.59</v>
      </c>
      <c r="J879">
        <v>0.05</v>
      </c>
      <c r="K879">
        <v>26.52</v>
      </c>
      <c r="L879">
        <v>0.4</v>
      </c>
      <c r="M879">
        <v>557.36</v>
      </c>
      <c r="N879" t="s">
        <v>24</v>
      </c>
      <c r="O879" t="s">
        <v>107</v>
      </c>
      <c r="P879" t="s">
        <v>36</v>
      </c>
      <c r="Q879" t="s">
        <v>37</v>
      </c>
      <c r="R879" t="s">
        <v>38</v>
      </c>
    </row>
    <row r="880" spans="1:18" x14ac:dyDescent="0.3">
      <c r="A880" t="s">
        <v>765</v>
      </c>
      <c r="B880" s="13">
        <v>44967</v>
      </c>
      <c r="C880" t="s">
        <v>766</v>
      </c>
      <c r="D880" t="s">
        <v>767</v>
      </c>
      <c r="E880" t="s">
        <v>21</v>
      </c>
      <c r="F880" t="s">
        <v>81</v>
      </c>
      <c r="G880" t="s">
        <v>198</v>
      </c>
      <c r="H880">
        <v>5</v>
      </c>
      <c r="I880">
        <v>89.26</v>
      </c>
      <c r="J880">
        <v>0</v>
      </c>
      <c r="K880">
        <v>35.700000000000003</v>
      </c>
      <c r="L880">
        <v>2.92</v>
      </c>
      <c r="M880">
        <v>484.92</v>
      </c>
      <c r="N880" t="s">
        <v>24</v>
      </c>
      <c r="O880" t="s">
        <v>25</v>
      </c>
      <c r="P880" t="s">
        <v>178</v>
      </c>
      <c r="Q880" t="s">
        <v>69</v>
      </c>
      <c r="R880" t="s">
        <v>38</v>
      </c>
    </row>
    <row r="881" spans="1:18" x14ac:dyDescent="0.3">
      <c r="A881" t="s">
        <v>808</v>
      </c>
      <c r="B881" s="13">
        <v>44050</v>
      </c>
      <c r="C881" t="s">
        <v>809</v>
      </c>
      <c r="D881" t="s">
        <v>163</v>
      </c>
      <c r="E881" t="s">
        <v>48</v>
      </c>
      <c r="F881" t="s">
        <v>81</v>
      </c>
      <c r="G881" t="s">
        <v>49</v>
      </c>
      <c r="H881">
        <v>3</v>
      </c>
      <c r="I881">
        <v>451.53</v>
      </c>
      <c r="J881">
        <v>0.1</v>
      </c>
      <c r="K881">
        <v>146.30000000000001</v>
      </c>
      <c r="L881">
        <v>14.32</v>
      </c>
      <c r="M881">
        <v>1379.75</v>
      </c>
      <c r="N881" t="s">
        <v>35</v>
      </c>
      <c r="O881" t="s">
        <v>25</v>
      </c>
      <c r="P881" t="s">
        <v>173</v>
      </c>
      <c r="Q881" t="s">
        <v>174</v>
      </c>
      <c r="R881" t="s">
        <v>38</v>
      </c>
    </row>
    <row r="882" spans="1:18" x14ac:dyDescent="0.3">
      <c r="A882" t="s">
        <v>812</v>
      </c>
      <c r="B882" s="13">
        <v>44685</v>
      </c>
      <c r="C882" t="s">
        <v>813</v>
      </c>
      <c r="D882" t="s">
        <v>385</v>
      </c>
      <c r="E882" t="s">
        <v>156</v>
      </c>
      <c r="F882" t="s">
        <v>81</v>
      </c>
      <c r="G882" t="s">
        <v>90</v>
      </c>
      <c r="H882">
        <v>2</v>
      </c>
      <c r="I882">
        <v>349.96</v>
      </c>
      <c r="J882">
        <v>0</v>
      </c>
      <c r="K882">
        <v>35</v>
      </c>
      <c r="L882">
        <v>6.25</v>
      </c>
      <c r="M882">
        <v>741.17</v>
      </c>
      <c r="N882" t="s">
        <v>50</v>
      </c>
      <c r="O882" t="s">
        <v>25</v>
      </c>
      <c r="P882" t="s">
        <v>101</v>
      </c>
      <c r="Q882" t="s">
        <v>102</v>
      </c>
      <c r="R882" t="s">
        <v>38</v>
      </c>
    </row>
    <row r="883" spans="1:18" x14ac:dyDescent="0.3">
      <c r="A883" t="s">
        <v>833</v>
      </c>
      <c r="B883" s="13">
        <v>44560</v>
      </c>
      <c r="C883" t="s">
        <v>834</v>
      </c>
      <c r="D883" t="s">
        <v>252</v>
      </c>
      <c r="E883" t="s">
        <v>73</v>
      </c>
      <c r="F883" t="s">
        <v>81</v>
      </c>
      <c r="G883" t="s">
        <v>23</v>
      </c>
      <c r="H883">
        <v>5</v>
      </c>
      <c r="I883">
        <v>486.32</v>
      </c>
      <c r="J883">
        <v>0</v>
      </c>
      <c r="K883">
        <v>121.58</v>
      </c>
      <c r="L883">
        <v>10.96</v>
      </c>
      <c r="M883">
        <v>2564.14</v>
      </c>
      <c r="N883" t="s">
        <v>24</v>
      </c>
      <c r="O883" t="s">
        <v>25</v>
      </c>
      <c r="P883" t="s">
        <v>145</v>
      </c>
      <c r="Q883" t="s">
        <v>146</v>
      </c>
      <c r="R883" t="s">
        <v>38</v>
      </c>
    </row>
    <row r="884" spans="1:18" x14ac:dyDescent="0.3">
      <c r="A884" t="s">
        <v>850</v>
      </c>
      <c r="B884" s="13">
        <v>45038</v>
      </c>
      <c r="C884" t="s">
        <v>851</v>
      </c>
      <c r="D884" t="s">
        <v>852</v>
      </c>
      <c r="E884" t="s">
        <v>80</v>
      </c>
      <c r="F884" t="s">
        <v>81</v>
      </c>
      <c r="G884" t="s">
        <v>198</v>
      </c>
      <c r="H884">
        <v>4</v>
      </c>
      <c r="I884">
        <v>235.08</v>
      </c>
      <c r="J884">
        <v>0.05</v>
      </c>
      <c r="K884">
        <v>71.459999999999994</v>
      </c>
      <c r="L884">
        <v>13.48</v>
      </c>
      <c r="M884">
        <v>978.24</v>
      </c>
      <c r="N884" t="s">
        <v>35</v>
      </c>
      <c r="O884" t="s">
        <v>25</v>
      </c>
      <c r="P884" t="s">
        <v>257</v>
      </c>
      <c r="Q884" t="s">
        <v>69</v>
      </c>
      <c r="R884" t="s">
        <v>38</v>
      </c>
    </row>
    <row r="885" spans="1:18" x14ac:dyDescent="0.3">
      <c r="A885" t="s">
        <v>853</v>
      </c>
      <c r="B885" s="13">
        <v>43953</v>
      </c>
      <c r="C885" t="s">
        <v>854</v>
      </c>
      <c r="D885" t="s">
        <v>855</v>
      </c>
      <c r="E885" t="s">
        <v>271</v>
      </c>
      <c r="F885" t="s">
        <v>81</v>
      </c>
      <c r="G885" t="s">
        <v>66</v>
      </c>
      <c r="H885">
        <v>1</v>
      </c>
      <c r="I885">
        <v>485.49</v>
      </c>
      <c r="J885">
        <v>0</v>
      </c>
      <c r="K885">
        <v>58.26</v>
      </c>
      <c r="L885">
        <v>13.38</v>
      </c>
      <c r="M885">
        <v>557.13</v>
      </c>
      <c r="N885" t="s">
        <v>58</v>
      </c>
      <c r="O885" t="s">
        <v>25</v>
      </c>
      <c r="P885" t="s">
        <v>150</v>
      </c>
      <c r="Q885" t="s">
        <v>69</v>
      </c>
      <c r="R885" t="s">
        <v>61</v>
      </c>
    </row>
    <row r="886" spans="1:18" x14ac:dyDescent="0.3">
      <c r="A886" t="s">
        <v>858</v>
      </c>
      <c r="B886" s="13">
        <v>44597</v>
      </c>
      <c r="C886" t="s">
        <v>859</v>
      </c>
      <c r="D886" t="s">
        <v>531</v>
      </c>
      <c r="E886" t="s">
        <v>94</v>
      </c>
      <c r="F886" t="s">
        <v>81</v>
      </c>
      <c r="G886" t="s">
        <v>34</v>
      </c>
      <c r="H886">
        <v>3</v>
      </c>
      <c r="I886">
        <v>436.44</v>
      </c>
      <c r="J886">
        <v>0.1</v>
      </c>
      <c r="K886">
        <v>94.27</v>
      </c>
      <c r="L886">
        <v>14.18</v>
      </c>
      <c r="M886">
        <v>1286.8399999999999</v>
      </c>
      <c r="N886" t="s">
        <v>50</v>
      </c>
      <c r="O886" t="s">
        <v>25</v>
      </c>
      <c r="P886" t="s">
        <v>26</v>
      </c>
      <c r="Q886" t="s">
        <v>27</v>
      </c>
      <c r="R886" t="s">
        <v>38</v>
      </c>
    </row>
    <row r="887" spans="1:18" x14ac:dyDescent="0.3">
      <c r="A887" t="s">
        <v>860</v>
      </c>
      <c r="B887" s="13">
        <v>44124</v>
      </c>
      <c r="C887" t="s">
        <v>861</v>
      </c>
      <c r="D887" t="s">
        <v>131</v>
      </c>
      <c r="E887" t="s">
        <v>349</v>
      </c>
      <c r="F887" t="s">
        <v>81</v>
      </c>
      <c r="G887" t="s">
        <v>57</v>
      </c>
      <c r="H887">
        <v>1</v>
      </c>
      <c r="I887">
        <v>465.84</v>
      </c>
      <c r="J887">
        <v>0.05</v>
      </c>
      <c r="K887">
        <v>22.13</v>
      </c>
      <c r="L887">
        <v>2.2599999999999998</v>
      </c>
      <c r="M887">
        <v>466.94</v>
      </c>
      <c r="N887" t="s">
        <v>24</v>
      </c>
      <c r="O887" t="s">
        <v>25</v>
      </c>
      <c r="P887" t="s">
        <v>165</v>
      </c>
      <c r="Q887" t="s">
        <v>37</v>
      </c>
      <c r="R887" t="s">
        <v>38</v>
      </c>
    </row>
    <row r="888" spans="1:18" x14ac:dyDescent="0.3">
      <c r="A888" t="s">
        <v>878</v>
      </c>
      <c r="B888" s="13">
        <v>43974</v>
      </c>
      <c r="C888" t="s">
        <v>879</v>
      </c>
      <c r="D888" t="s">
        <v>801</v>
      </c>
      <c r="E888" t="s">
        <v>216</v>
      </c>
      <c r="F888" t="s">
        <v>81</v>
      </c>
      <c r="G888" t="s">
        <v>90</v>
      </c>
      <c r="H888">
        <v>2</v>
      </c>
      <c r="I888">
        <v>464.46</v>
      </c>
      <c r="J888">
        <v>0.05</v>
      </c>
      <c r="K888">
        <v>105.9</v>
      </c>
      <c r="L888">
        <v>13.46</v>
      </c>
      <c r="M888">
        <v>1001.83</v>
      </c>
      <c r="N888" t="s">
        <v>67</v>
      </c>
      <c r="O888" t="s">
        <v>25</v>
      </c>
      <c r="P888" t="s">
        <v>150</v>
      </c>
      <c r="Q888" t="s">
        <v>69</v>
      </c>
      <c r="R888" t="s">
        <v>38</v>
      </c>
    </row>
    <row r="889" spans="1:18" x14ac:dyDescent="0.3">
      <c r="A889" t="s">
        <v>895</v>
      </c>
      <c r="B889" s="13">
        <v>45625</v>
      </c>
      <c r="C889" t="s">
        <v>896</v>
      </c>
      <c r="D889" t="s">
        <v>897</v>
      </c>
      <c r="E889" t="s">
        <v>267</v>
      </c>
      <c r="F889" t="s">
        <v>81</v>
      </c>
      <c r="G889" t="s">
        <v>23</v>
      </c>
      <c r="H889">
        <v>2</v>
      </c>
      <c r="I889">
        <v>518.09</v>
      </c>
      <c r="J889">
        <v>0</v>
      </c>
      <c r="K889">
        <v>0</v>
      </c>
      <c r="L889">
        <v>4.03</v>
      </c>
      <c r="M889">
        <v>1040.21</v>
      </c>
      <c r="N889" t="s">
        <v>35</v>
      </c>
      <c r="O889" t="s">
        <v>107</v>
      </c>
      <c r="P889" t="s">
        <v>74</v>
      </c>
      <c r="Q889" t="s">
        <v>75</v>
      </c>
      <c r="R889" t="s">
        <v>38</v>
      </c>
    </row>
    <row r="890" spans="1:18" x14ac:dyDescent="0.3">
      <c r="A890" t="s">
        <v>905</v>
      </c>
      <c r="B890" s="13">
        <v>44233</v>
      </c>
      <c r="C890" t="s">
        <v>906</v>
      </c>
      <c r="D890" t="s">
        <v>469</v>
      </c>
      <c r="E890" t="s">
        <v>88</v>
      </c>
      <c r="F890" t="s">
        <v>81</v>
      </c>
      <c r="G890" t="s">
        <v>34</v>
      </c>
      <c r="H890">
        <v>2</v>
      </c>
      <c r="I890">
        <v>573.92999999999995</v>
      </c>
      <c r="J890">
        <v>0.1</v>
      </c>
      <c r="K890">
        <v>185.95</v>
      </c>
      <c r="L890">
        <v>2.97</v>
      </c>
      <c r="M890">
        <v>1221.99</v>
      </c>
      <c r="N890" t="s">
        <v>35</v>
      </c>
      <c r="O890" t="s">
        <v>59</v>
      </c>
      <c r="P890" t="s">
        <v>83</v>
      </c>
      <c r="Q890" t="s">
        <v>84</v>
      </c>
      <c r="R890" t="s">
        <v>38</v>
      </c>
    </row>
    <row r="891" spans="1:18" x14ac:dyDescent="0.3">
      <c r="A891" t="s">
        <v>907</v>
      </c>
      <c r="B891" s="13">
        <v>45200</v>
      </c>
      <c r="C891" t="s">
        <v>908</v>
      </c>
      <c r="D891" t="s">
        <v>297</v>
      </c>
      <c r="E891" t="s">
        <v>271</v>
      </c>
      <c r="F891" t="s">
        <v>81</v>
      </c>
      <c r="G891" t="s">
        <v>90</v>
      </c>
      <c r="H891">
        <v>4</v>
      </c>
      <c r="I891">
        <v>179.25</v>
      </c>
      <c r="J891">
        <v>0.1</v>
      </c>
      <c r="K891">
        <v>32.270000000000003</v>
      </c>
      <c r="L891">
        <v>0.94</v>
      </c>
      <c r="M891">
        <v>678.51</v>
      </c>
      <c r="N891" t="s">
        <v>67</v>
      </c>
      <c r="O891" t="s">
        <v>144</v>
      </c>
      <c r="P891" t="s">
        <v>95</v>
      </c>
      <c r="Q891" t="s">
        <v>37</v>
      </c>
      <c r="R891" t="s">
        <v>38</v>
      </c>
    </row>
    <row r="892" spans="1:18" x14ac:dyDescent="0.3">
      <c r="A892" t="s">
        <v>912</v>
      </c>
      <c r="B892" s="13">
        <v>43977</v>
      </c>
      <c r="C892" t="s">
        <v>913</v>
      </c>
      <c r="D892" t="s">
        <v>141</v>
      </c>
      <c r="E892" t="s">
        <v>691</v>
      </c>
      <c r="F892" t="s">
        <v>81</v>
      </c>
      <c r="G892" t="s">
        <v>66</v>
      </c>
      <c r="H892">
        <v>3</v>
      </c>
      <c r="I892">
        <v>319.07</v>
      </c>
      <c r="J892">
        <v>0.25</v>
      </c>
      <c r="K892">
        <v>57.43</v>
      </c>
      <c r="L892">
        <v>2.13</v>
      </c>
      <c r="M892">
        <v>777.47</v>
      </c>
      <c r="N892" t="s">
        <v>58</v>
      </c>
      <c r="O892" t="s">
        <v>25</v>
      </c>
      <c r="P892" t="s">
        <v>83</v>
      </c>
      <c r="Q892" t="s">
        <v>84</v>
      </c>
      <c r="R892" t="s">
        <v>38</v>
      </c>
    </row>
    <row r="893" spans="1:18" x14ac:dyDescent="0.3">
      <c r="A893" t="s">
        <v>919</v>
      </c>
      <c r="B893" s="13">
        <v>45565</v>
      </c>
      <c r="C893" t="s">
        <v>920</v>
      </c>
      <c r="D893" t="s">
        <v>921</v>
      </c>
      <c r="E893" t="s">
        <v>271</v>
      </c>
      <c r="F893" t="s">
        <v>81</v>
      </c>
      <c r="G893" t="s">
        <v>268</v>
      </c>
      <c r="H893">
        <v>3</v>
      </c>
      <c r="I893">
        <v>33.869999999999997</v>
      </c>
      <c r="J893">
        <v>0.1</v>
      </c>
      <c r="K893">
        <v>10.97</v>
      </c>
      <c r="L893">
        <v>1.29</v>
      </c>
      <c r="M893">
        <v>103.71</v>
      </c>
      <c r="N893" t="s">
        <v>35</v>
      </c>
      <c r="O893" t="s">
        <v>59</v>
      </c>
      <c r="P893" t="s">
        <v>68</v>
      </c>
      <c r="Q893" t="s">
        <v>69</v>
      </c>
      <c r="R893" t="s">
        <v>28</v>
      </c>
    </row>
    <row r="894" spans="1:18" x14ac:dyDescent="0.3">
      <c r="A894" t="s">
        <v>928</v>
      </c>
      <c r="B894" s="13">
        <v>44381</v>
      </c>
      <c r="C894" t="s">
        <v>929</v>
      </c>
      <c r="D894" t="s">
        <v>921</v>
      </c>
      <c r="E894" t="s">
        <v>691</v>
      </c>
      <c r="F894" t="s">
        <v>81</v>
      </c>
      <c r="G894" t="s">
        <v>203</v>
      </c>
      <c r="H894">
        <v>2</v>
      </c>
      <c r="I894">
        <v>487.41</v>
      </c>
      <c r="J894">
        <v>0</v>
      </c>
      <c r="K894">
        <v>48.74</v>
      </c>
      <c r="L894">
        <v>7.26</v>
      </c>
      <c r="M894">
        <v>1030.82</v>
      </c>
      <c r="N894" t="s">
        <v>35</v>
      </c>
      <c r="O894" t="s">
        <v>25</v>
      </c>
      <c r="P894" t="s">
        <v>44</v>
      </c>
      <c r="Q894" t="s">
        <v>37</v>
      </c>
      <c r="R894" t="s">
        <v>38</v>
      </c>
    </row>
    <row r="895" spans="1:18" x14ac:dyDescent="0.3">
      <c r="A895" t="s">
        <v>934</v>
      </c>
      <c r="B895" s="13">
        <v>44471</v>
      </c>
      <c r="C895" t="s">
        <v>935</v>
      </c>
      <c r="D895" t="s">
        <v>469</v>
      </c>
      <c r="E895" t="s">
        <v>88</v>
      </c>
      <c r="F895" t="s">
        <v>81</v>
      </c>
      <c r="G895" t="s">
        <v>90</v>
      </c>
      <c r="H895">
        <v>4</v>
      </c>
      <c r="I895">
        <v>426.38</v>
      </c>
      <c r="J895">
        <v>0.05</v>
      </c>
      <c r="K895">
        <v>81.010000000000005</v>
      </c>
      <c r="L895">
        <v>9.49</v>
      </c>
      <c r="M895">
        <v>1710.74</v>
      </c>
      <c r="N895" t="s">
        <v>50</v>
      </c>
      <c r="O895" t="s">
        <v>25</v>
      </c>
      <c r="P895" t="s">
        <v>173</v>
      </c>
      <c r="Q895" t="s">
        <v>174</v>
      </c>
      <c r="R895" t="s">
        <v>38</v>
      </c>
    </row>
    <row r="896" spans="1:18" x14ac:dyDescent="0.3">
      <c r="A896" t="s">
        <v>938</v>
      </c>
      <c r="B896" s="13">
        <v>44303</v>
      </c>
      <c r="C896" t="s">
        <v>939</v>
      </c>
      <c r="D896" t="s">
        <v>405</v>
      </c>
      <c r="E896" t="s">
        <v>597</v>
      </c>
      <c r="F896" t="s">
        <v>81</v>
      </c>
      <c r="G896" t="s">
        <v>23</v>
      </c>
      <c r="H896">
        <v>4</v>
      </c>
      <c r="I896">
        <v>153.06</v>
      </c>
      <c r="J896">
        <v>0</v>
      </c>
      <c r="K896">
        <v>48.98</v>
      </c>
      <c r="L896">
        <v>4.38</v>
      </c>
      <c r="M896">
        <v>665.6</v>
      </c>
      <c r="N896" t="s">
        <v>123</v>
      </c>
      <c r="O896" t="s">
        <v>107</v>
      </c>
      <c r="P896" t="s">
        <v>51</v>
      </c>
      <c r="Q896" t="s">
        <v>52</v>
      </c>
      <c r="R896" t="s">
        <v>38</v>
      </c>
    </row>
    <row r="897" spans="1:18" x14ac:dyDescent="0.3">
      <c r="A897" t="s">
        <v>945</v>
      </c>
      <c r="B897" s="13">
        <v>45152</v>
      </c>
      <c r="C897" t="s">
        <v>946</v>
      </c>
      <c r="D897" t="s">
        <v>215</v>
      </c>
      <c r="E897" t="s">
        <v>271</v>
      </c>
      <c r="F897" t="s">
        <v>81</v>
      </c>
      <c r="G897" t="s">
        <v>34</v>
      </c>
      <c r="H897">
        <v>2</v>
      </c>
      <c r="I897">
        <v>161.85</v>
      </c>
      <c r="J897">
        <v>0.1</v>
      </c>
      <c r="K897">
        <v>52.44</v>
      </c>
      <c r="L897">
        <v>14.19</v>
      </c>
      <c r="M897">
        <v>357.96</v>
      </c>
      <c r="N897" t="s">
        <v>67</v>
      </c>
      <c r="O897" t="s">
        <v>25</v>
      </c>
      <c r="P897" t="s">
        <v>124</v>
      </c>
      <c r="Q897" t="s">
        <v>125</v>
      </c>
      <c r="R897" t="s">
        <v>38</v>
      </c>
    </row>
    <row r="898" spans="1:18" x14ac:dyDescent="0.3">
      <c r="A898" t="s">
        <v>949</v>
      </c>
      <c r="B898" s="13">
        <v>44093</v>
      </c>
      <c r="C898" t="s">
        <v>950</v>
      </c>
      <c r="D898" t="s">
        <v>279</v>
      </c>
      <c r="E898" t="s">
        <v>577</v>
      </c>
      <c r="F898" t="s">
        <v>81</v>
      </c>
      <c r="G898" t="s">
        <v>203</v>
      </c>
      <c r="H898">
        <v>1</v>
      </c>
      <c r="I898">
        <v>152.22</v>
      </c>
      <c r="J898">
        <v>0.05</v>
      </c>
      <c r="K898">
        <v>11.57</v>
      </c>
      <c r="L898">
        <v>13.19</v>
      </c>
      <c r="M898">
        <v>169.37</v>
      </c>
      <c r="N898" t="s">
        <v>58</v>
      </c>
      <c r="O898" t="s">
        <v>25</v>
      </c>
      <c r="P898" t="s">
        <v>165</v>
      </c>
      <c r="Q898" t="s">
        <v>37</v>
      </c>
      <c r="R898" t="s">
        <v>28</v>
      </c>
    </row>
    <row r="899" spans="1:18" x14ac:dyDescent="0.3">
      <c r="A899" t="s">
        <v>955</v>
      </c>
      <c r="B899" s="13">
        <v>44176</v>
      </c>
      <c r="C899" t="s">
        <v>956</v>
      </c>
      <c r="D899" t="s">
        <v>957</v>
      </c>
      <c r="E899" t="s">
        <v>340</v>
      </c>
      <c r="F899" t="s">
        <v>81</v>
      </c>
      <c r="G899" t="s">
        <v>49</v>
      </c>
      <c r="H899">
        <v>1</v>
      </c>
      <c r="I899">
        <v>295.94</v>
      </c>
      <c r="J899">
        <v>0.05</v>
      </c>
      <c r="K899">
        <v>33.74</v>
      </c>
      <c r="L899">
        <v>5.01</v>
      </c>
      <c r="M899">
        <v>319.89</v>
      </c>
      <c r="N899" t="s">
        <v>35</v>
      </c>
      <c r="O899" t="s">
        <v>25</v>
      </c>
      <c r="P899" t="s">
        <v>74</v>
      </c>
      <c r="Q899" t="s">
        <v>75</v>
      </c>
      <c r="R899" t="s">
        <v>38</v>
      </c>
    </row>
    <row r="900" spans="1:18" x14ac:dyDescent="0.3">
      <c r="A900" t="s">
        <v>960</v>
      </c>
      <c r="B900" s="13">
        <v>44847</v>
      </c>
      <c r="C900" t="s">
        <v>961</v>
      </c>
      <c r="D900" t="s">
        <v>962</v>
      </c>
      <c r="E900" t="s">
        <v>597</v>
      </c>
      <c r="F900" t="s">
        <v>81</v>
      </c>
      <c r="G900" t="s">
        <v>100</v>
      </c>
      <c r="H900">
        <v>1</v>
      </c>
      <c r="I900">
        <v>240.55</v>
      </c>
      <c r="J900">
        <v>0.1</v>
      </c>
      <c r="K900">
        <v>10.82</v>
      </c>
      <c r="L900">
        <v>14.14</v>
      </c>
      <c r="M900">
        <v>241.46</v>
      </c>
      <c r="N900" t="s">
        <v>58</v>
      </c>
      <c r="O900" t="s">
        <v>59</v>
      </c>
      <c r="P900" t="s">
        <v>124</v>
      </c>
      <c r="Q900" t="s">
        <v>125</v>
      </c>
      <c r="R900" t="s">
        <v>38</v>
      </c>
    </row>
    <row r="901" spans="1:18" x14ac:dyDescent="0.3">
      <c r="A901" t="s">
        <v>963</v>
      </c>
      <c r="B901" s="13">
        <v>45426</v>
      </c>
      <c r="C901" t="s">
        <v>964</v>
      </c>
      <c r="D901" t="s">
        <v>189</v>
      </c>
      <c r="E901" t="s">
        <v>340</v>
      </c>
      <c r="F901" t="s">
        <v>81</v>
      </c>
      <c r="G901" t="s">
        <v>203</v>
      </c>
      <c r="H901">
        <v>3</v>
      </c>
      <c r="I901">
        <v>389.23</v>
      </c>
      <c r="J901">
        <v>0</v>
      </c>
      <c r="K901">
        <v>140.12</v>
      </c>
      <c r="L901">
        <v>7.57</v>
      </c>
      <c r="M901">
        <v>1315.38</v>
      </c>
      <c r="N901" t="s">
        <v>58</v>
      </c>
      <c r="O901" t="s">
        <v>25</v>
      </c>
      <c r="P901" t="s">
        <v>124</v>
      </c>
      <c r="Q901" t="s">
        <v>125</v>
      </c>
      <c r="R901" t="s">
        <v>38</v>
      </c>
    </row>
    <row r="902" spans="1:18" x14ac:dyDescent="0.3">
      <c r="A902" t="s">
        <v>976</v>
      </c>
      <c r="B902" s="13">
        <v>45506</v>
      </c>
      <c r="C902" t="s">
        <v>977</v>
      </c>
      <c r="D902" t="s">
        <v>701</v>
      </c>
      <c r="E902" t="s">
        <v>160</v>
      </c>
      <c r="F902" t="s">
        <v>81</v>
      </c>
      <c r="G902" t="s">
        <v>57</v>
      </c>
      <c r="H902">
        <v>3</v>
      </c>
      <c r="I902">
        <v>72.83</v>
      </c>
      <c r="J902">
        <v>0.1</v>
      </c>
      <c r="K902">
        <v>15.73</v>
      </c>
      <c r="L902">
        <v>0.49</v>
      </c>
      <c r="M902">
        <v>212.86</v>
      </c>
      <c r="N902" t="s">
        <v>58</v>
      </c>
      <c r="O902" t="s">
        <v>25</v>
      </c>
      <c r="P902" t="s">
        <v>112</v>
      </c>
      <c r="Q902" t="s">
        <v>113</v>
      </c>
      <c r="R902" t="s">
        <v>38</v>
      </c>
    </row>
    <row r="903" spans="1:18" x14ac:dyDescent="0.3">
      <c r="A903" t="s">
        <v>978</v>
      </c>
      <c r="B903" s="13">
        <v>44283</v>
      </c>
      <c r="C903" t="s">
        <v>979</v>
      </c>
      <c r="D903" t="s">
        <v>528</v>
      </c>
      <c r="E903" t="s">
        <v>122</v>
      </c>
      <c r="F903" t="s">
        <v>81</v>
      </c>
      <c r="G903" t="s">
        <v>57</v>
      </c>
      <c r="H903">
        <v>3</v>
      </c>
      <c r="I903">
        <v>94.51</v>
      </c>
      <c r="J903">
        <v>0.2</v>
      </c>
      <c r="K903">
        <v>11.34</v>
      </c>
      <c r="L903">
        <v>5.78</v>
      </c>
      <c r="M903">
        <v>243.94</v>
      </c>
      <c r="N903" t="s">
        <v>24</v>
      </c>
      <c r="O903" t="s">
        <v>25</v>
      </c>
      <c r="P903" t="s">
        <v>145</v>
      </c>
      <c r="Q903" t="s">
        <v>146</v>
      </c>
      <c r="R903" t="s">
        <v>38</v>
      </c>
    </row>
    <row r="904" spans="1:18" x14ac:dyDescent="0.3">
      <c r="A904" t="s">
        <v>982</v>
      </c>
      <c r="B904" s="13">
        <v>45014</v>
      </c>
      <c r="C904" t="s">
        <v>983</v>
      </c>
      <c r="D904" t="s">
        <v>655</v>
      </c>
      <c r="E904" t="s">
        <v>32</v>
      </c>
      <c r="F904" t="s">
        <v>81</v>
      </c>
      <c r="G904" t="s">
        <v>57</v>
      </c>
      <c r="H904">
        <v>3</v>
      </c>
      <c r="I904">
        <v>203.88</v>
      </c>
      <c r="J904">
        <v>0</v>
      </c>
      <c r="K904">
        <v>48.93</v>
      </c>
      <c r="L904">
        <v>1.71</v>
      </c>
      <c r="M904">
        <v>662.28</v>
      </c>
      <c r="N904" t="s">
        <v>67</v>
      </c>
      <c r="O904" t="s">
        <v>25</v>
      </c>
      <c r="P904" t="s">
        <v>124</v>
      </c>
      <c r="Q904" t="s">
        <v>125</v>
      </c>
      <c r="R904" t="s">
        <v>38</v>
      </c>
    </row>
    <row r="905" spans="1:18" x14ac:dyDescent="0.3">
      <c r="A905" t="s">
        <v>1001</v>
      </c>
      <c r="B905" s="13">
        <v>44234</v>
      </c>
      <c r="C905" t="s">
        <v>1002</v>
      </c>
      <c r="D905" t="s">
        <v>1003</v>
      </c>
      <c r="E905" t="s">
        <v>32</v>
      </c>
      <c r="F905" t="s">
        <v>81</v>
      </c>
      <c r="G905" t="s">
        <v>66</v>
      </c>
      <c r="H905">
        <v>3</v>
      </c>
      <c r="I905">
        <v>366.04</v>
      </c>
      <c r="J905">
        <v>0</v>
      </c>
      <c r="K905">
        <v>87.85</v>
      </c>
      <c r="L905">
        <v>4.55</v>
      </c>
      <c r="M905">
        <v>1190.52</v>
      </c>
      <c r="N905" t="s">
        <v>24</v>
      </c>
      <c r="O905" t="s">
        <v>107</v>
      </c>
      <c r="P905" t="s">
        <v>257</v>
      </c>
      <c r="Q905" t="s">
        <v>69</v>
      </c>
      <c r="R905" t="s">
        <v>183</v>
      </c>
    </row>
    <row r="906" spans="1:18" x14ac:dyDescent="0.3">
      <c r="A906" t="s">
        <v>1006</v>
      </c>
      <c r="B906" s="13">
        <v>43884</v>
      </c>
      <c r="C906" t="s">
        <v>1007</v>
      </c>
      <c r="D906" t="s">
        <v>796</v>
      </c>
      <c r="E906" t="s">
        <v>32</v>
      </c>
      <c r="F906" t="s">
        <v>81</v>
      </c>
      <c r="G906" t="s">
        <v>90</v>
      </c>
      <c r="H906">
        <v>2</v>
      </c>
      <c r="I906">
        <v>597.49</v>
      </c>
      <c r="J906">
        <v>0.25</v>
      </c>
      <c r="K906">
        <v>0</v>
      </c>
      <c r="L906">
        <v>3.29</v>
      </c>
      <c r="M906">
        <v>899.52</v>
      </c>
      <c r="N906" t="s">
        <v>67</v>
      </c>
      <c r="O906" t="s">
        <v>25</v>
      </c>
      <c r="P906" t="s">
        <v>178</v>
      </c>
      <c r="Q906" t="s">
        <v>69</v>
      </c>
      <c r="R906" t="s">
        <v>28</v>
      </c>
    </row>
    <row r="907" spans="1:18" x14ac:dyDescent="0.3">
      <c r="A907" t="s">
        <v>1021</v>
      </c>
      <c r="B907" s="13">
        <v>45276</v>
      </c>
      <c r="C907" t="s">
        <v>1022</v>
      </c>
      <c r="D907" t="s">
        <v>230</v>
      </c>
      <c r="E907" t="s">
        <v>386</v>
      </c>
      <c r="F907" t="s">
        <v>81</v>
      </c>
      <c r="G907" t="s">
        <v>66</v>
      </c>
      <c r="H907">
        <v>5</v>
      </c>
      <c r="I907">
        <v>131.34</v>
      </c>
      <c r="J907">
        <v>0.05</v>
      </c>
      <c r="K907">
        <v>49.91</v>
      </c>
      <c r="L907">
        <v>1.64</v>
      </c>
      <c r="M907">
        <v>675.42</v>
      </c>
      <c r="N907" t="s">
        <v>35</v>
      </c>
      <c r="O907" t="s">
        <v>82</v>
      </c>
      <c r="P907" t="s">
        <v>36</v>
      </c>
      <c r="Q907" t="s">
        <v>37</v>
      </c>
      <c r="R907" t="s">
        <v>38</v>
      </c>
    </row>
    <row r="908" spans="1:18" x14ac:dyDescent="0.3">
      <c r="A908" t="s">
        <v>1047</v>
      </c>
      <c r="B908" s="13">
        <v>45560</v>
      </c>
      <c r="C908" t="s">
        <v>1048</v>
      </c>
      <c r="D908" t="s">
        <v>477</v>
      </c>
      <c r="E908" t="s">
        <v>73</v>
      </c>
      <c r="F908" t="s">
        <v>81</v>
      </c>
      <c r="G908" t="s">
        <v>34</v>
      </c>
      <c r="H908">
        <v>5</v>
      </c>
      <c r="I908">
        <v>591.47</v>
      </c>
      <c r="J908">
        <v>0</v>
      </c>
      <c r="K908">
        <v>0</v>
      </c>
      <c r="L908">
        <v>9.52</v>
      </c>
      <c r="M908">
        <v>2966.87</v>
      </c>
      <c r="N908" t="s">
        <v>24</v>
      </c>
      <c r="O908" t="s">
        <v>25</v>
      </c>
      <c r="P908" t="s">
        <v>68</v>
      </c>
      <c r="Q908" t="s">
        <v>69</v>
      </c>
      <c r="R908" t="s">
        <v>38</v>
      </c>
    </row>
    <row r="909" spans="1:18" x14ac:dyDescent="0.3">
      <c r="A909" t="s">
        <v>1049</v>
      </c>
      <c r="B909" s="13">
        <v>44652</v>
      </c>
      <c r="C909" t="s">
        <v>1050</v>
      </c>
      <c r="D909" t="s">
        <v>72</v>
      </c>
      <c r="E909" t="s">
        <v>291</v>
      </c>
      <c r="F909" t="s">
        <v>81</v>
      </c>
      <c r="G909" t="s">
        <v>23</v>
      </c>
      <c r="H909">
        <v>1</v>
      </c>
      <c r="I909">
        <v>345.41</v>
      </c>
      <c r="J909">
        <v>0.05</v>
      </c>
      <c r="K909">
        <v>16.41</v>
      </c>
      <c r="L909">
        <v>2.0299999999999998</v>
      </c>
      <c r="M909">
        <v>346.58</v>
      </c>
      <c r="N909" t="s">
        <v>123</v>
      </c>
      <c r="O909" t="s">
        <v>107</v>
      </c>
      <c r="P909" t="s">
        <v>178</v>
      </c>
      <c r="Q909" t="s">
        <v>69</v>
      </c>
      <c r="R909" t="s">
        <v>28</v>
      </c>
    </row>
    <row r="910" spans="1:18" x14ac:dyDescent="0.3">
      <c r="A910" t="s">
        <v>1059</v>
      </c>
      <c r="B910" s="13">
        <v>43991</v>
      </c>
      <c r="C910" t="s">
        <v>1060</v>
      </c>
      <c r="D910" t="s">
        <v>1061</v>
      </c>
      <c r="E910" t="s">
        <v>498</v>
      </c>
      <c r="F910" t="s">
        <v>81</v>
      </c>
      <c r="G910" t="s">
        <v>49</v>
      </c>
      <c r="H910">
        <v>3</v>
      </c>
      <c r="I910">
        <v>47.17</v>
      </c>
      <c r="J910">
        <v>0.3</v>
      </c>
      <c r="K910">
        <v>7.92</v>
      </c>
      <c r="L910">
        <v>0.96</v>
      </c>
      <c r="M910">
        <v>107.94</v>
      </c>
      <c r="N910" t="s">
        <v>24</v>
      </c>
      <c r="O910" t="s">
        <v>25</v>
      </c>
      <c r="P910" t="s">
        <v>178</v>
      </c>
      <c r="Q910" t="s">
        <v>69</v>
      </c>
      <c r="R910" t="s">
        <v>183</v>
      </c>
    </row>
    <row r="911" spans="1:18" x14ac:dyDescent="0.3">
      <c r="A911" t="s">
        <v>1067</v>
      </c>
      <c r="B911" s="13">
        <v>44228</v>
      </c>
      <c r="C911" t="s">
        <v>1068</v>
      </c>
      <c r="D911" t="s">
        <v>382</v>
      </c>
      <c r="E911" t="s">
        <v>182</v>
      </c>
      <c r="F911" t="s">
        <v>81</v>
      </c>
      <c r="G911" t="s">
        <v>66</v>
      </c>
      <c r="H911">
        <v>3</v>
      </c>
      <c r="I911">
        <v>106.51</v>
      </c>
      <c r="J911">
        <v>0</v>
      </c>
      <c r="K911">
        <v>38.340000000000003</v>
      </c>
      <c r="L911">
        <v>12.83</v>
      </c>
      <c r="M911">
        <v>370.7</v>
      </c>
      <c r="N911" t="s">
        <v>50</v>
      </c>
      <c r="O911" t="s">
        <v>25</v>
      </c>
      <c r="P911" t="s">
        <v>51</v>
      </c>
      <c r="Q911" t="s">
        <v>52</v>
      </c>
      <c r="R911" t="s">
        <v>38</v>
      </c>
    </row>
    <row r="912" spans="1:18" x14ac:dyDescent="0.3">
      <c r="A912" t="s">
        <v>1075</v>
      </c>
      <c r="B912" s="13">
        <v>45246</v>
      </c>
      <c r="C912" t="s">
        <v>1076</v>
      </c>
      <c r="D912" t="s">
        <v>137</v>
      </c>
      <c r="E912" t="s">
        <v>169</v>
      </c>
      <c r="F912" t="s">
        <v>81</v>
      </c>
      <c r="G912" t="s">
        <v>90</v>
      </c>
      <c r="H912">
        <v>4</v>
      </c>
      <c r="I912">
        <v>13.87</v>
      </c>
      <c r="J912">
        <v>0.15</v>
      </c>
      <c r="K912">
        <v>3.77</v>
      </c>
      <c r="L912">
        <v>0.21</v>
      </c>
      <c r="M912">
        <v>51.14</v>
      </c>
      <c r="N912" t="s">
        <v>24</v>
      </c>
      <c r="O912" t="s">
        <v>25</v>
      </c>
      <c r="P912" t="s">
        <v>26</v>
      </c>
      <c r="Q912" t="s">
        <v>27</v>
      </c>
      <c r="R912" t="s">
        <v>28</v>
      </c>
    </row>
    <row r="913" spans="1:18" x14ac:dyDescent="0.3">
      <c r="A913" t="s">
        <v>1079</v>
      </c>
      <c r="B913" s="13">
        <v>45049</v>
      </c>
      <c r="C913" t="s">
        <v>1080</v>
      </c>
      <c r="D913" t="s">
        <v>79</v>
      </c>
      <c r="E913" t="s">
        <v>106</v>
      </c>
      <c r="F913" t="s">
        <v>81</v>
      </c>
      <c r="G913" t="s">
        <v>90</v>
      </c>
      <c r="H913">
        <v>4</v>
      </c>
      <c r="I913">
        <v>172.46</v>
      </c>
      <c r="J913">
        <v>0.25</v>
      </c>
      <c r="K913">
        <v>41.39</v>
      </c>
      <c r="L913">
        <v>8.42</v>
      </c>
      <c r="M913">
        <v>567.19000000000005</v>
      </c>
      <c r="N913" t="s">
        <v>35</v>
      </c>
      <c r="O913" t="s">
        <v>25</v>
      </c>
      <c r="P913" t="s">
        <v>150</v>
      </c>
      <c r="Q913" t="s">
        <v>69</v>
      </c>
      <c r="R913" t="s">
        <v>38</v>
      </c>
    </row>
    <row r="914" spans="1:18" x14ac:dyDescent="0.3">
      <c r="A914" t="s">
        <v>1083</v>
      </c>
      <c r="B914" s="13">
        <v>44470</v>
      </c>
      <c r="C914" t="s">
        <v>1084</v>
      </c>
      <c r="D914" t="s">
        <v>397</v>
      </c>
      <c r="E914" t="s">
        <v>65</v>
      </c>
      <c r="F914" t="s">
        <v>81</v>
      </c>
      <c r="G914" t="s">
        <v>203</v>
      </c>
      <c r="H914">
        <v>5</v>
      </c>
      <c r="I914">
        <v>44.09</v>
      </c>
      <c r="J914">
        <v>0</v>
      </c>
      <c r="K914">
        <v>26.45</v>
      </c>
      <c r="L914">
        <v>5.14</v>
      </c>
      <c r="M914">
        <v>252.04</v>
      </c>
      <c r="N914" t="s">
        <v>35</v>
      </c>
      <c r="O914" t="s">
        <v>25</v>
      </c>
      <c r="P914" t="s">
        <v>51</v>
      </c>
      <c r="Q914" t="s">
        <v>52</v>
      </c>
      <c r="R914" t="s">
        <v>28</v>
      </c>
    </row>
    <row r="915" spans="1:18" x14ac:dyDescent="0.3">
      <c r="A915" t="s">
        <v>1090</v>
      </c>
      <c r="B915" s="13">
        <v>44290</v>
      </c>
      <c r="C915" t="s">
        <v>1091</v>
      </c>
      <c r="D915" t="s">
        <v>352</v>
      </c>
      <c r="E915" t="s">
        <v>287</v>
      </c>
      <c r="F915" t="s">
        <v>81</v>
      </c>
      <c r="G915" t="s">
        <v>34</v>
      </c>
      <c r="H915">
        <v>3</v>
      </c>
      <c r="I915">
        <v>278.87</v>
      </c>
      <c r="J915">
        <v>0</v>
      </c>
      <c r="K915">
        <v>66.930000000000007</v>
      </c>
      <c r="L915">
        <v>9.7899999999999991</v>
      </c>
      <c r="M915">
        <v>913.33</v>
      </c>
      <c r="N915" t="s">
        <v>123</v>
      </c>
      <c r="O915" t="s">
        <v>25</v>
      </c>
      <c r="P915" t="s">
        <v>124</v>
      </c>
      <c r="Q915" t="s">
        <v>125</v>
      </c>
      <c r="R915" t="s">
        <v>38</v>
      </c>
    </row>
    <row r="916" spans="1:18" x14ac:dyDescent="0.3">
      <c r="A916" t="s">
        <v>1114</v>
      </c>
      <c r="B916" s="13">
        <v>44268</v>
      </c>
      <c r="C916" t="s">
        <v>1115</v>
      </c>
      <c r="D916" t="s">
        <v>623</v>
      </c>
      <c r="E916" t="s">
        <v>132</v>
      </c>
      <c r="F916" t="s">
        <v>81</v>
      </c>
      <c r="G916" t="s">
        <v>90</v>
      </c>
      <c r="H916">
        <v>4</v>
      </c>
      <c r="I916">
        <v>145.75</v>
      </c>
      <c r="J916">
        <v>0.15</v>
      </c>
      <c r="K916">
        <v>59.47</v>
      </c>
      <c r="L916">
        <v>9.7799999999999994</v>
      </c>
      <c r="M916">
        <v>564.79999999999995</v>
      </c>
      <c r="N916" t="s">
        <v>58</v>
      </c>
      <c r="O916" t="s">
        <v>25</v>
      </c>
      <c r="P916" t="s">
        <v>95</v>
      </c>
      <c r="Q916" t="s">
        <v>37</v>
      </c>
      <c r="R916" t="s">
        <v>28</v>
      </c>
    </row>
    <row r="917" spans="1:18" x14ac:dyDescent="0.3">
      <c r="A917" t="s">
        <v>1165</v>
      </c>
      <c r="B917" s="13">
        <v>44307</v>
      </c>
      <c r="C917" t="s">
        <v>1166</v>
      </c>
      <c r="D917" t="s">
        <v>110</v>
      </c>
      <c r="E917" t="s">
        <v>21</v>
      </c>
      <c r="F917" t="s">
        <v>81</v>
      </c>
      <c r="G917" t="s">
        <v>268</v>
      </c>
      <c r="H917">
        <v>4</v>
      </c>
      <c r="I917">
        <v>147</v>
      </c>
      <c r="J917">
        <v>0.05</v>
      </c>
      <c r="K917">
        <v>27.93</v>
      </c>
      <c r="L917">
        <v>7.9</v>
      </c>
      <c r="M917">
        <v>594.42999999999995</v>
      </c>
      <c r="N917" t="s">
        <v>58</v>
      </c>
      <c r="O917" t="s">
        <v>25</v>
      </c>
      <c r="P917" t="s">
        <v>178</v>
      </c>
      <c r="Q917" t="s">
        <v>69</v>
      </c>
      <c r="R917" t="s">
        <v>38</v>
      </c>
    </row>
    <row r="918" spans="1:18" x14ac:dyDescent="0.3">
      <c r="A918" t="s">
        <v>1167</v>
      </c>
      <c r="B918" s="13">
        <v>44900</v>
      </c>
      <c r="C918" t="s">
        <v>1168</v>
      </c>
      <c r="D918" t="s">
        <v>613</v>
      </c>
      <c r="E918" t="s">
        <v>32</v>
      </c>
      <c r="F918" t="s">
        <v>81</v>
      </c>
      <c r="G918" t="s">
        <v>198</v>
      </c>
      <c r="H918">
        <v>4</v>
      </c>
      <c r="I918">
        <v>238.49</v>
      </c>
      <c r="J918">
        <v>0</v>
      </c>
      <c r="K918">
        <v>114.48</v>
      </c>
      <c r="L918">
        <v>3.1</v>
      </c>
      <c r="M918">
        <v>1071.54</v>
      </c>
      <c r="N918" t="s">
        <v>35</v>
      </c>
      <c r="O918" t="s">
        <v>107</v>
      </c>
      <c r="P918" t="s">
        <v>26</v>
      </c>
      <c r="Q918" t="s">
        <v>27</v>
      </c>
      <c r="R918" t="s">
        <v>38</v>
      </c>
    </row>
    <row r="919" spans="1:18" x14ac:dyDescent="0.3">
      <c r="A919" t="s">
        <v>1169</v>
      </c>
      <c r="B919" s="13">
        <v>45227</v>
      </c>
      <c r="C919" t="s">
        <v>1170</v>
      </c>
      <c r="D919" t="s">
        <v>186</v>
      </c>
      <c r="E919" t="s">
        <v>300</v>
      </c>
      <c r="F919" t="s">
        <v>81</v>
      </c>
      <c r="G919" t="s">
        <v>100</v>
      </c>
      <c r="H919">
        <v>5</v>
      </c>
      <c r="I919">
        <v>464.26</v>
      </c>
      <c r="J919">
        <v>0.25</v>
      </c>
      <c r="K919">
        <v>87.05</v>
      </c>
      <c r="L919">
        <v>4.41</v>
      </c>
      <c r="M919">
        <v>1832.44</v>
      </c>
      <c r="N919" t="s">
        <v>58</v>
      </c>
      <c r="O919" t="s">
        <v>25</v>
      </c>
      <c r="P919" t="s">
        <v>257</v>
      </c>
      <c r="Q919" t="s">
        <v>69</v>
      </c>
      <c r="R919" t="s">
        <v>38</v>
      </c>
    </row>
    <row r="920" spans="1:18" x14ac:dyDescent="0.3">
      <c r="A920" t="s">
        <v>1181</v>
      </c>
      <c r="B920" s="13">
        <v>44110</v>
      </c>
      <c r="C920" t="s">
        <v>1182</v>
      </c>
      <c r="D920" t="s">
        <v>731</v>
      </c>
      <c r="E920" t="s">
        <v>294</v>
      </c>
      <c r="F920" t="s">
        <v>81</v>
      </c>
      <c r="G920" t="s">
        <v>203</v>
      </c>
      <c r="H920">
        <v>2</v>
      </c>
      <c r="I920">
        <v>281.76</v>
      </c>
      <c r="J920">
        <v>0.15</v>
      </c>
      <c r="K920">
        <v>57.48</v>
      </c>
      <c r="L920">
        <v>6.97</v>
      </c>
      <c r="M920">
        <v>543.44000000000005</v>
      </c>
      <c r="N920" t="s">
        <v>123</v>
      </c>
      <c r="O920" t="s">
        <v>25</v>
      </c>
      <c r="P920" t="s">
        <v>44</v>
      </c>
      <c r="Q920" t="s">
        <v>37</v>
      </c>
      <c r="R920" t="s">
        <v>38</v>
      </c>
    </row>
    <row r="921" spans="1:18" x14ac:dyDescent="0.3">
      <c r="A921" t="s">
        <v>1190</v>
      </c>
      <c r="B921" s="13">
        <v>44011</v>
      </c>
      <c r="C921" t="s">
        <v>1191</v>
      </c>
      <c r="D921" t="s">
        <v>483</v>
      </c>
      <c r="E921" t="s">
        <v>88</v>
      </c>
      <c r="F921" t="s">
        <v>81</v>
      </c>
      <c r="G921" t="s">
        <v>34</v>
      </c>
      <c r="H921">
        <v>5</v>
      </c>
      <c r="I921">
        <v>446.24</v>
      </c>
      <c r="J921">
        <v>0</v>
      </c>
      <c r="K921">
        <v>111.56</v>
      </c>
      <c r="L921">
        <v>9.36</v>
      </c>
      <c r="M921">
        <v>2352.12</v>
      </c>
      <c r="N921" t="s">
        <v>58</v>
      </c>
      <c r="O921" t="s">
        <v>25</v>
      </c>
      <c r="P921" t="s">
        <v>145</v>
      </c>
      <c r="Q921" t="s">
        <v>146</v>
      </c>
      <c r="R921" t="s">
        <v>38</v>
      </c>
    </row>
    <row r="922" spans="1:18" x14ac:dyDescent="0.3">
      <c r="A922" t="s">
        <v>1198</v>
      </c>
      <c r="B922" s="13">
        <v>44823</v>
      </c>
      <c r="C922" t="s">
        <v>1199</v>
      </c>
      <c r="D922" t="s">
        <v>491</v>
      </c>
      <c r="E922" t="s">
        <v>386</v>
      </c>
      <c r="F922" t="s">
        <v>81</v>
      </c>
      <c r="G922" t="s">
        <v>203</v>
      </c>
      <c r="H922">
        <v>4</v>
      </c>
      <c r="I922">
        <v>197.15</v>
      </c>
      <c r="J922">
        <v>0.05</v>
      </c>
      <c r="K922">
        <v>134.85</v>
      </c>
      <c r="L922">
        <v>3.07</v>
      </c>
      <c r="M922">
        <v>887.09</v>
      </c>
      <c r="N922" t="s">
        <v>123</v>
      </c>
      <c r="O922" t="s">
        <v>144</v>
      </c>
      <c r="P922" t="s">
        <v>257</v>
      </c>
      <c r="Q922" t="s">
        <v>69</v>
      </c>
      <c r="R922" t="s">
        <v>183</v>
      </c>
    </row>
    <row r="923" spans="1:18" x14ac:dyDescent="0.3">
      <c r="A923" t="s">
        <v>1214</v>
      </c>
      <c r="B923" s="13">
        <v>45177</v>
      </c>
      <c r="C923" t="s">
        <v>1215</v>
      </c>
      <c r="D923" t="s">
        <v>472</v>
      </c>
      <c r="E923" t="s">
        <v>65</v>
      </c>
      <c r="F923" t="s">
        <v>81</v>
      </c>
      <c r="G923" t="s">
        <v>100</v>
      </c>
      <c r="H923">
        <v>1</v>
      </c>
      <c r="I923">
        <v>481.52</v>
      </c>
      <c r="J923">
        <v>0.1</v>
      </c>
      <c r="K923">
        <v>0</v>
      </c>
      <c r="L923">
        <v>5.9</v>
      </c>
      <c r="M923">
        <v>439.27</v>
      </c>
      <c r="N923" t="s">
        <v>58</v>
      </c>
      <c r="O923" t="s">
        <v>25</v>
      </c>
      <c r="P923" t="s">
        <v>60</v>
      </c>
      <c r="Q923" t="s">
        <v>37</v>
      </c>
      <c r="R923" t="s">
        <v>38</v>
      </c>
    </row>
    <row r="924" spans="1:18" x14ac:dyDescent="0.3">
      <c r="A924" t="s">
        <v>1248</v>
      </c>
      <c r="B924" s="13">
        <v>44320</v>
      </c>
      <c r="C924" t="s">
        <v>1249</v>
      </c>
      <c r="D924" t="s">
        <v>128</v>
      </c>
      <c r="E924" t="s">
        <v>138</v>
      </c>
      <c r="F924" t="s">
        <v>81</v>
      </c>
      <c r="G924" t="s">
        <v>23</v>
      </c>
      <c r="H924">
        <v>2</v>
      </c>
      <c r="I924">
        <v>54.96</v>
      </c>
      <c r="J924">
        <v>0</v>
      </c>
      <c r="K924">
        <v>19.79</v>
      </c>
      <c r="L924">
        <v>5.73</v>
      </c>
      <c r="M924">
        <v>135.44</v>
      </c>
      <c r="N924" t="s">
        <v>24</v>
      </c>
      <c r="O924" t="s">
        <v>25</v>
      </c>
      <c r="P924" t="s">
        <v>74</v>
      </c>
      <c r="Q924" t="s">
        <v>75</v>
      </c>
      <c r="R924" t="s">
        <v>38</v>
      </c>
    </row>
    <row r="925" spans="1:18" x14ac:dyDescent="0.3">
      <c r="A925" t="s">
        <v>1250</v>
      </c>
      <c r="B925" s="13">
        <v>45240</v>
      </c>
      <c r="C925" t="s">
        <v>1251</v>
      </c>
      <c r="D925" t="s">
        <v>137</v>
      </c>
      <c r="E925" t="s">
        <v>340</v>
      </c>
      <c r="F925" t="s">
        <v>81</v>
      </c>
      <c r="G925" t="s">
        <v>90</v>
      </c>
      <c r="H925">
        <v>3</v>
      </c>
      <c r="I925">
        <v>398.54</v>
      </c>
      <c r="J925">
        <v>0.05</v>
      </c>
      <c r="K925">
        <v>204.45</v>
      </c>
      <c r="L925">
        <v>9.0500000000000007</v>
      </c>
      <c r="M925">
        <v>1349.34</v>
      </c>
      <c r="N925" t="s">
        <v>24</v>
      </c>
      <c r="O925" t="s">
        <v>25</v>
      </c>
      <c r="P925" t="s">
        <v>68</v>
      </c>
      <c r="Q925" t="s">
        <v>69</v>
      </c>
      <c r="R925" t="s">
        <v>38</v>
      </c>
    </row>
    <row r="926" spans="1:18" x14ac:dyDescent="0.3">
      <c r="A926" t="s">
        <v>1269</v>
      </c>
      <c r="B926" s="13">
        <v>45536</v>
      </c>
      <c r="C926" t="s">
        <v>1270</v>
      </c>
      <c r="D926" t="s">
        <v>501</v>
      </c>
      <c r="E926" t="s">
        <v>294</v>
      </c>
      <c r="F926" t="s">
        <v>81</v>
      </c>
      <c r="G926" t="s">
        <v>57</v>
      </c>
      <c r="H926">
        <v>5</v>
      </c>
      <c r="I926">
        <v>71.95</v>
      </c>
      <c r="J926">
        <v>0.3</v>
      </c>
      <c r="K926">
        <v>20.149999999999999</v>
      </c>
      <c r="L926">
        <v>6.15</v>
      </c>
      <c r="M926">
        <v>278.12</v>
      </c>
      <c r="N926" t="s">
        <v>67</v>
      </c>
      <c r="O926" t="s">
        <v>25</v>
      </c>
      <c r="P926" t="s">
        <v>74</v>
      </c>
      <c r="Q926" t="s">
        <v>75</v>
      </c>
      <c r="R926" t="s">
        <v>38</v>
      </c>
    </row>
    <row r="927" spans="1:18" x14ac:dyDescent="0.3">
      <c r="A927" t="s">
        <v>1277</v>
      </c>
      <c r="B927" s="13">
        <v>44238</v>
      </c>
      <c r="C927" t="s">
        <v>1278</v>
      </c>
      <c r="D927" t="s">
        <v>877</v>
      </c>
      <c r="E927" t="s">
        <v>231</v>
      </c>
      <c r="F927" t="s">
        <v>81</v>
      </c>
      <c r="G927" t="s">
        <v>34</v>
      </c>
      <c r="H927">
        <v>1</v>
      </c>
      <c r="I927">
        <v>19.59</v>
      </c>
      <c r="J927">
        <v>0.1</v>
      </c>
      <c r="K927">
        <v>0.88</v>
      </c>
      <c r="L927">
        <v>1.9</v>
      </c>
      <c r="M927">
        <v>20.41</v>
      </c>
      <c r="N927" t="s">
        <v>58</v>
      </c>
      <c r="O927" t="s">
        <v>144</v>
      </c>
      <c r="P927" t="s">
        <v>101</v>
      </c>
      <c r="Q927" t="s">
        <v>102</v>
      </c>
      <c r="R927" t="s">
        <v>61</v>
      </c>
    </row>
    <row r="928" spans="1:18" x14ac:dyDescent="0.3">
      <c r="A928" t="s">
        <v>1298</v>
      </c>
      <c r="B928" s="13">
        <v>44230</v>
      </c>
      <c r="C928" t="s">
        <v>1299</v>
      </c>
      <c r="D928" t="s">
        <v>791</v>
      </c>
      <c r="E928" t="s">
        <v>138</v>
      </c>
      <c r="F928" t="s">
        <v>81</v>
      </c>
      <c r="G928" t="s">
        <v>268</v>
      </c>
      <c r="H928">
        <v>2</v>
      </c>
      <c r="I928">
        <v>348.26</v>
      </c>
      <c r="J928">
        <v>0.2</v>
      </c>
      <c r="K928">
        <v>66.87</v>
      </c>
      <c r="L928">
        <v>1.02</v>
      </c>
      <c r="M928">
        <v>625.11</v>
      </c>
      <c r="N928" t="s">
        <v>24</v>
      </c>
      <c r="O928" t="s">
        <v>25</v>
      </c>
      <c r="P928" t="s">
        <v>26</v>
      </c>
      <c r="Q928" t="s">
        <v>27</v>
      </c>
      <c r="R928" t="s">
        <v>38</v>
      </c>
    </row>
    <row r="929" spans="1:18" x14ac:dyDescent="0.3">
      <c r="A929" t="s">
        <v>1319</v>
      </c>
      <c r="B929" s="13">
        <v>44684</v>
      </c>
      <c r="C929" t="s">
        <v>1320</v>
      </c>
      <c r="D929" t="s">
        <v>497</v>
      </c>
      <c r="E929" t="s">
        <v>142</v>
      </c>
      <c r="F929" t="s">
        <v>81</v>
      </c>
      <c r="G929" t="s">
        <v>57</v>
      </c>
      <c r="H929">
        <v>2</v>
      </c>
      <c r="I929">
        <v>342.87</v>
      </c>
      <c r="J929">
        <v>0.05</v>
      </c>
      <c r="K929">
        <v>52.12</v>
      </c>
      <c r="L929">
        <v>1.57</v>
      </c>
      <c r="M929">
        <v>705.14</v>
      </c>
      <c r="N929" t="s">
        <v>123</v>
      </c>
      <c r="O929" t="s">
        <v>25</v>
      </c>
      <c r="P929" t="s">
        <v>165</v>
      </c>
      <c r="Q929" t="s">
        <v>37</v>
      </c>
      <c r="R929" t="s">
        <v>38</v>
      </c>
    </row>
    <row r="930" spans="1:18" x14ac:dyDescent="0.3">
      <c r="A930" t="s">
        <v>1327</v>
      </c>
      <c r="B930" s="13">
        <v>44405</v>
      </c>
      <c r="C930" t="s">
        <v>1328</v>
      </c>
      <c r="D930" t="s">
        <v>1329</v>
      </c>
      <c r="E930" t="s">
        <v>138</v>
      </c>
      <c r="F930" t="s">
        <v>81</v>
      </c>
      <c r="G930" t="s">
        <v>66</v>
      </c>
      <c r="H930">
        <v>1</v>
      </c>
      <c r="I930">
        <v>345.37</v>
      </c>
      <c r="J930">
        <v>0.05</v>
      </c>
      <c r="K930">
        <v>26.25</v>
      </c>
      <c r="L930">
        <v>7.68</v>
      </c>
      <c r="M930">
        <v>362.03</v>
      </c>
      <c r="N930" t="s">
        <v>24</v>
      </c>
      <c r="O930" t="s">
        <v>82</v>
      </c>
      <c r="P930" t="s">
        <v>112</v>
      </c>
      <c r="Q930" t="s">
        <v>113</v>
      </c>
      <c r="R930" t="s">
        <v>28</v>
      </c>
    </row>
    <row r="931" spans="1:18" x14ac:dyDescent="0.3">
      <c r="A931" t="s">
        <v>1331</v>
      </c>
      <c r="B931" s="13">
        <v>44979</v>
      </c>
      <c r="C931" t="s">
        <v>1332</v>
      </c>
      <c r="D931" t="s">
        <v>79</v>
      </c>
      <c r="E931" t="s">
        <v>437</v>
      </c>
      <c r="F931" t="s">
        <v>81</v>
      </c>
      <c r="G931" t="s">
        <v>268</v>
      </c>
      <c r="H931">
        <v>1</v>
      </c>
      <c r="I931">
        <v>127.81</v>
      </c>
      <c r="J931">
        <v>0</v>
      </c>
      <c r="K931">
        <v>10.220000000000001</v>
      </c>
      <c r="L931">
        <v>4.1100000000000003</v>
      </c>
      <c r="M931">
        <v>142.13999999999999</v>
      </c>
      <c r="N931" t="s">
        <v>35</v>
      </c>
      <c r="O931" t="s">
        <v>25</v>
      </c>
      <c r="P931" t="s">
        <v>95</v>
      </c>
      <c r="Q931" t="s">
        <v>37</v>
      </c>
      <c r="R931" t="s">
        <v>38</v>
      </c>
    </row>
    <row r="932" spans="1:18" x14ac:dyDescent="0.3">
      <c r="A932" t="s">
        <v>1335</v>
      </c>
      <c r="B932" s="13">
        <v>44144</v>
      </c>
      <c r="C932" t="s">
        <v>1336</v>
      </c>
      <c r="D932" t="s">
        <v>531</v>
      </c>
      <c r="E932" t="s">
        <v>156</v>
      </c>
      <c r="F932" t="s">
        <v>81</v>
      </c>
      <c r="G932" t="s">
        <v>66</v>
      </c>
      <c r="H932">
        <v>5</v>
      </c>
      <c r="I932">
        <v>96.58</v>
      </c>
      <c r="J932">
        <v>0</v>
      </c>
      <c r="K932">
        <v>38.630000000000003</v>
      </c>
      <c r="L932">
        <v>6.68</v>
      </c>
      <c r="M932">
        <v>528.21</v>
      </c>
      <c r="N932" t="s">
        <v>24</v>
      </c>
      <c r="O932" t="s">
        <v>25</v>
      </c>
      <c r="P932" t="s">
        <v>60</v>
      </c>
      <c r="Q932" t="s">
        <v>37</v>
      </c>
      <c r="R932" t="s">
        <v>76</v>
      </c>
    </row>
    <row r="933" spans="1:18" x14ac:dyDescent="0.3">
      <c r="A933" t="s">
        <v>1357</v>
      </c>
      <c r="B933" s="13">
        <v>44274</v>
      </c>
      <c r="C933" t="s">
        <v>1358</v>
      </c>
      <c r="D933" t="s">
        <v>998</v>
      </c>
      <c r="E933" t="s">
        <v>287</v>
      </c>
      <c r="F933" t="s">
        <v>81</v>
      </c>
      <c r="G933" t="s">
        <v>198</v>
      </c>
      <c r="H933">
        <v>5</v>
      </c>
      <c r="I933">
        <v>550.04</v>
      </c>
      <c r="J933">
        <v>0.25</v>
      </c>
      <c r="K933">
        <v>0</v>
      </c>
      <c r="L933">
        <v>8.27</v>
      </c>
      <c r="M933">
        <v>2070.92</v>
      </c>
      <c r="N933" t="s">
        <v>35</v>
      </c>
      <c r="O933" t="s">
        <v>107</v>
      </c>
      <c r="P933" t="s">
        <v>101</v>
      </c>
      <c r="Q933" t="s">
        <v>102</v>
      </c>
      <c r="R933" t="s">
        <v>38</v>
      </c>
    </row>
    <row r="934" spans="1:18" x14ac:dyDescent="0.3">
      <c r="A934" t="s">
        <v>1375</v>
      </c>
      <c r="B934" s="13">
        <v>43835</v>
      </c>
      <c r="C934" t="s">
        <v>1376</v>
      </c>
      <c r="D934" t="s">
        <v>1377</v>
      </c>
      <c r="E934" t="s">
        <v>577</v>
      </c>
      <c r="F934" t="s">
        <v>81</v>
      </c>
      <c r="G934" t="s">
        <v>100</v>
      </c>
      <c r="H934">
        <v>1</v>
      </c>
      <c r="I934">
        <v>148.63999999999999</v>
      </c>
      <c r="J934">
        <v>0.25</v>
      </c>
      <c r="K934">
        <v>8.92</v>
      </c>
      <c r="L934">
        <v>6.7</v>
      </c>
      <c r="M934">
        <v>127.1</v>
      </c>
      <c r="N934" t="s">
        <v>58</v>
      </c>
      <c r="O934" t="s">
        <v>25</v>
      </c>
      <c r="P934" t="s">
        <v>124</v>
      </c>
      <c r="Q934" t="s">
        <v>125</v>
      </c>
      <c r="R934" t="s">
        <v>61</v>
      </c>
    </row>
    <row r="935" spans="1:18" x14ac:dyDescent="0.3">
      <c r="A935" t="s">
        <v>1378</v>
      </c>
      <c r="B935" s="13">
        <v>44957</v>
      </c>
      <c r="C935" t="s">
        <v>1379</v>
      </c>
      <c r="D935" t="s">
        <v>472</v>
      </c>
      <c r="E935" t="s">
        <v>691</v>
      </c>
      <c r="F935" t="s">
        <v>81</v>
      </c>
      <c r="G935" t="s">
        <v>49</v>
      </c>
      <c r="H935">
        <v>1</v>
      </c>
      <c r="I935">
        <v>95.29</v>
      </c>
      <c r="J935">
        <v>0</v>
      </c>
      <c r="K935">
        <v>4.76</v>
      </c>
      <c r="L935">
        <v>10.99</v>
      </c>
      <c r="M935">
        <v>111.04</v>
      </c>
      <c r="N935" t="s">
        <v>58</v>
      </c>
      <c r="O935" t="s">
        <v>25</v>
      </c>
      <c r="P935" t="s">
        <v>51</v>
      </c>
      <c r="Q935" t="s">
        <v>52</v>
      </c>
      <c r="R935" t="s">
        <v>38</v>
      </c>
    </row>
    <row r="936" spans="1:18" x14ac:dyDescent="0.3">
      <c r="A936" t="s">
        <v>1384</v>
      </c>
      <c r="B936" s="13">
        <v>44707</v>
      </c>
      <c r="C936" t="s">
        <v>1385</v>
      </c>
      <c r="D936" t="s">
        <v>569</v>
      </c>
      <c r="E936" t="s">
        <v>340</v>
      </c>
      <c r="F936" t="s">
        <v>81</v>
      </c>
      <c r="G936" t="s">
        <v>23</v>
      </c>
      <c r="H936">
        <v>5</v>
      </c>
      <c r="I936">
        <v>362.31</v>
      </c>
      <c r="J936">
        <v>0</v>
      </c>
      <c r="K936">
        <v>90.58</v>
      </c>
      <c r="L936">
        <v>3.51</v>
      </c>
      <c r="M936">
        <v>1905.64</v>
      </c>
      <c r="N936" t="s">
        <v>67</v>
      </c>
      <c r="O936" t="s">
        <v>59</v>
      </c>
      <c r="P936" t="s">
        <v>101</v>
      </c>
      <c r="Q936" t="s">
        <v>102</v>
      </c>
      <c r="R936" t="s">
        <v>38</v>
      </c>
    </row>
    <row r="937" spans="1:18" x14ac:dyDescent="0.3">
      <c r="A937" t="s">
        <v>1386</v>
      </c>
      <c r="B937" s="13">
        <v>44822</v>
      </c>
      <c r="C937" t="s">
        <v>1387</v>
      </c>
      <c r="D937" t="s">
        <v>252</v>
      </c>
      <c r="E937" t="s">
        <v>111</v>
      </c>
      <c r="F937" t="s">
        <v>81</v>
      </c>
      <c r="G937" t="s">
        <v>49</v>
      </c>
      <c r="H937">
        <v>4</v>
      </c>
      <c r="I937">
        <v>117.96</v>
      </c>
      <c r="J937">
        <v>0.05</v>
      </c>
      <c r="K937">
        <v>22.41</v>
      </c>
      <c r="L937">
        <v>12.41</v>
      </c>
      <c r="M937">
        <v>483.07</v>
      </c>
      <c r="N937" t="s">
        <v>24</v>
      </c>
      <c r="O937" t="s">
        <v>82</v>
      </c>
      <c r="P937" t="s">
        <v>101</v>
      </c>
      <c r="Q937" t="s">
        <v>102</v>
      </c>
      <c r="R937" t="s">
        <v>38</v>
      </c>
    </row>
    <row r="938" spans="1:18" x14ac:dyDescent="0.3">
      <c r="A938" t="s">
        <v>1397</v>
      </c>
      <c r="B938" s="13">
        <v>44653</v>
      </c>
      <c r="C938" t="s">
        <v>1398</v>
      </c>
      <c r="D938" t="s">
        <v>457</v>
      </c>
      <c r="E938" t="s">
        <v>48</v>
      </c>
      <c r="F938" t="s">
        <v>81</v>
      </c>
      <c r="G938" t="s">
        <v>100</v>
      </c>
      <c r="H938">
        <v>4</v>
      </c>
      <c r="I938">
        <v>446.49</v>
      </c>
      <c r="J938">
        <v>0</v>
      </c>
      <c r="K938">
        <v>142.88</v>
      </c>
      <c r="L938">
        <v>9.2200000000000006</v>
      </c>
      <c r="M938">
        <v>1938.06</v>
      </c>
      <c r="N938" t="s">
        <v>67</v>
      </c>
      <c r="O938" t="s">
        <v>25</v>
      </c>
      <c r="P938" t="s">
        <v>68</v>
      </c>
      <c r="Q938" t="s">
        <v>69</v>
      </c>
      <c r="R938" t="s">
        <v>61</v>
      </c>
    </row>
    <row r="939" spans="1:18" x14ac:dyDescent="0.3">
      <c r="A939" t="s">
        <v>1403</v>
      </c>
      <c r="B939" s="13">
        <v>44099</v>
      </c>
      <c r="C939" t="s">
        <v>1404</v>
      </c>
      <c r="D939" t="s">
        <v>662</v>
      </c>
      <c r="E939" t="s">
        <v>56</v>
      </c>
      <c r="F939" t="s">
        <v>81</v>
      </c>
      <c r="G939" t="s">
        <v>198</v>
      </c>
      <c r="H939">
        <v>3</v>
      </c>
      <c r="I939">
        <v>40.4</v>
      </c>
      <c r="J939">
        <v>0.1</v>
      </c>
      <c r="K939">
        <v>8.73</v>
      </c>
      <c r="L939">
        <v>2.81</v>
      </c>
      <c r="M939">
        <v>120.62</v>
      </c>
      <c r="N939" t="s">
        <v>35</v>
      </c>
      <c r="O939" t="s">
        <v>25</v>
      </c>
      <c r="P939" t="s">
        <v>145</v>
      </c>
      <c r="Q939" t="s">
        <v>146</v>
      </c>
      <c r="R939" t="s">
        <v>38</v>
      </c>
    </row>
    <row r="940" spans="1:18" x14ac:dyDescent="0.3">
      <c r="A940" t="s">
        <v>1405</v>
      </c>
      <c r="B940" s="13">
        <v>44200</v>
      </c>
      <c r="C940" t="s">
        <v>1406</v>
      </c>
      <c r="D940" t="s">
        <v>525</v>
      </c>
      <c r="E940" t="s">
        <v>197</v>
      </c>
      <c r="F940" t="s">
        <v>81</v>
      </c>
      <c r="G940" t="s">
        <v>203</v>
      </c>
      <c r="H940">
        <v>4</v>
      </c>
      <c r="I940">
        <v>346.01</v>
      </c>
      <c r="J940">
        <v>0.2</v>
      </c>
      <c r="K940">
        <v>55.36</v>
      </c>
      <c r="L940">
        <v>2.74</v>
      </c>
      <c r="M940">
        <v>1165.33</v>
      </c>
      <c r="N940" t="s">
        <v>67</v>
      </c>
      <c r="O940" t="s">
        <v>25</v>
      </c>
      <c r="P940" t="s">
        <v>68</v>
      </c>
      <c r="Q940" t="s">
        <v>69</v>
      </c>
      <c r="R940" t="s">
        <v>61</v>
      </c>
    </row>
    <row r="941" spans="1:18" x14ac:dyDescent="0.3">
      <c r="A941" t="s">
        <v>1416</v>
      </c>
      <c r="B941" s="13">
        <v>44487</v>
      </c>
      <c r="C941" t="s">
        <v>1417</v>
      </c>
      <c r="D941" t="s">
        <v>491</v>
      </c>
      <c r="E941" t="s">
        <v>294</v>
      </c>
      <c r="F941" t="s">
        <v>81</v>
      </c>
      <c r="G941" t="s">
        <v>49</v>
      </c>
      <c r="H941">
        <v>5</v>
      </c>
      <c r="I941">
        <v>166.38</v>
      </c>
      <c r="J941">
        <v>0</v>
      </c>
      <c r="K941">
        <v>41.6</v>
      </c>
      <c r="L941">
        <v>6.6</v>
      </c>
      <c r="M941">
        <v>880.1</v>
      </c>
      <c r="N941" t="s">
        <v>50</v>
      </c>
      <c r="O941" t="s">
        <v>25</v>
      </c>
      <c r="P941" t="s">
        <v>112</v>
      </c>
      <c r="Q941" t="s">
        <v>113</v>
      </c>
      <c r="R941" t="s">
        <v>28</v>
      </c>
    </row>
    <row r="942" spans="1:18" x14ac:dyDescent="0.3">
      <c r="A942" t="s">
        <v>1418</v>
      </c>
      <c r="B942" s="13">
        <v>43950</v>
      </c>
      <c r="C942" t="s">
        <v>1419</v>
      </c>
      <c r="D942" t="s">
        <v>491</v>
      </c>
      <c r="E942" t="s">
        <v>294</v>
      </c>
      <c r="F942" t="s">
        <v>81</v>
      </c>
      <c r="G942" t="s">
        <v>90</v>
      </c>
      <c r="H942">
        <v>5</v>
      </c>
      <c r="I942">
        <v>91.91</v>
      </c>
      <c r="J942">
        <v>0.25</v>
      </c>
      <c r="K942">
        <v>41.36</v>
      </c>
      <c r="L942">
        <v>0.28999999999999998</v>
      </c>
      <c r="M942">
        <v>386.31</v>
      </c>
      <c r="N942" t="s">
        <v>58</v>
      </c>
      <c r="O942" t="s">
        <v>25</v>
      </c>
      <c r="P942" t="s">
        <v>44</v>
      </c>
      <c r="Q942" t="s">
        <v>37</v>
      </c>
      <c r="R942" t="s">
        <v>38</v>
      </c>
    </row>
    <row r="943" spans="1:18" x14ac:dyDescent="0.3">
      <c r="A943" t="s">
        <v>1426</v>
      </c>
      <c r="B943" s="13">
        <v>44912</v>
      </c>
      <c r="C943" t="s">
        <v>1427</v>
      </c>
      <c r="D943" t="s">
        <v>201</v>
      </c>
      <c r="E943" t="s">
        <v>177</v>
      </c>
      <c r="F943" t="s">
        <v>81</v>
      </c>
      <c r="G943" t="s">
        <v>268</v>
      </c>
      <c r="H943">
        <v>4</v>
      </c>
      <c r="I943">
        <v>290.45</v>
      </c>
      <c r="J943">
        <v>0</v>
      </c>
      <c r="K943">
        <v>139.41999999999999</v>
      </c>
      <c r="L943">
        <v>13.2</v>
      </c>
      <c r="M943">
        <v>1314.42</v>
      </c>
      <c r="N943" t="s">
        <v>123</v>
      </c>
      <c r="O943" t="s">
        <v>82</v>
      </c>
      <c r="P943" t="s">
        <v>74</v>
      </c>
      <c r="Q943" t="s">
        <v>75</v>
      </c>
      <c r="R943" t="s">
        <v>76</v>
      </c>
    </row>
    <row r="944" spans="1:18" x14ac:dyDescent="0.3">
      <c r="A944" t="s">
        <v>1428</v>
      </c>
      <c r="B944" s="13">
        <v>45200</v>
      </c>
      <c r="C944" t="s">
        <v>1429</v>
      </c>
      <c r="D944" t="s">
        <v>754</v>
      </c>
      <c r="E944" t="s">
        <v>160</v>
      </c>
      <c r="F944" t="s">
        <v>81</v>
      </c>
      <c r="G944" t="s">
        <v>90</v>
      </c>
      <c r="H944">
        <v>3</v>
      </c>
      <c r="I944">
        <v>542.15</v>
      </c>
      <c r="J944">
        <v>0.15</v>
      </c>
      <c r="K944">
        <v>0</v>
      </c>
      <c r="L944">
        <v>8.0299999999999994</v>
      </c>
      <c r="M944">
        <v>1390.51</v>
      </c>
      <c r="N944" t="s">
        <v>35</v>
      </c>
      <c r="O944" t="s">
        <v>25</v>
      </c>
      <c r="P944" t="s">
        <v>145</v>
      </c>
      <c r="Q944" t="s">
        <v>146</v>
      </c>
      <c r="R944" t="s">
        <v>28</v>
      </c>
    </row>
    <row r="945" spans="1:18" x14ac:dyDescent="0.3">
      <c r="A945" t="s">
        <v>1432</v>
      </c>
      <c r="B945" s="13">
        <v>45328</v>
      </c>
      <c r="C945" t="s">
        <v>1433</v>
      </c>
      <c r="D945" t="s">
        <v>491</v>
      </c>
      <c r="E945" t="s">
        <v>216</v>
      </c>
      <c r="F945" t="s">
        <v>81</v>
      </c>
      <c r="G945" t="s">
        <v>198</v>
      </c>
      <c r="H945">
        <v>5</v>
      </c>
      <c r="I945">
        <v>129.53</v>
      </c>
      <c r="J945">
        <v>0.2</v>
      </c>
      <c r="K945">
        <v>25.91</v>
      </c>
      <c r="L945">
        <v>8.1199999999999992</v>
      </c>
      <c r="M945">
        <v>552.15</v>
      </c>
      <c r="N945" t="s">
        <v>35</v>
      </c>
      <c r="O945" t="s">
        <v>59</v>
      </c>
      <c r="P945" t="s">
        <v>101</v>
      </c>
      <c r="Q945" t="s">
        <v>102</v>
      </c>
      <c r="R945" t="s">
        <v>38</v>
      </c>
    </row>
    <row r="946" spans="1:18" x14ac:dyDescent="0.3">
      <c r="A946" t="s">
        <v>1436</v>
      </c>
      <c r="B946" s="13">
        <v>44621</v>
      </c>
      <c r="C946" t="s">
        <v>1437</v>
      </c>
      <c r="D946" t="s">
        <v>279</v>
      </c>
      <c r="E946" t="s">
        <v>425</v>
      </c>
      <c r="F946" t="s">
        <v>81</v>
      </c>
      <c r="G946" t="s">
        <v>23</v>
      </c>
      <c r="H946">
        <v>3</v>
      </c>
      <c r="I946">
        <v>287.91000000000003</v>
      </c>
      <c r="J946">
        <v>0.2</v>
      </c>
      <c r="K946">
        <v>55.28</v>
      </c>
      <c r="L946">
        <v>6.11</v>
      </c>
      <c r="M946">
        <v>752.37</v>
      </c>
      <c r="N946" t="s">
        <v>24</v>
      </c>
      <c r="O946" t="s">
        <v>107</v>
      </c>
      <c r="P946" t="s">
        <v>150</v>
      </c>
      <c r="Q946" t="s">
        <v>69</v>
      </c>
      <c r="R946" t="s">
        <v>183</v>
      </c>
    </row>
    <row r="947" spans="1:18" x14ac:dyDescent="0.3">
      <c r="A947" t="s">
        <v>1440</v>
      </c>
      <c r="B947" s="13">
        <v>45247</v>
      </c>
      <c r="C947" t="s">
        <v>1441</v>
      </c>
      <c r="D947" t="s">
        <v>1349</v>
      </c>
      <c r="E947" t="s">
        <v>106</v>
      </c>
      <c r="F947" t="s">
        <v>81</v>
      </c>
      <c r="G947" t="s">
        <v>66</v>
      </c>
      <c r="H947">
        <v>2</v>
      </c>
      <c r="I947">
        <v>488</v>
      </c>
      <c r="J947">
        <v>0</v>
      </c>
      <c r="K947">
        <v>117.12</v>
      </c>
      <c r="L947">
        <v>10.06</v>
      </c>
      <c r="M947">
        <v>1103.18</v>
      </c>
      <c r="N947" t="s">
        <v>58</v>
      </c>
      <c r="O947" t="s">
        <v>25</v>
      </c>
      <c r="P947" t="s">
        <v>173</v>
      </c>
      <c r="Q947" t="s">
        <v>174</v>
      </c>
      <c r="R947" t="s">
        <v>61</v>
      </c>
    </row>
    <row r="948" spans="1:18" x14ac:dyDescent="0.3">
      <c r="A948" t="s">
        <v>1448</v>
      </c>
      <c r="B948" s="13">
        <v>44464</v>
      </c>
      <c r="C948" t="s">
        <v>1449</v>
      </c>
      <c r="D948" t="s">
        <v>877</v>
      </c>
      <c r="E948" t="s">
        <v>287</v>
      </c>
      <c r="F948" t="s">
        <v>81</v>
      </c>
      <c r="G948" t="s">
        <v>34</v>
      </c>
      <c r="H948">
        <v>1</v>
      </c>
      <c r="I948">
        <v>209.89</v>
      </c>
      <c r="J948">
        <v>0.25</v>
      </c>
      <c r="K948">
        <v>28.34</v>
      </c>
      <c r="L948">
        <v>5.39</v>
      </c>
      <c r="M948">
        <v>191.15</v>
      </c>
      <c r="N948" t="s">
        <v>67</v>
      </c>
      <c r="O948" t="s">
        <v>25</v>
      </c>
      <c r="P948" t="s">
        <v>68</v>
      </c>
      <c r="Q948" t="s">
        <v>69</v>
      </c>
      <c r="R948" t="s">
        <v>38</v>
      </c>
    </row>
    <row r="949" spans="1:18" x14ac:dyDescent="0.3">
      <c r="A949" t="s">
        <v>1477</v>
      </c>
      <c r="B949" s="13">
        <v>45301</v>
      </c>
      <c r="C949" t="s">
        <v>1478</v>
      </c>
      <c r="D949" t="s">
        <v>655</v>
      </c>
      <c r="E949" t="s">
        <v>231</v>
      </c>
      <c r="F949" t="s">
        <v>81</v>
      </c>
      <c r="G949" t="s">
        <v>66</v>
      </c>
      <c r="H949">
        <v>1</v>
      </c>
      <c r="I949">
        <v>517.9</v>
      </c>
      <c r="J949">
        <v>0.05</v>
      </c>
      <c r="K949">
        <v>59.04</v>
      </c>
      <c r="L949">
        <v>10.5</v>
      </c>
      <c r="M949">
        <v>561.54</v>
      </c>
      <c r="N949" t="s">
        <v>58</v>
      </c>
      <c r="O949" t="s">
        <v>25</v>
      </c>
      <c r="P949" t="s">
        <v>150</v>
      </c>
      <c r="Q949" t="s">
        <v>69</v>
      </c>
      <c r="R949" t="s">
        <v>38</v>
      </c>
    </row>
    <row r="950" spans="1:18" x14ac:dyDescent="0.3">
      <c r="A950" t="s">
        <v>1496</v>
      </c>
      <c r="B950" s="13">
        <v>44827</v>
      </c>
      <c r="C950" t="s">
        <v>1497</v>
      </c>
      <c r="D950" t="s">
        <v>486</v>
      </c>
      <c r="E950" t="s">
        <v>300</v>
      </c>
      <c r="F950" t="s">
        <v>81</v>
      </c>
      <c r="G950" t="s">
        <v>34</v>
      </c>
      <c r="H950">
        <v>1</v>
      </c>
      <c r="I950">
        <v>85.9</v>
      </c>
      <c r="J950">
        <v>0</v>
      </c>
      <c r="K950">
        <v>4.3</v>
      </c>
      <c r="L950">
        <v>7.59</v>
      </c>
      <c r="M950">
        <v>97.79</v>
      </c>
      <c r="N950" t="s">
        <v>35</v>
      </c>
      <c r="O950" t="s">
        <v>25</v>
      </c>
      <c r="P950" t="s">
        <v>36</v>
      </c>
      <c r="Q950" t="s">
        <v>37</v>
      </c>
      <c r="R950" t="s">
        <v>38</v>
      </c>
    </row>
    <row r="951" spans="1:18" x14ac:dyDescent="0.3">
      <c r="A951" t="s">
        <v>1498</v>
      </c>
      <c r="B951" s="13">
        <v>44940</v>
      </c>
      <c r="C951" t="s">
        <v>1499</v>
      </c>
      <c r="D951" t="s">
        <v>303</v>
      </c>
      <c r="E951" t="s">
        <v>340</v>
      </c>
      <c r="F951" t="s">
        <v>81</v>
      </c>
      <c r="G951" t="s">
        <v>198</v>
      </c>
      <c r="H951">
        <v>5</v>
      </c>
      <c r="I951">
        <v>350.26</v>
      </c>
      <c r="J951">
        <v>0</v>
      </c>
      <c r="K951">
        <v>210.16</v>
      </c>
      <c r="L951">
        <v>4.42</v>
      </c>
      <c r="M951">
        <v>1965.88</v>
      </c>
      <c r="N951" t="s">
        <v>58</v>
      </c>
      <c r="O951" t="s">
        <v>25</v>
      </c>
      <c r="P951" t="s">
        <v>36</v>
      </c>
      <c r="Q951" t="s">
        <v>37</v>
      </c>
      <c r="R951" t="s">
        <v>38</v>
      </c>
    </row>
    <row r="952" spans="1:18" x14ac:dyDescent="0.3">
      <c r="A952" t="s">
        <v>1500</v>
      </c>
      <c r="B952" s="13">
        <v>44527</v>
      </c>
      <c r="C952" t="s">
        <v>1501</v>
      </c>
      <c r="D952" t="s">
        <v>1352</v>
      </c>
      <c r="E952" t="s">
        <v>73</v>
      </c>
      <c r="F952" t="s">
        <v>81</v>
      </c>
      <c r="G952" t="s">
        <v>34</v>
      </c>
      <c r="H952">
        <v>5</v>
      </c>
      <c r="I952">
        <v>63.52</v>
      </c>
      <c r="J952">
        <v>0.15</v>
      </c>
      <c r="K952">
        <v>48.59</v>
      </c>
      <c r="L952">
        <v>12.87</v>
      </c>
      <c r="M952">
        <v>331.42</v>
      </c>
      <c r="N952" t="s">
        <v>58</v>
      </c>
      <c r="O952" t="s">
        <v>25</v>
      </c>
      <c r="P952" t="s">
        <v>83</v>
      </c>
      <c r="Q952" t="s">
        <v>84</v>
      </c>
      <c r="R952" t="s">
        <v>38</v>
      </c>
    </row>
    <row r="953" spans="1:18" x14ac:dyDescent="0.3">
      <c r="A953" t="s">
        <v>1528</v>
      </c>
      <c r="B953" s="13">
        <v>44304</v>
      </c>
      <c r="C953" t="s">
        <v>1529</v>
      </c>
      <c r="D953" t="s">
        <v>260</v>
      </c>
      <c r="E953" t="s">
        <v>99</v>
      </c>
      <c r="F953" t="s">
        <v>81</v>
      </c>
      <c r="G953" t="s">
        <v>268</v>
      </c>
      <c r="H953">
        <v>2</v>
      </c>
      <c r="I953">
        <v>568.55999999999995</v>
      </c>
      <c r="J953">
        <v>0</v>
      </c>
      <c r="K953">
        <v>136.44999999999999</v>
      </c>
      <c r="L953">
        <v>4.9000000000000004</v>
      </c>
      <c r="M953">
        <v>1278.47</v>
      </c>
      <c r="N953" t="s">
        <v>50</v>
      </c>
      <c r="O953" t="s">
        <v>25</v>
      </c>
      <c r="P953" t="s">
        <v>26</v>
      </c>
      <c r="Q953" t="s">
        <v>27</v>
      </c>
      <c r="R953" t="s">
        <v>38</v>
      </c>
    </row>
    <row r="954" spans="1:18" x14ac:dyDescent="0.3">
      <c r="A954" t="s">
        <v>1539</v>
      </c>
      <c r="B954" s="13">
        <v>45143</v>
      </c>
      <c r="C954" t="s">
        <v>1540</v>
      </c>
      <c r="D954" t="s">
        <v>731</v>
      </c>
      <c r="E954" t="s">
        <v>164</v>
      </c>
      <c r="F954" t="s">
        <v>81</v>
      </c>
      <c r="G954" t="s">
        <v>90</v>
      </c>
      <c r="H954">
        <v>1</v>
      </c>
      <c r="I954">
        <v>51.51</v>
      </c>
      <c r="J954">
        <v>0</v>
      </c>
      <c r="K954">
        <v>4.12</v>
      </c>
      <c r="L954">
        <v>5.43</v>
      </c>
      <c r="M954">
        <v>61.06</v>
      </c>
      <c r="N954" t="s">
        <v>50</v>
      </c>
      <c r="O954" t="s">
        <v>107</v>
      </c>
      <c r="P954" t="s">
        <v>60</v>
      </c>
      <c r="Q954" t="s">
        <v>37</v>
      </c>
      <c r="R954" t="s">
        <v>76</v>
      </c>
    </row>
    <row r="955" spans="1:18" x14ac:dyDescent="0.3">
      <c r="A955" t="s">
        <v>1554</v>
      </c>
      <c r="B955" s="13">
        <v>45612</v>
      </c>
      <c r="C955" t="s">
        <v>1555</v>
      </c>
      <c r="D955" t="s">
        <v>655</v>
      </c>
      <c r="E955" t="s">
        <v>437</v>
      </c>
      <c r="F955" t="s">
        <v>81</v>
      </c>
      <c r="G955" t="s">
        <v>203</v>
      </c>
      <c r="H955">
        <v>5</v>
      </c>
      <c r="I955">
        <v>319.61</v>
      </c>
      <c r="J955">
        <v>0</v>
      </c>
      <c r="K955">
        <v>127.84</v>
      </c>
      <c r="L955">
        <v>3.69</v>
      </c>
      <c r="M955">
        <v>1729.58</v>
      </c>
      <c r="N955" t="s">
        <v>67</v>
      </c>
      <c r="O955" t="s">
        <v>107</v>
      </c>
      <c r="P955" t="s">
        <v>117</v>
      </c>
      <c r="Q955" t="s">
        <v>118</v>
      </c>
      <c r="R955" t="s">
        <v>28</v>
      </c>
    </row>
    <row r="956" spans="1:18" x14ac:dyDescent="0.3">
      <c r="A956" t="s">
        <v>1587</v>
      </c>
      <c r="B956" s="13">
        <v>45613</v>
      </c>
      <c r="C956" t="s">
        <v>1588</v>
      </c>
      <c r="D956" t="s">
        <v>263</v>
      </c>
      <c r="E956" t="s">
        <v>190</v>
      </c>
      <c r="F956" t="s">
        <v>81</v>
      </c>
      <c r="G956" t="s">
        <v>57</v>
      </c>
      <c r="H956">
        <v>5</v>
      </c>
      <c r="I956">
        <v>101.63</v>
      </c>
      <c r="J956">
        <v>0.05</v>
      </c>
      <c r="K956">
        <v>38.619999999999997</v>
      </c>
      <c r="L956">
        <v>1.65</v>
      </c>
      <c r="M956">
        <v>523.01</v>
      </c>
      <c r="N956" t="s">
        <v>35</v>
      </c>
      <c r="O956" t="s">
        <v>25</v>
      </c>
      <c r="P956" t="s">
        <v>51</v>
      </c>
      <c r="Q956" t="s">
        <v>52</v>
      </c>
      <c r="R956" t="s">
        <v>38</v>
      </c>
    </row>
    <row r="957" spans="1:18" x14ac:dyDescent="0.3">
      <c r="A957" t="s">
        <v>1589</v>
      </c>
      <c r="B957" s="13">
        <v>44088</v>
      </c>
      <c r="C957" t="s">
        <v>1590</v>
      </c>
      <c r="D957" t="s">
        <v>525</v>
      </c>
      <c r="E957" t="s">
        <v>156</v>
      </c>
      <c r="F957" t="s">
        <v>81</v>
      </c>
      <c r="G957" t="s">
        <v>100</v>
      </c>
      <c r="H957">
        <v>1</v>
      </c>
      <c r="I957">
        <v>92.3</v>
      </c>
      <c r="J957">
        <v>0</v>
      </c>
      <c r="K957">
        <v>11.08</v>
      </c>
      <c r="L957">
        <v>10.61</v>
      </c>
      <c r="M957">
        <v>113.99</v>
      </c>
      <c r="N957" t="s">
        <v>24</v>
      </c>
      <c r="O957" t="s">
        <v>82</v>
      </c>
      <c r="P957" t="s">
        <v>117</v>
      </c>
      <c r="Q957" t="s">
        <v>118</v>
      </c>
      <c r="R957" t="s">
        <v>38</v>
      </c>
    </row>
    <row r="958" spans="1:18" x14ac:dyDescent="0.3">
      <c r="A958" t="s">
        <v>1596</v>
      </c>
      <c r="B958" s="13">
        <v>43990</v>
      </c>
      <c r="C958" t="s">
        <v>1597</v>
      </c>
      <c r="D958" t="s">
        <v>400</v>
      </c>
      <c r="E958" t="s">
        <v>324</v>
      </c>
      <c r="F958" t="s">
        <v>81</v>
      </c>
      <c r="G958" t="s">
        <v>57</v>
      </c>
      <c r="H958">
        <v>5</v>
      </c>
      <c r="I958">
        <v>209.51</v>
      </c>
      <c r="J958">
        <v>0.05</v>
      </c>
      <c r="K958">
        <v>49.76</v>
      </c>
      <c r="L958">
        <v>11.36</v>
      </c>
      <c r="M958">
        <v>1056.29</v>
      </c>
      <c r="N958" t="s">
        <v>24</v>
      </c>
      <c r="O958" t="s">
        <v>25</v>
      </c>
      <c r="P958" t="s">
        <v>173</v>
      </c>
      <c r="Q958" t="s">
        <v>174</v>
      </c>
      <c r="R958" t="s">
        <v>38</v>
      </c>
    </row>
    <row r="959" spans="1:18" x14ac:dyDescent="0.3">
      <c r="A959" t="s">
        <v>1598</v>
      </c>
      <c r="B959" s="13">
        <v>45329</v>
      </c>
      <c r="C959" t="s">
        <v>1599</v>
      </c>
      <c r="D959" t="s">
        <v>230</v>
      </c>
      <c r="E959" t="s">
        <v>56</v>
      </c>
      <c r="F959" t="s">
        <v>81</v>
      </c>
      <c r="G959" t="s">
        <v>34</v>
      </c>
      <c r="H959">
        <v>2</v>
      </c>
      <c r="I959">
        <v>421.94</v>
      </c>
      <c r="J959">
        <v>0</v>
      </c>
      <c r="K959">
        <v>101.27</v>
      </c>
      <c r="L959">
        <v>1.04</v>
      </c>
      <c r="M959">
        <v>946.19</v>
      </c>
      <c r="N959" t="s">
        <v>67</v>
      </c>
      <c r="O959" t="s">
        <v>144</v>
      </c>
      <c r="P959" t="s">
        <v>257</v>
      </c>
      <c r="Q959" t="s">
        <v>69</v>
      </c>
      <c r="R959" t="s">
        <v>28</v>
      </c>
    </row>
    <row r="960" spans="1:18" x14ac:dyDescent="0.3">
      <c r="A960" t="s">
        <v>1600</v>
      </c>
      <c r="B960" s="13">
        <v>44682</v>
      </c>
      <c r="C960" t="s">
        <v>1601</v>
      </c>
      <c r="D960" t="s">
        <v>371</v>
      </c>
      <c r="E960" t="s">
        <v>291</v>
      </c>
      <c r="F960" t="s">
        <v>81</v>
      </c>
      <c r="G960" t="s">
        <v>90</v>
      </c>
      <c r="H960">
        <v>4</v>
      </c>
      <c r="I960">
        <v>18.329999999999998</v>
      </c>
      <c r="J960">
        <v>0</v>
      </c>
      <c r="K960">
        <v>0</v>
      </c>
      <c r="L960">
        <v>3.84</v>
      </c>
      <c r="M960">
        <v>77.16</v>
      </c>
      <c r="N960" t="s">
        <v>58</v>
      </c>
      <c r="O960" t="s">
        <v>25</v>
      </c>
      <c r="P960" t="s">
        <v>26</v>
      </c>
      <c r="Q960" t="s">
        <v>27</v>
      </c>
      <c r="R960" t="s">
        <v>38</v>
      </c>
    </row>
    <row r="961" spans="1:18" x14ac:dyDescent="0.3">
      <c r="A961" t="s">
        <v>1618</v>
      </c>
      <c r="B961" s="13">
        <v>45467</v>
      </c>
      <c r="C961" t="s">
        <v>1619</v>
      </c>
      <c r="D961" t="s">
        <v>816</v>
      </c>
      <c r="E961" t="s">
        <v>691</v>
      </c>
      <c r="F961" t="s">
        <v>81</v>
      </c>
      <c r="G961" t="s">
        <v>34</v>
      </c>
      <c r="H961">
        <v>3</v>
      </c>
      <c r="I961">
        <v>115.37</v>
      </c>
      <c r="J961">
        <v>0.1</v>
      </c>
      <c r="K961">
        <v>15.57</v>
      </c>
      <c r="L961">
        <v>4.0999999999999996</v>
      </c>
      <c r="M961">
        <v>331.17</v>
      </c>
      <c r="N961" t="s">
        <v>67</v>
      </c>
      <c r="O961" t="s">
        <v>25</v>
      </c>
      <c r="P961" t="s">
        <v>26</v>
      </c>
      <c r="Q961" t="s">
        <v>27</v>
      </c>
      <c r="R961" t="s">
        <v>38</v>
      </c>
    </row>
    <row r="962" spans="1:18" x14ac:dyDescent="0.3">
      <c r="A962" t="s">
        <v>1626</v>
      </c>
      <c r="B962" s="13">
        <v>45022</v>
      </c>
      <c r="C962" t="s">
        <v>1627</v>
      </c>
      <c r="D962" t="s">
        <v>731</v>
      </c>
      <c r="E962" t="s">
        <v>216</v>
      </c>
      <c r="F962" t="s">
        <v>81</v>
      </c>
      <c r="G962" t="s">
        <v>23</v>
      </c>
      <c r="H962">
        <v>4</v>
      </c>
      <c r="I962">
        <v>58.27</v>
      </c>
      <c r="J962">
        <v>0</v>
      </c>
      <c r="K962">
        <v>27.97</v>
      </c>
      <c r="L962">
        <v>11.21</v>
      </c>
      <c r="M962">
        <v>272.26</v>
      </c>
      <c r="N962" t="s">
        <v>67</v>
      </c>
      <c r="O962" t="s">
        <v>107</v>
      </c>
      <c r="P962" t="s">
        <v>95</v>
      </c>
      <c r="Q962" t="s">
        <v>37</v>
      </c>
      <c r="R962" t="s">
        <v>38</v>
      </c>
    </row>
    <row r="963" spans="1:18" x14ac:dyDescent="0.3">
      <c r="A963" t="s">
        <v>1633</v>
      </c>
      <c r="B963" s="13">
        <v>44115</v>
      </c>
      <c r="C963" t="s">
        <v>1634</v>
      </c>
      <c r="D963" t="s">
        <v>734</v>
      </c>
      <c r="E963" t="s">
        <v>324</v>
      </c>
      <c r="F963" t="s">
        <v>81</v>
      </c>
      <c r="G963" t="s">
        <v>100</v>
      </c>
      <c r="H963">
        <v>3</v>
      </c>
      <c r="I963">
        <v>453.13</v>
      </c>
      <c r="J963">
        <v>0.05</v>
      </c>
      <c r="K963">
        <v>64.569999999999993</v>
      </c>
      <c r="L963">
        <v>1.98</v>
      </c>
      <c r="M963">
        <v>1357.97</v>
      </c>
      <c r="N963" t="s">
        <v>123</v>
      </c>
      <c r="O963" t="s">
        <v>25</v>
      </c>
      <c r="P963" t="s">
        <v>165</v>
      </c>
      <c r="Q963" t="s">
        <v>37</v>
      </c>
      <c r="R963" t="s">
        <v>38</v>
      </c>
    </row>
    <row r="964" spans="1:18" x14ac:dyDescent="0.3">
      <c r="A964" t="s">
        <v>1651</v>
      </c>
      <c r="B964" s="13">
        <v>44557</v>
      </c>
      <c r="C964" t="s">
        <v>1652</v>
      </c>
      <c r="D964" t="s">
        <v>569</v>
      </c>
      <c r="E964" t="s">
        <v>32</v>
      </c>
      <c r="F964" t="s">
        <v>81</v>
      </c>
      <c r="G964" t="s">
        <v>66</v>
      </c>
      <c r="H964">
        <v>2</v>
      </c>
      <c r="I964">
        <v>101.97</v>
      </c>
      <c r="J964">
        <v>0</v>
      </c>
      <c r="K964">
        <v>10.199999999999999</v>
      </c>
      <c r="L964">
        <v>10.29</v>
      </c>
      <c r="M964">
        <v>224.43</v>
      </c>
      <c r="N964" t="s">
        <v>67</v>
      </c>
      <c r="O964" t="s">
        <v>25</v>
      </c>
      <c r="P964" t="s">
        <v>145</v>
      </c>
      <c r="Q964" t="s">
        <v>146</v>
      </c>
      <c r="R964" t="s">
        <v>38</v>
      </c>
    </row>
    <row r="965" spans="1:18" x14ac:dyDescent="0.3">
      <c r="A965" t="s">
        <v>1694</v>
      </c>
      <c r="B965" s="13">
        <v>44851</v>
      </c>
      <c r="C965" t="s">
        <v>1695</v>
      </c>
      <c r="D965" t="s">
        <v>397</v>
      </c>
      <c r="E965" t="s">
        <v>243</v>
      </c>
      <c r="F965" t="s">
        <v>81</v>
      </c>
      <c r="G965" t="s">
        <v>66</v>
      </c>
      <c r="H965">
        <v>2</v>
      </c>
      <c r="I965">
        <v>153.62</v>
      </c>
      <c r="J965">
        <v>0</v>
      </c>
      <c r="K965">
        <v>24.58</v>
      </c>
      <c r="L965">
        <v>10.82</v>
      </c>
      <c r="M965">
        <v>342.64</v>
      </c>
      <c r="N965" t="s">
        <v>58</v>
      </c>
      <c r="O965" t="s">
        <v>107</v>
      </c>
      <c r="P965" t="s">
        <v>74</v>
      </c>
      <c r="Q965" t="s">
        <v>75</v>
      </c>
      <c r="R965" t="s">
        <v>28</v>
      </c>
    </row>
    <row r="966" spans="1:18" x14ac:dyDescent="0.3">
      <c r="A966" t="s">
        <v>1708</v>
      </c>
      <c r="B966" s="13">
        <v>44569</v>
      </c>
      <c r="C966" t="s">
        <v>1709</v>
      </c>
      <c r="D966" t="s">
        <v>494</v>
      </c>
      <c r="E966" t="s">
        <v>138</v>
      </c>
      <c r="F966" t="s">
        <v>81</v>
      </c>
      <c r="G966" t="s">
        <v>198</v>
      </c>
      <c r="H966">
        <v>3</v>
      </c>
      <c r="I966">
        <v>454.5</v>
      </c>
      <c r="J966">
        <v>0.1</v>
      </c>
      <c r="K966">
        <v>147.26</v>
      </c>
      <c r="L966">
        <v>13.56</v>
      </c>
      <c r="M966">
        <v>1387.97</v>
      </c>
      <c r="N966" t="s">
        <v>24</v>
      </c>
      <c r="O966" t="s">
        <v>25</v>
      </c>
      <c r="P966" t="s">
        <v>178</v>
      </c>
      <c r="Q966" t="s">
        <v>69</v>
      </c>
      <c r="R966" t="s">
        <v>38</v>
      </c>
    </row>
    <row r="967" spans="1:18" x14ac:dyDescent="0.3">
      <c r="A967" t="s">
        <v>1712</v>
      </c>
      <c r="B967" s="13">
        <v>44953</v>
      </c>
      <c r="C967" t="s">
        <v>1453</v>
      </c>
      <c r="D967" t="s">
        <v>469</v>
      </c>
      <c r="E967" t="s">
        <v>132</v>
      </c>
      <c r="F967" t="s">
        <v>81</v>
      </c>
      <c r="G967" t="s">
        <v>203</v>
      </c>
      <c r="H967">
        <v>2</v>
      </c>
      <c r="I967">
        <v>227.77</v>
      </c>
      <c r="J967">
        <v>0</v>
      </c>
      <c r="K967">
        <v>22.78</v>
      </c>
      <c r="L967">
        <v>11.15</v>
      </c>
      <c r="M967">
        <v>489.47</v>
      </c>
      <c r="N967" t="s">
        <v>24</v>
      </c>
      <c r="O967" t="s">
        <v>82</v>
      </c>
      <c r="P967" t="s">
        <v>74</v>
      </c>
      <c r="Q967" t="s">
        <v>75</v>
      </c>
      <c r="R967" t="s">
        <v>38</v>
      </c>
    </row>
    <row r="968" spans="1:18" x14ac:dyDescent="0.3">
      <c r="A968" t="s">
        <v>1725</v>
      </c>
      <c r="B968" s="13">
        <v>45044</v>
      </c>
      <c r="C968" t="s">
        <v>1726</v>
      </c>
      <c r="D968" t="s">
        <v>1367</v>
      </c>
      <c r="E968" t="s">
        <v>287</v>
      </c>
      <c r="F968" t="s">
        <v>81</v>
      </c>
      <c r="G968" t="s">
        <v>23</v>
      </c>
      <c r="H968">
        <v>4</v>
      </c>
      <c r="I968">
        <v>506.79</v>
      </c>
      <c r="J968">
        <v>0.05</v>
      </c>
      <c r="K968">
        <v>231.1</v>
      </c>
      <c r="L968">
        <v>5.61</v>
      </c>
      <c r="M968">
        <v>2162.5100000000002</v>
      </c>
      <c r="N968" t="s">
        <v>24</v>
      </c>
      <c r="O968" t="s">
        <v>107</v>
      </c>
      <c r="P968" t="s">
        <v>173</v>
      </c>
      <c r="Q968" t="s">
        <v>174</v>
      </c>
      <c r="R968" t="s">
        <v>38</v>
      </c>
    </row>
    <row r="969" spans="1:18" x14ac:dyDescent="0.3">
      <c r="A969" t="s">
        <v>1727</v>
      </c>
      <c r="B969" s="13">
        <v>45590</v>
      </c>
      <c r="C969" t="s">
        <v>1728</v>
      </c>
      <c r="D969" t="s">
        <v>807</v>
      </c>
      <c r="E969" t="s">
        <v>392</v>
      </c>
      <c r="F969" t="s">
        <v>81</v>
      </c>
      <c r="G969" t="s">
        <v>66</v>
      </c>
      <c r="H969">
        <v>5</v>
      </c>
      <c r="I969">
        <v>104.66</v>
      </c>
      <c r="J969">
        <v>0</v>
      </c>
      <c r="K969">
        <v>62.8</v>
      </c>
      <c r="L969">
        <v>4.0999999999999996</v>
      </c>
      <c r="M969">
        <v>590.20000000000005</v>
      </c>
      <c r="N969" t="s">
        <v>123</v>
      </c>
      <c r="O969" t="s">
        <v>107</v>
      </c>
      <c r="P969" t="s">
        <v>74</v>
      </c>
      <c r="Q969" t="s">
        <v>75</v>
      </c>
      <c r="R969" t="s">
        <v>38</v>
      </c>
    </row>
    <row r="970" spans="1:18" x14ac:dyDescent="0.3">
      <c r="A970" t="s">
        <v>1733</v>
      </c>
      <c r="B970" s="13">
        <v>45223</v>
      </c>
      <c r="C970" t="s">
        <v>1734</v>
      </c>
      <c r="D970" t="s">
        <v>440</v>
      </c>
      <c r="E970" t="s">
        <v>122</v>
      </c>
      <c r="F970" t="s">
        <v>81</v>
      </c>
      <c r="G970" t="s">
        <v>198</v>
      </c>
      <c r="H970">
        <v>5</v>
      </c>
      <c r="I970">
        <v>597.16</v>
      </c>
      <c r="J970">
        <v>0.2</v>
      </c>
      <c r="K970">
        <v>0</v>
      </c>
      <c r="L970">
        <v>13.59</v>
      </c>
      <c r="M970">
        <v>2402.23</v>
      </c>
      <c r="N970" t="s">
        <v>58</v>
      </c>
      <c r="O970" t="s">
        <v>25</v>
      </c>
      <c r="P970" t="s">
        <v>68</v>
      </c>
      <c r="Q970" t="s">
        <v>69</v>
      </c>
      <c r="R970" t="s">
        <v>38</v>
      </c>
    </row>
    <row r="971" spans="1:18" x14ac:dyDescent="0.3">
      <c r="A971" t="s">
        <v>1741</v>
      </c>
      <c r="B971" s="13">
        <v>44047</v>
      </c>
      <c r="C971" t="s">
        <v>1742</v>
      </c>
      <c r="D971" t="s">
        <v>528</v>
      </c>
      <c r="E971" t="s">
        <v>283</v>
      </c>
      <c r="F971" t="s">
        <v>81</v>
      </c>
      <c r="G971" t="s">
        <v>203</v>
      </c>
      <c r="H971">
        <v>1</v>
      </c>
      <c r="I971">
        <v>19.55</v>
      </c>
      <c r="J971">
        <v>0.05</v>
      </c>
      <c r="K971">
        <v>2.23</v>
      </c>
      <c r="L971">
        <v>3.7</v>
      </c>
      <c r="M971">
        <v>24.5</v>
      </c>
      <c r="N971" t="s">
        <v>123</v>
      </c>
      <c r="O971" t="s">
        <v>25</v>
      </c>
      <c r="P971" t="s">
        <v>178</v>
      </c>
      <c r="Q971" t="s">
        <v>69</v>
      </c>
      <c r="R971" t="s">
        <v>28</v>
      </c>
    </row>
    <row r="972" spans="1:18" x14ac:dyDescent="0.3">
      <c r="A972" t="s">
        <v>1760</v>
      </c>
      <c r="B972" s="13">
        <v>44529</v>
      </c>
      <c r="C972" t="s">
        <v>1761</v>
      </c>
      <c r="D972" t="s">
        <v>731</v>
      </c>
      <c r="E972" t="s">
        <v>142</v>
      </c>
      <c r="F972" t="s">
        <v>81</v>
      </c>
      <c r="G972" t="s">
        <v>34</v>
      </c>
      <c r="H972">
        <v>3</v>
      </c>
      <c r="I972">
        <v>195.03</v>
      </c>
      <c r="J972">
        <v>0.1</v>
      </c>
      <c r="K972">
        <v>94.78</v>
      </c>
      <c r="L972">
        <v>13.87</v>
      </c>
      <c r="M972">
        <v>635.23</v>
      </c>
      <c r="N972" t="s">
        <v>58</v>
      </c>
      <c r="O972" t="s">
        <v>25</v>
      </c>
      <c r="P972" t="s">
        <v>83</v>
      </c>
      <c r="Q972" t="s">
        <v>84</v>
      </c>
      <c r="R972" t="s">
        <v>38</v>
      </c>
    </row>
    <row r="973" spans="1:18" x14ac:dyDescent="0.3">
      <c r="A973" t="s">
        <v>1774</v>
      </c>
      <c r="B973" s="13">
        <v>43906</v>
      </c>
      <c r="C973" t="s">
        <v>1775</v>
      </c>
      <c r="D973" t="s">
        <v>352</v>
      </c>
      <c r="E973" t="s">
        <v>80</v>
      </c>
      <c r="F973" t="s">
        <v>81</v>
      </c>
      <c r="G973" t="s">
        <v>23</v>
      </c>
      <c r="H973">
        <v>5</v>
      </c>
      <c r="I973">
        <v>38.119999999999997</v>
      </c>
      <c r="J973">
        <v>0.05</v>
      </c>
      <c r="K973">
        <v>14.49</v>
      </c>
      <c r="L973">
        <v>13.53</v>
      </c>
      <c r="M973">
        <v>209.09</v>
      </c>
      <c r="N973" t="s">
        <v>58</v>
      </c>
      <c r="O973" t="s">
        <v>107</v>
      </c>
      <c r="P973" t="s">
        <v>133</v>
      </c>
      <c r="Q973" t="s">
        <v>134</v>
      </c>
      <c r="R973" t="s">
        <v>28</v>
      </c>
    </row>
    <row r="974" spans="1:18" x14ac:dyDescent="0.3">
      <c r="A974" t="s">
        <v>1781</v>
      </c>
      <c r="B974" s="13">
        <v>45650</v>
      </c>
      <c r="C974" t="s">
        <v>1782</v>
      </c>
      <c r="D974" t="s">
        <v>20</v>
      </c>
      <c r="E974" t="s">
        <v>386</v>
      </c>
      <c r="F974" t="s">
        <v>81</v>
      </c>
      <c r="G974" t="s">
        <v>90</v>
      </c>
      <c r="H974">
        <v>1</v>
      </c>
      <c r="I974">
        <v>564.47</v>
      </c>
      <c r="J974">
        <v>0</v>
      </c>
      <c r="K974">
        <v>67.739999999999995</v>
      </c>
      <c r="L974">
        <v>12.64</v>
      </c>
      <c r="M974">
        <v>644.85</v>
      </c>
      <c r="N974" t="s">
        <v>24</v>
      </c>
      <c r="O974" t="s">
        <v>107</v>
      </c>
      <c r="P974" t="s">
        <v>124</v>
      </c>
      <c r="Q974" t="s">
        <v>125</v>
      </c>
      <c r="R974" t="s">
        <v>28</v>
      </c>
    </row>
    <row r="975" spans="1:18" x14ac:dyDescent="0.3">
      <c r="A975" t="s">
        <v>1802</v>
      </c>
      <c r="B975" s="13">
        <v>44923</v>
      </c>
      <c r="C975" t="s">
        <v>1803</v>
      </c>
      <c r="D975" t="s">
        <v>266</v>
      </c>
      <c r="E975" t="s">
        <v>32</v>
      </c>
      <c r="F975" t="s">
        <v>81</v>
      </c>
      <c r="G975" t="s">
        <v>34</v>
      </c>
      <c r="H975">
        <v>1</v>
      </c>
      <c r="I975">
        <v>420.81</v>
      </c>
      <c r="J975">
        <v>0.05</v>
      </c>
      <c r="K975">
        <v>0</v>
      </c>
      <c r="L975">
        <v>8.26</v>
      </c>
      <c r="M975">
        <v>408.03</v>
      </c>
      <c r="N975" t="s">
        <v>58</v>
      </c>
      <c r="O975" t="s">
        <v>25</v>
      </c>
      <c r="P975" t="s">
        <v>112</v>
      </c>
      <c r="Q975" t="s">
        <v>113</v>
      </c>
      <c r="R975" t="s">
        <v>38</v>
      </c>
    </row>
    <row r="976" spans="1:18" x14ac:dyDescent="0.3">
      <c r="A976" t="s">
        <v>1815</v>
      </c>
      <c r="B976" s="13">
        <v>45338</v>
      </c>
      <c r="C976" t="s">
        <v>1816</v>
      </c>
      <c r="D976" t="s">
        <v>141</v>
      </c>
      <c r="E976" t="s">
        <v>597</v>
      </c>
      <c r="F976" t="s">
        <v>81</v>
      </c>
      <c r="G976" t="s">
        <v>198</v>
      </c>
      <c r="H976">
        <v>1</v>
      </c>
      <c r="I976">
        <v>111.71</v>
      </c>
      <c r="J976">
        <v>0.1</v>
      </c>
      <c r="K976">
        <v>8.0399999999999991</v>
      </c>
      <c r="L976">
        <v>3.49</v>
      </c>
      <c r="M976">
        <v>112.07</v>
      </c>
      <c r="N976" t="s">
        <v>24</v>
      </c>
      <c r="O976" t="s">
        <v>59</v>
      </c>
      <c r="P976" t="s">
        <v>165</v>
      </c>
      <c r="Q976" t="s">
        <v>37</v>
      </c>
      <c r="R976" t="s">
        <v>38</v>
      </c>
    </row>
    <row r="977" spans="1:18" x14ac:dyDescent="0.3">
      <c r="A977" t="s">
        <v>1825</v>
      </c>
      <c r="B977" s="13">
        <v>44893</v>
      </c>
      <c r="C977" t="s">
        <v>1826</v>
      </c>
      <c r="D977" t="s">
        <v>1780</v>
      </c>
      <c r="E977" t="s">
        <v>386</v>
      </c>
      <c r="F977" t="s">
        <v>81</v>
      </c>
      <c r="G977" t="s">
        <v>66</v>
      </c>
      <c r="H977">
        <v>2</v>
      </c>
      <c r="I977">
        <v>284.32</v>
      </c>
      <c r="J977">
        <v>0</v>
      </c>
      <c r="K977">
        <v>28.43</v>
      </c>
      <c r="L977">
        <v>4.72</v>
      </c>
      <c r="M977">
        <v>601.79</v>
      </c>
      <c r="N977" t="s">
        <v>24</v>
      </c>
      <c r="O977" t="s">
        <v>25</v>
      </c>
      <c r="P977" t="s">
        <v>74</v>
      </c>
      <c r="Q977" t="s">
        <v>75</v>
      </c>
      <c r="R977" t="s">
        <v>38</v>
      </c>
    </row>
    <row r="978" spans="1:18" x14ac:dyDescent="0.3">
      <c r="A978" t="s">
        <v>1864</v>
      </c>
      <c r="B978" s="13">
        <v>44322</v>
      </c>
      <c r="C978" t="s">
        <v>1865</v>
      </c>
      <c r="D978" t="s">
        <v>911</v>
      </c>
      <c r="E978" t="s">
        <v>197</v>
      </c>
      <c r="F978" t="s">
        <v>81</v>
      </c>
      <c r="G978" t="s">
        <v>23</v>
      </c>
      <c r="H978">
        <v>3</v>
      </c>
      <c r="I978">
        <v>431.18</v>
      </c>
      <c r="J978">
        <v>0.05</v>
      </c>
      <c r="K978">
        <v>98.31</v>
      </c>
      <c r="L978">
        <v>9.2200000000000006</v>
      </c>
      <c r="M978">
        <v>1336.39</v>
      </c>
      <c r="N978" t="s">
        <v>67</v>
      </c>
      <c r="O978" t="s">
        <v>25</v>
      </c>
      <c r="P978" t="s">
        <v>36</v>
      </c>
      <c r="Q978" t="s">
        <v>37</v>
      </c>
      <c r="R978" t="s">
        <v>38</v>
      </c>
    </row>
    <row r="979" spans="1:18" x14ac:dyDescent="0.3">
      <c r="A979" t="s">
        <v>1895</v>
      </c>
      <c r="B979" s="13">
        <v>43859</v>
      </c>
      <c r="C979" t="s">
        <v>1896</v>
      </c>
      <c r="D979" t="s">
        <v>675</v>
      </c>
      <c r="E979" t="s">
        <v>122</v>
      </c>
      <c r="F979" t="s">
        <v>81</v>
      </c>
      <c r="G979" t="s">
        <v>49</v>
      </c>
      <c r="H979">
        <v>5</v>
      </c>
      <c r="I979">
        <v>407.02</v>
      </c>
      <c r="J979">
        <v>0.25</v>
      </c>
      <c r="K979">
        <v>76.319999999999993</v>
      </c>
      <c r="L979">
        <v>12.99</v>
      </c>
      <c r="M979">
        <v>1615.63</v>
      </c>
      <c r="N979" t="s">
        <v>58</v>
      </c>
      <c r="O979" t="s">
        <v>59</v>
      </c>
      <c r="P979" t="s">
        <v>150</v>
      </c>
      <c r="Q979" t="s">
        <v>69</v>
      </c>
      <c r="R979" t="s">
        <v>28</v>
      </c>
    </row>
    <row r="980" spans="1:18" x14ac:dyDescent="0.3">
      <c r="A980" t="s">
        <v>1901</v>
      </c>
      <c r="B980" s="13">
        <v>44169</v>
      </c>
      <c r="C980" t="s">
        <v>1902</v>
      </c>
      <c r="D980" t="s">
        <v>520</v>
      </c>
      <c r="E980" t="s">
        <v>294</v>
      </c>
      <c r="F980" t="s">
        <v>81</v>
      </c>
      <c r="G980" t="s">
        <v>100</v>
      </c>
      <c r="H980">
        <v>3</v>
      </c>
      <c r="I980">
        <v>175.51</v>
      </c>
      <c r="J980">
        <v>0.1</v>
      </c>
      <c r="K980">
        <v>23.69</v>
      </c>
      <c r="L980">
        <v>12.69</v>
      </c>
      <c r="M980">
        <v>510.26</v>
      </c>
      <c r="N980" t="s">
        <v>24</v>
      </c>
      <c r="O980" t="s">
        <v>25</v>
      </c>
      <c r="P980" t="s">
        <v>112</v>
      </c>
      <c r="Q980" t="s">
        <v>113</v>
      </c>
      <c r="R980" t="s">
        <v>38</v>
      </c>
    </row>
    <row r="981" spans="1:18" x14ac:dyDescent="0.3">
      <c r="A981" t="s">
        <v>1905</v>
      </c>
      <c r="B981" s="13">
        <v>45350</v>
      </c>
      <c r="C981" t="s">
        <v>1732</v>
      </c>
      <c r="D981" t="s">
        <v>159</v>
      </c>
      <c r="E981" t="s">
        <v>182</v>
      </c>
      <c r="F981" t="s">
        <v>81</v>
      </c>
      <c r="G981" t="s">
        <v>34</v>
      </c>
      <c r="H981">
        <v>4</v>
      </c>
      <c r="I981">
        <v>279.89999999999998</v>
      </c>
      <c r="J981">
        <v>0</v>
      </c>
      <c r="K981">
        <v>55.98</v>
      </c>
      <c r="L981">
        <v>14.23</v>
      </c>
      <c r="M981">
        <v>1189.81</v>
      </c>
      <c r="N981" t="s">
        <v>24</v>
      </c>
      <c r="O981" t="s">
        <v>25</v>
      </c>
      <c r="P981" t="s">
        <v>101</v>
      </c>
      <c r="Q981" t="s">
        <v>102</v>
      </c>
      <c r="R981" t="s">
        <v>38</v>
      </c>
    </row>
    <row r="982" spans="1:18" x14ac:dyDescent="0.3">
      <c r="A982" t="s">
        <v>1910</v>
      </c>
      <c r="B982" s="13">
        <v>44330</v>
      </c>
      <c r="C982" t="s">
        <v>1911</v>
      </c>
      <c r="D982" t="s">
        <v>582</v>
      </c>
      <c r="E982" t="s">
        <v>437</v>
      </c>
      <c r="F982" t="s">
        <v>81</v>
      </c>
      <c r="G982" t="s">
        <v>49</v>
      </c>
      <c r="H982">
        <v>4</v>
      </c>
      <c r="I982">
        <v>141.19</v>
      </c>
      <c r="J982">
        <v>0.1</v>
      </c>
      <c r="K982">
        <v>0</v>
      </c>
      <c r="L982">
        <v>4.51</v>
      </c>
      <c r="M982">
        <v>512.79</v>
      </c>
      <c r="N982" t="s">
        <v>24</v>
      </c>
      <c r="O982" t="s">
        <v>25</v>
      </c>
      <c r="P982" t="s">
        <v>165</v>
      </c>
      <c r="Q982" t="s">
        <v>37</v>
      </c>
      <c r="R982" t="s">
        <v>28</v>
      </c>
    </row>
    <row r="983" spans="1:18" x14ac:dyDescent="0.3">
      <c r="A983" t="s">
        <v>1922</v>
      </c>
      <c r="B983" s="13">
        <v>44986</v>
      </c>
      <c r="C983" t="s">
        <v>1923</v>
      </c>
      <c r="D983" t="s">
        <v>196</v>
      </c>
      <c r="E983" t="s">
        <v>88</v>
      </c>
      <c r="F983" t="s">
        <v>81</v>
      </c>
      <c r="G983" t="s">
        <v>23</v>
      </c>
      <c r="H983">
        <v>2</v>
      </c>
      <c r="I983">
        <v>292.85000000000002</v>
      </c>
      <c r="J983">
        <v>0</v>
      </c>
      <c r="K983">
        <v>0</v>
      </c>
      <c r="L983">
        <v>12.33</v>
      </c>
      <c r="M983">
        <v>598.03</v>
      </c>
      <c r="N983" t="s">
        <v>123</v>
      </c>
      <c r="O983" t="s">
        <v>25</v>
      </c>
      <c r="P983" t="s">
        <v>150</v>
      </c>
      <c r="Q983" t="s">
        <v>69</v>
      </c>
      <c r="R983" t="s">
        <v>38</v>
      </c>
    </row>
    <row r="984" spans="1:18" x14ac:dyDescent="0.3">
      <c r="A984" t="s">
        <v>1943</v>
      </c>
      <c r="B984" s="13">
        <v>45385</v>
      </c>
      <c r="C984" t="s">
        <v>1944</v>
      </c>
      <c r="D984" t="s">
        <v>494</v>
      </c>
      <c r="E984" t="s">
        <v>106</v>
      </c>
      <c r="F984" t="s">
        <v>81</v>
      </c>
      <c r="G984" t="s">
        <v>66</v>
      </c>
      <c r="H984">
        <v>1</v>
      </c>
      <c r="I984">
        <v>452.39</v>
      </c>
      <c r="J984">
        <v>0.1</v>
      </c>
      <c r="K984">
        <v>20.36</v>
      </c>
      <c r="L984">
        <v>11.15</v>
      </c>
      <c r="M984">
        <v>438.66</v>
      </c>
      <c r="N984" t="s">
        <v>58</v>
      </c>
      <c r="O984" t="s">
        <v>107</v>
      </c>
      <c r="P984" t="s">
        <v>173</v>
      </c>
      <c r="Q984" t="s">
        <v>174</v>
      </c>
      <c r="R984" t="s">
        <v>183</v>
      </c>
    </row>
    <row r="985" spans="1:18" x14ac:dyDescent="0.3">
      <c r="A985" t="s">
        <v>1947</v>
      </c>
      <c r="B985" s="13">
        <v>44980</v>
      </c>
      <c r="C985" t="s">
        <v>1948</v>
      </c>
      <c r="D985" t="s">
        <v>582</v>
      </c>
      <c r="E985" t="s">
        <v>106</v>
      </c>
      <c r="F985" t="s">
        <v>81</v>
      </c>
      <c r="G985" t="s">
        <v>198</v>
      </c>
      <c r="H985">
        <v>4</v>
      </c>
      <c r="I985">
        <v>589.91999999999996</v>
      </c>
      <c r="J985">
        <v>0</v>
      </c>
      <c r="K985">
        <v>117.98</v>
      </c>
      <c r="L985">
        <v>8.2200000000000006</v>
      </c>
      <c r="M985">
        <v>2485.88</v>
      </c>
      <c r="N985" t="s">
        <v>50</v>
      </c>
      <c r="O985" t="s">
        <v>25</v>
      </c>
      <c r="P985" t="s">
        <v>145</v>
      </c>
      <c r="Q985" t="s">
        <v>146</v>
      </c>
      <c r="R985" t="s">
        <v>38</v>
      </c>
    </row>
    <row r="986" spans="1:18" x14ac:dyDescent="0.3">
      <c r="A986" t="s">
        <v>2001</v>
      </c>
      <c r="B986" s="13">
        <v>43964</v>
      </c>
      <c r="C986" t="s">
        <v>2002</v>
      </c>
      <c r="D986" t="s">
        <v>596</v>
      </c>
      <c r="E986" t="s">
        <v>21</v>
      </c>
      <c r="F986" t="s">
        <v>81</v>
      </c>
      <c r="G986" t="s">
        <v>34</v>
      </c>
      <c r="H986">
        <v>1</v>
      </c>
      <c r="I986">
        <v>30.62</v>
      </c>
      <c r="J986">
        <v>0</v>
      </c>
      <c r="K986">
        <v>3.67</v>
      </c>
      <c r="L986">
        <v>3.08</v>
      </c>
      <c r="M986">
        <v>37.369999999999997</v>
      </c>
      <c r="N986" t="s">
        <v>58</v>
      </c>
      <c r="O986" t="s">
        <v>25</v>
      </c>
      <c r="P986" t="s">
        <v>257</v>
      </c>
      <c r="Q986" t="s">
        <v>69</v>
      </c>
      <c r="R986" t="s">
        <v>28</v>
      </c>
    </row>
    <row r="987" spans="1:18" x14ac:dyDescent="0.3">
      <c r="A987" t="s">
        <v>2009</v>
      </c>
      <c r="B987" s="13">
        <v>44502</v>
      </c>
      <c r="C987" t="s">
        <v>2010</v>
      </c>
      <c r="D987" t="s">
        <v>701</v>
      </c>
      <c r="E987" t="s">
        <v>231</v>
      </c>
      <c r="F987" t="s">
        <v>81</v>
      </c>
      <c r="G987" t="s">
        <v>203</v>
      </c>
      <c r="H987">
        <v>3</v>
      </c>
      <c r="I987">
        <v>525.75</v>
      </c>
      <c r="J987">
        <v>0.25</v>
      </c>
      <c r="K987">
        <v>59.15</v>
      </c>
      <c r="L987">
        <v>9.24</v>
      </c>
      <c r="M987">
        <v>1251.33</v>
      </c>
      <c r="N987" t="s">
        <v>35</v>
      </c>
      <c r="O987" t="s">
        <v>59</v>
      </c>
      <c r="P987" t="s">
        <v>74</v>
      </c>
      <c r="Q987" t="s">
        <v>75</v>
      </c>
      <c r="R987" t="s">
        <v>28</v>
      </c>
    </row>
    <row r="988" spans="1:18" x14ac:dyDescent="0.3">
      <c r="A988" t="s">
        <v>2017</v>
      </c>
      <c r="B988" s="13">
        <v>43910</v>
      </c>
      <c r="C988" t="s">
        <v>2018</v>
      </c>
      <c r="D988" t="s">
        <v>731</v>
      </c>
      <c r="E988" t="s">
        <v>21</v>
      </c>
      <c r="F988" t="s">
        <v>81</v>
      </c>
      <c r="G988" t="s">
        <v>23</v>
      </c>
      <c r="H988">
        <v>4</v>
      </c>
      <c r="I988">
        <v>218.74</v>
      </c>
      <c r="J988">
        <v>0</v>
      </c>
      <c r="K988">
        <v>70</v>
      </c>
      <c r="L988">
        <v>13.33</v>
      </c>
      <c r="M988">
        <v>958.29</v>
      </c>
      <c r="N988" t="s">
        <v>24</v>
      </c>
      <c r="O988" t="s">
        <v>25</v>
      </c>
      <c r="P988" t="s">
        <v>257</v>
      </c>
      <c r="Q988" t="s">
        <v>69</v>
      </c>
      <c r="R988" t="s">
        <v>38</v>
      </c>
    </row>
    <row r="989" spans="1:18" x14ac:dyDescent="0.3">
      <c r="A989" t="s">
        <v>2027</v>
      </c>
      <c r="B989" s="13">
        <v>45083</v>
      </c>
      <c r="C989" t="s">
        <v>2028</v>
      </c>
      <c r="D989" t="s">
        <v>209</v>
      </c>
      <c r="E989" t="s">
        <v>111</v>
      </c>
      <c r="F989" t="s">
        <v>81</v>
      </c>
      <c r="G989" t="s">
        <v>49</v>
      </c>
      <c r="H989">
        <v>5</v>
      </c>
      <c r="I989">
        <v>192.27</v>
      </c>
      <c r="J989">
        <v>0</v>
      </c>
      <c r="K989">
        <v>48.07</v>
      </c>
      <c r="L989">
        <v>11.36</v>
      </c>
      <c r="M989">
        <v>1020.78</v>
      </c>
      <c r="N989" t="s">
        <v>50</v>
      </c>
      <c r="O989" t="s">
        <v>107</v>
      </c>
      <c r="P989" t="s">
        <v>133</v>
      </c>
      <c r="Q989" t="s">
        <v>134</v>
      </c>
      <c r="R989" t="s">
        <v>183</v>
      </c>
    </row>
    <row r="990" spans="1:18" x14ac:dyDescent="0.3">
      <c r="A990" t="s">
        <v>2033</v>
      </c>
      <c r="B990" s="13">
        <v>45513</v>
      </c>
      <c r="C990" t="s">
        <v>2034</v>
      </c>
      <c r="D990" t="s">
        <v>882</v>
      </c>
      <c r="E990" t="s">
        <v>48</v>
      </c>
      <c r="F990" t="s">
        <v>81</v>
      </c>
      <c r="G990" t="s">
        <v>268</v>
      </c>
      <c r="H990">
        <v>3</v>
      </c>
      <c r="I990">
        <v>394.94</v>
      </c>
      <c r="J990">
        <v>0</v>
      </c>
      <c r="K990">
        <v>94.79</v>
      </c>
      <c r="L990">
        <v>7.86</v>
      </c>
      <c r="M990">
        <v>1287.47</v>
      </c>
      <c r="N990" t="s">
        <v>58</v>
      </c>
      <c r="O990" t="s">
        <v>25</v>
      </c>
      <c r="P990" t="s">
        <v>26</v>
      </c>
      <c r="Q990" t="s">
        <v>27</v>
      </c>
      <c r="R990" t="s">
        <v>38</v>
      </c>
    </row>
    <row r="991" spans="1:18" x14ac:dyDescent="0.3">
      <c r="A991" t="s">
        <v>2049</v>
      </c>
      <c r="B991" s="13">
        <v>44997</v>
      </c>
      <c r="C991" t="s">
        <v>2050</v>
      </c>
      <c r="D991" t="s">
        <v>839</v>
      </c>
      <c r="E991" t="s">
        <v>42</v>
      </c>
      <c r="F991" t="s">
        <v>81</v>
      </c>
      <c r="G991" t="s">
        <v>66</v>
      </c>
      <c r="H991">
        <v>1</v>
      </c>
      <c r="I991">
        <v>185.55</v>
      </c>
      <c r="J991">
        <v>0</v>
      </c>
      <c r="K991">
        <v>9.2799999999999994</v>
      </c>
      <c r="L991">
        <v>14.74</v>
      </c>
      <c r="M991">
        <v>209.57</v>
      </c>
      <c r="N991" t="s">
        <v>24</v>
      </c>
      <c r="O991" t="s">
        <v>25</v>
      </c>
      <c r="P991" t="s">
        <v>44</v>
      </c>
      <c r="Q991" t="s">
        <v>37</v>
      </c>
      <c r="R991" t="s">
        <v>183</v>
      </c>
    </row>
    <row r="992" spans="1:18" x14ac:dyDescent="0.3">
      <c r="A992" t="s">
        <v>2058</v>
      </c>
      <c r="B992" s="13">
        <v>45113</v>
      </c>
      <c r="C992" t="s">
        <v>2059</v>
      </c>
      <c r="D992" t="s">
        <v>189</v>
      </c>
      <c r="E992" t="s">
        <v>156</v>
      </c>
      <c r="F992" t="s">
        <v>81</v>
      </c>
      <c r="G992" t="s">
        <v>23</v>
      </c>
      <c r="H992">
        <v>4</v>
      </c>
      <c r="I992">
        <v>265</v>
      </c>
      <c r="J992">
        <v>0</v>
      </c>
      <c r="K992">
        <v>190.8</v>
      </c>
      <c r="L992">
        <v>2.56</v>
      </c>
      <c r="M992">
        <v>1253.3599999999999</v>
      </c>
      <c r="N992" t="s">
        <v>58</v>
      </c>
      <c r="O992" t="s">
        <v>25</v>
      </c>
      <c r="P992" t="s">
        <v>257</v>
      </c>
      <c r="Q992" t="s">
        <v>69</v>
      </c>
      <c r="R992" t="s">
        <v>38</v>
      </c>
    </row>
    <row r="993" spans="1:18" x14ac:dyDescent="0.3">
      <c r="A993" t="s">
        <v>2066</v>
      </c>
      <c r="B993" s="13">
        <v>44866</v>
      </c>
      <c r="C993" t="s">
        <v>2067</v>
      </c>
      <c r="D993" t="s">
        <v>1352</v>
      </c>
      <c r="E993" t="s">
        <v>190</v>
      </c>
      <c r="F993" t="s">
        <v>81</v>
      </c>
      <c r="G993" t="s">
        <v>268</v>
      </c>
      <c r="H993">
        <v>5</v>
      </c>
      <c r="I993">
        <v>508.94</v>
      </c>
      <c r="J993">
        <v>0</v>
      </c>
      <c r="K993">
        <v>203.58</v>
      </c>
      <c r="L993">
        <v>12.96</v>
      </c>
      <c r="M993">
        <v>2761.24</v>
      </c>
      <c r="N993" t="s">
        <v>58</v>
      </c>
      <c r="O993" t="s">
        <v>25</v>
      </c>
      <c r="P993" t="s">
        <v>173</v>
      </c>
      <c r="Q993" t="s">
        <v>174</v>
      </c>
      <c r="R993" t="s">
        <v>38</v>
      </c>
    </row>
    <row r="994" spans="1:18" x14ac:dyDescent="0.3">
      <c r="A994" t="s">
        <v>2125</v>
      </c>
      <c r="B994" s="13">
        <v>45578</v>
      </c>
      <c r="C994" t="s">
        <v>2126</v>
      </c>
      <c r="D994" t="s">
        <v>128</v>
      </c>
      <c r="E994" t="s">
        <v>283</v>
      </c>
      <c r="F994" t="s">
        <v>81</v>
      </c>
      <c r="G994" t="s">
        <v>268</v>
      </c>
      <c r="H994">
        <v>1</v>
      </c>
      <c r="I994">
        <v>9.73</v>
      </c>
      <c r="J994">
        <v>0.05</v>
      </c>
      <c r="K994">
        <v>0.46</v>
      </c>
      <c r="L994">
        <v>5.93</v>
      </c>
      <c r="M994">
        <v>15.63</v>
      </c>
      <c r="N994" t="s">
        <v>67</v>
      </c>
      <c r="O994" t="s">
        <v>25</v>
      </c>
      <c r="P994" t="s">
        <v>145</v>
      </c>
      <c r="Q994" t="s">
        <v>146</v>
      </c>
      <c r="R994" t="s">
        <v>38</v>
      </c>
    </row>
    <row r="995" spans="1:18" x14ac:dyDescent="0.3">
      <c r="A995" t="s">
        <v>2140</v>
      </c>
      <c r="B995" s="13">
        <v>45107</v>
      </c>
      <c r="C995" t="s">
        <v>2141</v>
      </c>
      <c r="D995" t="s">
        <v>749</v>
      </c>
      <c r="E995" t="s">
        <v>202</v>
      </c>
      <c r="F995" t="s">
        <v>81</v>
      </c>
      <c r="G995" t="s">
        <v>49</v>
      </c>
      <c r="H995">
        <v>4</v>
      </c>
      <c r="I995">
        <v>547.36</v>
      </c>
      <c r="J995">
        <v>0.05</v>
      </c>
      <c r="K995">
        <v>166.4</v>
      </c>
      <c r="L995">
        <v>9.69</v>
      </c>
      <c r="M995">
        <v>2256.06</v>
      </c>
      <c r="N995" t="s">
        <v>67</v>
      </c>
      <c r="O995" t="s">
        <v>107</v>
      </c>
      <c r="P995" t="s">
        <v>117</v>
      </c>
      <c r="Q995" t="s">
        <v>118</v>
      </c>
      <c r="R995" t="s">
        <v>76</v>
      </c>
    </row>
    <row r="996" spans="1:18" x14ac:dyDescent="0.3">
      <c r="A996" t="s">
        <v>2170</v>
      </c>
      <c r="B996" s="13">
        <v>44846</v>
      </c>
      <c r="C996" t="s">
        <v>2171</v>
      </c>
      <c r="D996" t="s">
        <v>382</v>
      </c>
      <c r="E996" t="s">
        <v>691</v>
      </c>
      <c r="F996" t="s">
        <v>81</v>
      </c>
      <c r="G996" t="s">
        <v>198</v>
      </c>
      <c r="H996">
        <v>3</v>
      </c>
      <c r="I996">
        <v>593.29</v>
      </c>
      <c r="J996">
        <v>0.1</v>
      </c>
      <c r="K996">
        <v>128.15</v>
      </c>
      <c r="L996">
        <v>14.55</v>
      </c>
      <c r="M996">
        <v>1744.58</v>
      </c>
      <c r="N996" t="s">
        <v>58</v>
      </c>
      <c r="O996" t="s">
        <v>25</v>
      </c>
      <c r="P996" t="s">
        <v>83</v>
      </c>
      <c r="Q996" t="s">
        <v>84</v>
      </c>
      <c r="R996" t="s">
        <v>38</v>
      </c>
    </row>
    <row r="997" spans="1:18" x14ac:dyDescent="0.3">
      <c r="A997" t="s">
        <v>2200</v>
      </c>
      <c r="B997" s="13">
        <v>44519</v>
      </c>
      <c r="C997" t="s">
        <v>2201</v>
      </c>
      <c r="D997" t="s">
        <v>382</v>
      </c>
      <c r="E997" t="s">
        <v>392</v>
      </c>
      <c r="F997" t="s">
        <v>81</v>
      </c>
      <c r="G997" t="s">
        <v>34</v>
      </c>
      <c r="H997">
        <v>1</v>
      </c>
      <c r="I997">
        <v>160.53</v>
      </c>
      <c r="J997">
        <v>0</v>
      </c>
      <c r="K997">
        <v>12.84</v>
      </c>
      <c r="L997">
        <v>14.07</v>
      </c>
      <c r="M997">
        <v>187.44</v>
      </c>
      <c r="N997" t="s">
        <v>123</v>
      </c>
      <c r="O997" t="s">
        <v>107</v>
      </c>
      <c r="P997" t="s">
        <v>83</v>
      </c>
      <c r="Q997" t="s">
        <v>84</v>
      </c>
      <c r="R997" t="s">
        <v>183</v>
      </c>
    </row>
    <row r="998" spans="1:18" x14ac:dyDescent="0.3">
      <c r="A998" t="s">
        <v>2228</v>
      </c>
      <c r="B998" s="13">
        <v>45291</v>
      </c>
      <c r="C998" t="s">
        <v>2229</v>
      </c>
      <c r="D998" t="s">
        <v>1189</v>
      </c>
      <c r="E998" t="s">
        <v>267</v>
      </c>
      <c r="F998" t="s">
        <v>81</v>
      </c>
      <c r="G998" t="s">
        <v>100</v>
      </c>
      <c r="H998">
        <v>4</v>
      </c>
      <c r="I998">
        <v>288.5</v>
      </c>
      <c r="J998">
        <v>0.1</v>
      </c>
      <c r="K998">
        <v>124.63</v>
      </c>
      <c r="L998">
        <v>9.8699999999999992</v>
      </c>
      <c r="M998">
        <v>1173.0999999999999</v>
      </c>
      <c r="N998" t="s">
        <v>50</v>
      </c>
      <c r="O998" t="s">
        <v>82</v>
      </c>
      <c r="P998" t="s">
        <v>150</v>
      </c>
      <c r="Q998" t="s">
        <v>69</v>
      </c>
      <c r="R998" t="s">
        <v>38</v>
      </c>
    </row>
    <row r="999" spans="1:18" x14ac:dyDescent="0.3">
      <c r="A999" t="s">
        <v>2249</v>
      </c>
      <c r="B999" s="13">
        <v>44932</v>
      </c>
      <c r="C999" t="s">
        <v>2250</v>
      </c>
      <c r="D999" t="s">
        <v>131</v>
      </c>
      <c r="E999" t="s">
        <v>21</v>
      </c>
      <c r="F999" t="s">
        <v>81</v>
      </c>
      <c r="G999" t="s">
        <v>268</v>
      </c>
      <c r="H999">
        <v>4</v>
      </c>
      <c r="I999">
        <v>299.77</v>
      </c>
      <c r="J999">
        <v>0.15</v>
      </c>
      <c r="K999">
        <v>50.96</v>
      </c>
      <c r="L999">
        <v>13.65</v>
      </c>
      <c r="M999">
        <v>1083.83</v>
      </c>
      <c r="N999" t="s">
        <v>58</v>
      </c>
      <c r="O999" t="s">
        <v>25</v>
      </c>
      <c r="P999" t="s">
        <v>51</v>
      </c>
      <c r="Q999" t="s">
        <v>52</v>
      </c>
      <c r="R999" t="s">
        <v>38</v>
      </c>
    </row>
    <row r="1000" spans="1:18" x14ac:dyDescent="0.3">
      <c r="A1000" t="s">
        <v>2251</v>
      </c>
      <c r="B1000" s="13">
        <v>44287</v>
      </c>
      <c r="C1000" t="s">
        <v>2252</v>
      </c>
      <c r="D1000" t="s">
        <v>346</v>
      </c>
      <c r="E1000" t="s">
        <v>156</v>
      </c>
      <c r="F1000" t="s">
        <v>81</v>
      </c>
      <c r="G1000" t="s">
        <v>57</v>
      </c>
      <c r="H1000">
        <v>1</v>
      </c>
      <c r="I1000">
        <v>273.77999999999997</v>
      </c>
      <c r="J1000">
        <v>0.05</v>
      </c>
      <c r="K1000">
        <v>20.81</v>
      </c>
      <c r="L1000">
        <v>11.19</v>
      </c>
      <c r="M1000">
        <v>292.08999999999997</v>
      </c>
      <c r="N1000" t="s">
        <v>35</v>
      </c>
      <c r="O1000" t="s">
        <v>107</v>
      </c>
      <c r="P1000" t="s">
        <v>60</v>
      </c>
      <c r="Q1000" t="s">
        <v>37</v>
      </c>
      <c r="R1000" t="s">
        <v>38</v>
      </c>
    </row>
    <row r="1001" spans="1:18" x14ac:dyDescent="0.3">
      <c r="A1001" t="s">
        <v>2253</v>
      </c>
      <c r="B1001" s="13">
        <v>43831</v>
      </c>
      <c r="C1001" t="s">
        <v>2254</v>
      </c>
      <c r="D1001" t="s">
        <v>655</v>
      </c>
      <c r="E1001" t="s">
        <v>577</v>
      </c>
      <c r="F1001" t="s">
        <v>81</v>
      </c>
      <c r="G1001" t="s">
        <v>100</v>
      </c>
      <c r="H1001">
        <v>1</v>
      </c>
      <c r="I1001">
        <v>516.11</v>
      </c>
      <c r="J1001">
        <v>0</v>
      </c>
      <c r="K1001">
        <v>25.81</v>
      </c>
      <c r="L1001">
        <v>5.39</v>
      </c>
      <c r="M1001">
        <v>547.30999999999995</v>
      </c>
      <c r="N1001" t="s">
        <v>35</v>
      </c>
      <c r="O1001" t="s">
        <v>25</v>
      </c>
      <c r="P1001" t="s">
        <v>124</v>
      </c>
      <c r="Q1001" t="s">
        <v>125</v>
      </c>
      <c r="R1001" t="s">
        <v>38</v>
      </c>
    </row>
    <row r="1002" spans="1:18" x14ac:dyDescent="0.3">
      <c r="A1002" t="s">
        <v>2270</v>
      </c>
      <c r="B1002" s="13">
        <v>45654</v>
      </c>
      <c r="C1002" t="s">
        <v>2271</v>
      </c>
      <c r="D1002" t="s">
        <v>333</v>
      </c>
      <c r="E1002" t="s">
        <v>267</v>
      </c>
      <c r="F1002" t="s">
        <v>81</v>
      </c>
      <c r="G1002" t="s">
        <v>57</v>
      </c>
      <c r="H1002">
        <v>2</v>
      </c>
      <c r="I1002">
        <v>309.22000000000003</v>
      </c>
      <c r="J1002">
        <v>0</v>
      </c>
      <c r="K1002">
        <v>30.92</v>
      </c>
      <c r="L1002">
        <v>1.17</v>
      </c>
      <c r="M1002">
        <v>650.53</v>
      </c>
      <c r="N1002" t="s">
        <v>67</v>
      </c>
      <c r="O1002" t="s">
        <v>25</v>
      </c>
      <c r="P1002" t="s">
        <v>74</v>
      </c>
      <c r="Q1002" t="s">
        <v>75</v>
      </c>
      <c r="R1002" t="s">
        <v>38</v>
      </c>
    </row>
    <row r="1003" spans="1:18" x14ac:dyDescent="0.3">
      <c r="A1003" t="s">
        <v>2278</v>
      </c>
      <c r="B1003" s="13">
        <v>44926</v>
      </c>
      <c r="C1003" t="s">
        <v>2279</v>
      </c>
      <c r="D1003" t="s">
        <v>825</v>
      </c>
      <c r="E1003" t="s">
        <v>324</v>
      </c>
      <c r="F1003" t="s">
        <v>81</v>
      </c>
      <c r="G1003" t="s">
        <v>57</v>
      </c>
      <c r="H1003">
        <v>4</v>
      </c>
      <c r="I1003">
        <v>402.24</v>
      </c>
      <c r="J1003">
        <v>0</v>
      </c>
      <c r="K1003">
        <v>128.72</v>
      </c>
      <c r="L1003">
        <v>1.27</v>
      </c>
      <c r="M1003">
        <v>1738.95</v>
      </c>
      <c r="N1003" t="s">
        <v>58</v>
      </c>
      <c r="O1003" t="s">
        <v>25</v>
      </c>
      <c r="P1003" t="s">
        <v>173</v>
      </c>
      <c r="Q1003" t="s">
        <v>174</v>
      </c>
      <c r="R1003"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B29E0-31FB-4F4C-B88D-538CC110677B}">
  <dimension ref="A3:B23"/>
  <sheetViews>
    <sheetView topLeftCell="G1" zoomScale="83" zoomScaleNormal="83" workbookViewId="0">
      <selection activeCell="B23" sqref="B23"/>
    </sheetView>
  </sheetViews>
  <sheetFormatPr defaultRowHeight="14.4" x14ac:dyDescent="0.3"/>
  <cols>
    <col min="1" max="1" width="16.33203125" bestFit="1" customWidth="1"/>
    <col min="2" max="2" width="18.77734375" bestFit="1" customWidth="1"/>
  </cols>
  <sheetData>
    <row r="3" spans="1:2" x14ac:dyDescent="0.3">
      <c r="A3" s="10" t="s">
        <v>2320</v>
      </c>
      <c r="B3" t="s">
        <v>2322</v>
      </c>
    </row>
    <row r="4" spans="1:2" x14ac:dyDescent="0.3">
      <c r="A4" s="11" t="s">
        <v>22</v>
      </c>
      <c r="B4" s="16">
        <v>156532.84000000003</v>
      </c>
    </row>
    <row r="5" spans="1:2" x14ac:dyDescent="0.3">
      <c r="A5" s="11" t="s">
        <v>43</v>
      </c>
      <c r="B5" s="16">
        <v>129244.40999999999</v>
      </c>
    </row>
    <row r="6" spans="1:2" x14ac:dyDescent="0.3">
      <c r="A6" s="11" t="s">
        <v>143</v>
      </c>
      <c r="B6" s="16">
        <v>173197.66000000018</v>
      </c>
    </row>
    <row r="7" spans="1:2" x14ac:dyDescent="0.3">
      <c r="A7" s="11" t="s">
        <v>33</v>
      </c>
      <c r="B7" s="16">
        <v>173991.94</v>
      </c>
    </row>
    <row r="8" spans="1:2" x14ac:dyDescent="0.3">
      <c r="A8" s="11" t="s">
        <v>89</v>
      </c>
      <c r="B8" s="16">
        <v>138051.74999999994</v>
      </c>
    </row>
    <row r="9" spans="1:2" x14ac:dyDescent="0.3">
      <c r="A9" s="11" t="s">
        <v>81</v>
      </c>
      <c r="B9" s="16">
        <v>146857.29999999987</v>
      </c>
    </row>
    <row r="10" spans="1:2" x14ac:dyDescent="0.3">
      <c r="A10" s="11" t="s">
        <v>2321</v>
      </c>
      <c r="B10" s="16">
        <v>917875.89999999991</v>
      </c>
    </row>
    <row r="23" spans="2:2" x14ac:dyDescent="0.3">
      <c r="B23" t="s">
        <v>2348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D6095-FE3B-4A65-83FB-6F3CC90BB0AB}">
  <dimension ref="A3:B14"/>
  <sheetViews>
    <sheetView workbookViewId="0">
      <selection activeCell="D19" sqref="D19"/>
    </sheetView>
  </sheetViews>
  <sheetFormatPr defaultRowHeight="14.4" x14ac:dyDescent="0.3"/>
  <cols>
    <col min="1" max="1" width="12.5546875" bestFit="1" customWidth="1"/>
    <col min="2" max="2" width="18.77734375" bestFit="1" customWidth="1"/>
  </cols>
  <sheetData>
    <row r="3" spans="1:2" x14ac:dyDescent="0.3">
      <c r="A3" s="10" t="s">
        <v>2320</v>
      </c>
      <c r="B3" t="s">
        <v>2322</v>
      </c>
    </row>
    <row r="4" spans="1:2" x14ac:dyDescent="0.3">
      <c r="A4" s="11" t="s">
        <v>90</v>
      </c>
      <c r="B4">
        <v>93706.250000000015</v>
      </c>
    </row>
    <row r="5" spans="1:2" x14ac:dyDescent="0.3">
      <c r="A5" s="11" t="s">
        <v>23</v>
      </c>
      <c r="B5">
        <v>96903.549999999988</v>
      </c>
    </row>
    <row r="6" spans="1:2" x14ac:dyDescent="0.3">
      <c r="A6" s="11" t="s">
        <v>203</v>
      </c>
      <c r="B6">
        <v>96651.21000000005</v>
      </c>
    </row>
    <row r="7" spans="1:2" x14ac:dyDescent="0.3">
      <c r="A7" s="11" t="s">
        <v>198</v>
      </c>
      <c r="B7">
        <v>96018.34</v>
      </c>
    </row>
    <row r="8" spans="1:2" x14ac:dyDescent="0.3">
      <c r="A8" s="11" t="s">
        <v>100</v>
      </c>
      <c r="B8">
        <v>97601.549999999974</v>
      </c>
    </row>
    <row r="9" spans="1:2" x14ac:dyDescent="0.3">
      <c r="A9" s="11" t="s">
        <v>57</v>
      </c>
      <c r="B9">
        <v>85732.239999999962</v>
      </c>
    </row>
    <row r="10" spans="1:2" x14ac:dyDescent="0.3">
      <c r="A10" s="11" t="s">
        <v>268</v>
      </c>
      <c r="B10">
        <v>74388.7</v>
      </c>
    </row>
    <row r="11" spans="1:2" x14ac:dyDescent="0.3">
      <c r="A11" s="11" t="s">
        <v>66</v>
      </c>
      <c r="B11">
        <v>99610.93</v>
      </c>
    </row>
    <row r="12" spans="1:2" x14ac:dyDescent="0.3">
      <c r="A12" s="11" t="s">
        <v>34</v>
      </c>
      <c r="B12">
        <v>91022.669999999984</v>
      </c>
    </row>
    <row r="13" spans="1:2" x14ac:dyDescent="0.3">
      <c r="A13" s="11" t="s">
        <v>49</v>
      </c>
      <c r="B13">
        <v>86240.46</v>
      </c>
    </row>
    <row r="14" spans="1:2" x14ac:dyDescent="0.3">
      <c r="A14" s="11" t="s">
        <v>2321</v>
      </c>
      <c r="B14">
        <v>917875.89999999967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23B5D-0635-4822-979E-6C98BB5FA0C8}">
  <dimension ref="A3:B10"/>
  <sheetViews>
    <sheetView workbookViewId="0">
      <selection activeCell="N17" sqref="N17"/>
    </sheetView>
  </sheetViews>
  <sheetFormatPr defaultRowHeight="14.4" x14ac:dyDescent="0.3"/>
  <cols>
    <col min="1" max="1" width="14.5546875" bestFit="1" customWidth="1"/>
    <col min="2" max="2" width="15.44140625" bestFit="1" customWidth="1"/>
  </cols>
  <sheetData>
    <row r="3" spans="1:2" x14ac:dyDescent="0.3">
      <c r="A3" s="10" t="s">
        <v>2320</v>
      </c>
      <c r="B3" t="s">
        <v>2323</v>
      </c>
    </row>
    <row r="4" spans="1:2" x14ac:dyDescent="0.3">
      <c r="A4" s="11" t="s">
        <v>35</v>
      </c>
      <c r="B4">
        <v>173</v>
      </c>
    </row>
    <row r="5" spans="1:2" x14ac:dyDescent="0.3">
      <c r="A5" s="11" t="s">
        <v>50</v>
      </c>
      <c r="B5">
        <v>59</v>
      </c>
    </row>
    <row r="6" spans="1:2" x14ac:dyDescent="0.3">
      <c r="A6" s="11" t="s">
        <v>58</v>
      </c>
      <c r="B6">
        <v>305</v>
      </c>
    </row>
    <row r="7" spans="1:2" x14ac:dyDescent="0.3">
      <c r="A7" s="11" t="s">
        <v>24</v>
      </c>
      <c r="B7">
        <v>223</v>
      </c>
    </row>
    <row r="8" spans="1:2" x14ac:dyDescent="0.3">
      <c r="A8" s="11" t="s">
        <v>123</v>
      </c>
      <c r="B8">
        <v>100</v>
      </c>
    </row>
    <row r="9" spans="1:2" x14ac:dyDescent="0.3">
      <c r="A9" s="11" t="s">
        <v>67</v>
      </c>
      <c r="B9">
        <v>140</v>
      </c>
    </row>
    <row r="10" spans="1:2" x14ac:dyDescent="0.3">
      <c r="A10" s="11" t="s">
        <v>2321</v>
      </c>
      <c r="B10">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ED659-6C8A-4C1A-BDD9-7EF1EA2B8468}">
  <dimension ref="A3:B9"/>
  <sheetViews>
    <sheetView workbookViewId="0">
      <selection activeCell="J19" sqref="J19"/>
    </sheetView>
  </sheetViews>
  <sheetFormatPr defaultRowHeight="14.4" x14ac:dyDescent="0.3"/>
  <cols>
    <col min="1" max="1" width="12.5546875" bestFit="1" customWidth="1"/>
    <col min="2" max="2" width="15.44140625" bestFit="1" customWidth="1"/>
  </cols>
  <sheetData>
    <row r="3" spans="1:2" x14ac:dyDescent="0.3">
      <c r="A3" s="10" t="s">
        <v>2320</v>
      </c>
      <c r="B3" t="s">
        <v>2323</v>
      </c>
    </row>
    <row r="4" spans="1:2" x14ac:dyDescent="0.3">
      <c r="A4" s="11" t="s">
        <v>59</v>
      </c>
      <c r="B4">
        <v>28</v>
      </c>
    </row>
    <row r="5" spans="1:2" x14ac:dyDescent="0.3">
      <c r="A5" s="11" t="s">
        <v>25</v>
      </c>
      <c r="B5">
        <v>723</v>
      </c>
    </row>
    <row r="6" spans="1:2" x14ac:dyDescent="0.3">
      <c r="A6" s="11" t="s">
        <v>82</v>
      </c>
      <c r="B6">
        <v>46</v>
      </c>
    </row>
    <row r="7" spans="1:2" x14ac:dyDescent="0.3">
      <c r="A7" s="11" t="s">
        <v>144</v>
      </c>
      <c r="B7">
        <v>37</v>
      </c>
    </row>
    <row r="8" spans="1:2" x14ac:dyDescent="0.3">
      <c r="A8" s="11" t="s">
        <v>107</v>
      </c>
      <c r="B8">
        <v>166</v>
      </c>
    </row>
    <row r="9" spans="1:2" x14ac:dyDescent="0.3">
      <c r="A9" s="11" t="s">
        <v>2321</v>
      </c>
      <c r="B9">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FE4B-1A1E-4BAE-8027-348E0CF5D589}">
  <dimension ref="A3:B9"/>
  <sheetViews>
    <sheetView workbookViewId="0">
      <selection activeCell="A6" sqref="A6:B6"/>
    </sheetView>
  </sheetViews>
  <sheetFormatPr defaultRowHeight="14.4" x14ac:dyDescent="0.3"/>
  <cols>
    <col min="1" max="1" width="12.5546875" bestFit="1" customWidth="1"/>
    <col min="2" max="2" width="18.77734375" bestFit="1" customWidth="1"/>
  </cols>
  <sheetData>
    <row r="3" spans="1:2" x14ac:dyDescent="0.3">
      <c r="A3" s="10" t="s">
        <v>2320</v>
      </c>
      <c r="B3" t="s">
        <v>2322</v>
      </c>
    </row>
    <row r="4" spans="1:2" x14ac:dyDescent="0.3">
      <c r="A4" s="11" t="s">
        <v>2324</v>
      </c>
      <c r="B4" s="28">
        <v>103993.99000000003</v>
      </c>
    </row>
    <row r="5" spans="1:2" x14ac:dyDescent="0.3">
      <c r="A5" s="11" t="s">
        <v>2325</v>
      </c>
      <c r="B5" s="28">
        <v>117312.86</v>
      </c>
    </row>
    <row r="6" spans="1:2" x14ac:dyDescent="0.3">
      <c r="A6" s="11" t="s">
        <v>2326</v>
      </c>
      <c r="B6" s="28">
        <v>139704.18999999997</v>
      </c>
    </row>
    <row r="7" spans="1:2" x14ac:dyDescent="0.3">
      <c r="A7" s="11" t="s">
        <v>2327</v>
      </c>
      <c r="B7" s="28">
        <v>134127.82999999999</v>
      </c>
    </row>
    <row r="8" spans="1:2" x14ac:dyDescent="0.3">
      <c r="A8" s="11" t="s">
        <v>2328</v>
      </c>
      <c r="B8" s="28">
        <v>128101.85999999999</v>
      </c>
    </row>
    <row r="9" spans="1:2" x14ac:dyDescent="0.3">
      <c r="A9" s="11" t="s">
        <v>2321</v>
      </c>
      <c r="B9" s="28">
        <v>623240.73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BAD99-93FC-40C1-AA1F-8DB87150650A}">
  <dimension ref="A3:B14"/>
  <sheetViews>
    <sheetView zoomScale="105" workbookViewId="0">
      <selection activeCell="A4" sqref="A4"/>
    </sheetView>
  </sheetViews>
  <sheetFormatPr defaultRowHeight="14.4" x14ac:dyDescent="0.3"/>
  <cols>
    <col min="1" max="1" width="14.33203125" bestFit="1" customWidth="1"/>
    <col min="2" max="2" width="14.88671875" bestFit="1" customWidth="1"/>
  </cols>
  <sheetData>
    <row r="3" spans="1:2" x14ac:dyDescent="0.3">
      <c r="A3" s="10" t="s">
        <v>2320</v>
      </c>
      <c r="B3" t="s">
        <v>2330</v>
      </c>
    </row>
    <row r="4" spans="1:2" x14ac:dyDescent="0.3">
      <c r="A4" s="11" t="s">
        <v>169</v>
      </c>
      <c r="B4" s="12">
        <v>75</v>
      </c>
    </row>
    <row r="5" spans="1:2" x14ac:dyDescent="0.3">
      <c r="A5" s="11" t="s">
        <v>287</v>
      </c>
      <c r="B5" s="12">
        <v>85</v>
      </c>
    </row>
    <row r="6" spans="1:2" x14ac:dyDescent="0.3">
      <c r="A6" s="11" t="s">
        <v>73</v>
      </c>
      <c r="B6" s="12">
        <v>78</v>
      </c>
    </row>
    <row r="7" spans="1:2" x14ac:dyDescent="0.3">
      <c r="A7" s="11" t="s">
        <v>220</v>
      </c>
      <c r="B7" s="12">
        <v>73</v>
      </c>
    </row>
    <row r="8" spans="1:2" x14ac:dyDescent="0.3">
      <c r="A8" s="11" t="s">
        <v>80</v>
      </c>
      <c r="B8" s="12">
        <v>73</v>
      </c>
    </row>
    <row r="9" spans="1:2" x14ac:dyDescent="0.3">
      <c r="A9" s="11" t="s">
        <v>88</v>
      </c>
      <c r="B9" s="12">
        <v>78</v>
      </c>
    </row>
    <row r="10" spans="1:2" x14ac:dyDescent="0.3">
      <c r="A10" s="11" t="s">
        <v>32</v>
      </c>
      <c r="B10" s="12">
        <v>85</v>
      </c>
    </row>
    <row r="11" spans="1:2" x14ac:dyDescent="0.3">
      <c r="A11" s="11" t="s">
        <v>267</v>
      </c>
      <c r="B11" s="12">
        <v>82</v>
      </c>
    </row>
    <row r="12" spans="1:2" x14ac:dyDescent="0.3">
      <c r="A12" s="11" t="s">
        <v>132</v>
      </c>
      <c r="B12" s="12">
        <v>82</v>
      </c>
    </row>
    <row r="13" spans="1:2" x14ac:dyDescent="0.3">
      <c r="A13" s="11" t="s">
        <v>111</v>
      </c>
      <c r="B13" s="12">
        <v>76</v>
      </c>
    </row>
    <row r="14" spans="1:2" x14ac:dyDescent="0.3">
      <c r="A14" s="11" t="s">
        <v>2321</v>
      </c>
      <c r="B14" s="12">
        <v>787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241CD-A6FB-4D27-979A-C4221305BEDE}">
  <dimension ref="A3:B16"/>
  <sheetViews>
    <sheetView workbookViewId="0">
      <selection activeCell="P8" sqref="P8"/>
    </sheetView>
  </sheetViews>
  <sheetFormatPr defaultRowHeight="14.4" x14ac:dyDescent="0.3"/>
  <cols>
    <col min="1" max="1" width="12.5546875" bestFit="1" customWidth="1"/>
    <col min="2" max="2" width="14.88671875" bestFit="1" customWidth="1"/>
  </cols>
  <sheetData>
    <row r="3" spans="1:2" x14ac:dyDescent="0.3">
      <c r="A3" s="10" t="s">
        <v>2320</v>
      </c>
      <c r="B3" t="s">
        <v>2330</v>
      </c>
    </row>
    <row r="4" spans="1:2" x14ac:dyDescent="0.3">
      <c r="A4" s="11" t="s">
        <v>2336</v>
      </c>
      <c r="B4" s="12">
        <v>264</v>
      </c>
    </row>
    <row r="5" spans="1:2" x14ac:dyDescent="0.3">
      <c r="A5" s="11" t="s">
        <v>2337</v>
      </c>
      <c r="B5" s="12">
        <v>278</v>
      </c>
    </row>
    <row r="6" spans="1:2" x14ac:dyDescent="0.3">
      <c r="A6" s="11" t="s">
        <v>2338</v>
      </c>
      <c r="B6" s="12">
        <v>258</v>
      </c>
    </row>
    <row r="7" spans="1:2" x14ac:dyDescent="0.3">
      <c r="A7" s="11" t="s">
        <v>2339</v>
      </c>
      <c r="B7" s="12">
        <v>246</v>
      </c>
    </row>
    <row r="8" spans="1:2" x14ac:dyDescent="0.3">
      <c r="A8" s="11" t="s">
        <v>2340</v>
      </c>
      <c r="B8" s="12">
        <v>286</v>
      </c>
    </row>
    <row r="9" spans="1:2" x14ac:dyDescent="0.3">
      <c r="A9" s="11" t="s">
        <v>2341</v>
      </c>
      <c r="B9" s="12">
        <v>255</v>
      </c>
    </row>
    <row r="10" spans="1:2" x14ac:dyDescent="0.3">
      <c r="A10" s="11" t="s">
        <v>2342</v>
      </c>
      <c r="B10" s="12">
        <v>237</v>
      </c>
    </row>
    <row r="11" spans="1:2" x14ac:dyDescent="0.3">
      <c r="A11" s="11" t="s">
        <v>2343</v>
      </c>
      <c r="B11" s="12">
        <v>257</v>
      </c>
    </row>
    <row r="12" spans="1:2" x14ac:dyDescent="0.3">
      <c r="A12" s="11" t="s">
        <v>2344</v>
      </c>
      <c r="B12" s="12">
        <v>218</v>
      </c>
    </row>
    <row r="13" spans="1:2" x14ac:dyDescent="0.3">
      <c r="A13" s="11" t="s">
        <v>2345</v>
      </c>
      <c r="B13" s="12">
        <v>280</v>
      </c>
    </row>
    <row r="14" spans="1:2" x14ac:dyDescent="0.3">
      <c r="A14" s="11" t="s">
        <v>2346</v>
      </c>
      <c r="B14" s="12">
        <v>228</v>
      </c>
    </row>
    <row r="15" spans="1:2" x14ac:dyDescent="0.3">
      <c r="A15" s="11" t="s">
        <v>2347</v>
      </c>
      <c r="B15" s="12">
        <v>268</v>
      </c>
    </row>
    <row r="16" spans="1:2" x14ac:dyDescent="0.3">
      <c r="A16" s="11" t="s">
        <v>2321</v>
      </c>
      <c r="B16" s="12">
        <v>3075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447E2-2CF3-40DD-B250-C559D7838A10}">
  <dimension ref="A1:R1001"/>
  <sheetViews>
    <sheetView topLeftCell="A2" workbookViewId="0">
      <selection activeCell="A2" sqref="A2:R1001"/>
    </sheetView>
  </sheetViews>
  <sheetFormatPr defaultRowHeight="14.4" x14ac:dyDescent="0.3"/>
  <cols>
    <col min="1" max="1" width="11.6640625" bestFit="1" customWidth="1"/>
    <col min="2" max="2" width="11.5546875" customWidth="1"/>
    <col min="3" max="3" width="12.77734375" customWidth="1"/>
    <col min="4" max="4" width="16" customWidth="1"/>
    <col min="5" max="5" width="25.21875" bestFit="1" customWidth="1"/>
    <col min="6" max="6" width="16.109375" bestFit="1" customWidth="1"/>
    <col min="7" max="7" width="9.88671875" bestFit="1" customWidth="1"/>
    <col min="8" max="8" width="10.21875" customWidth="1"/>
    <col min="9" max="9" width="10.5546875" customWidth="1"/>
    <col min="10" max="10" width="10.21875" customWidth="1"/>
    <col min="11" max="11" width="6.5546875" bestFit="1" customWidth="1"/>
    <col min="12" max="12" width="13.88671875" customWidth="1"/>
    <col min="13" max="13" width="14" customWidth="1"/>
    <col min="14" max="14" width="17.21875" customWidth="1"/>
    <col min="15" max="15" width="12.88671875" customWidth="1"/>
    <col min="16" max="16" width="12" bestFit="1" customWidth="1"/>
    <col min="18" max="18" width="14" bestFit="1" customWidth="1"/>
  </cols>
  <sheetData>
    <row r="1" spans="1:18" x14ac:dyDescent="0.3">
      <c r="A1" s="7" t="s">
        <v>0</v>
      </c>
      <c r="B1" s="8" t="s">
        <v>1</v>
      </c>
      <c r="C1" s="7" t="s">
        <v>2</v>
      </c>
      <c r="D1" s="7" t="s">
        <v>3</v>
      </c>
      <c r="E1" s="7" t="s">
        <v>4</v>
      </c>
      <c r="F1" s="7" t="s">
        <v>5</v>
      </c>
      <c r="G1" s="7" t="s">
        <v>6</v>
      </c>
      <c r="H1" s="9" t="s">
        <v>7</v>
      </c>
      <c r="I1" s="9" t="s">
        <v>8</v>
      </c>
      <c r="J1" s="7" t="s">
        <v>9</v>
      </c>
      <c r="K1" s="9" t="s">
        <v>10</v>
      </c>
      <c r="L1" s="9" t="s">
        <v>11</v>
      </c>
      <c r="M1" s="9" t="s">
        <v>12</v>
      </c>
      <c r="N1" s="7" t="s">
        <v>13</v>
      </c>
      <c r="O1" s="7" t="s">
        <v>14</v>
      </c>
      <c r="P1" s="7" t="s">
        <v>15</v>
      </c>
      <c r="Q1" s="7" t="s">
        <v>16</v>
      </c>
      <c r="R1" s="7" t="s">
        <v>17</v>
      </c>
    </row>
    <row r="2" spans="1:18" x14ac:dyDescent="0.3">
      <c r="A2" s="2" t="s">
        <v>18</v>
      </c>
      <c r="B2" s="1">
        <v>44957</v>
      </c>
      <c r="C2" s="2" t="s">
        <v>19</v>
      </c>
      <c r="D2" s="2" t="s">
        <v>20</v>
      </c>
      <c r="E2" s="2" t="s">
        <v>21</v>
      </c>
      <c r="F2" s="2" t="s">
        <v>22</v>
      </c>
      <c r="G2" s="2" t="s">
        <v>23</v>
      </c>
      <c r="H2" s="3">
        <v>3</v>
      </c>
      <c r="I2" s="3">
        <v>106.59</v>
      </c>
      <c r="J2" s="2">
        <v>0</v>
      </c>
      <c r="K2" s="3">
        <v>0</v>
      </c>
      <c r="L2" s="3">
        <v>0.09</v>
      </c>
      <c r="M2" s="3">
        <v>319.86</v>
      </c>
      <c r="N2" s="2" t="s">
        <v>24</v>
      </c>
      <c r="O2" s="2" t="s">
        <v>25</v>
      </c>
      <c r="P2" s="2" t="s">
        <v>26</v>
      </c>
      <c r="Q2" s="2" t="s">
        <v>27</v>
      </c>
      <c r="R2" s="2" t="s">
        <v>28</v>
      </c>
    </row>
    <row r="3" spans="1:18" x14ac:dyDescent="0.3">
      <c r="A3" s="5" t="s">
        <v>29</v>
      </c>
      <c r="B3" s="4">
        <v>45290</v>
      </c>
      <c r="C3" s="5" t="s">
        <v>30</v>
      </c>
      <c r="D3" s="5" t="s">
        <v>31</v>
      </c>
      <c r="E3" s="5" t="s">
        <v>32</v>
      </c>
      <c r="F3" s="5" t="s">
        <v>33</v>
      </c>
      <c r="G3" s="5" t="s">
        <v>34</v>
      </c>
      <c r="H3" s="6">
        <v>1</v>
      </c>
      <c r="I3" s="6">
        <v>251.37</v>
      </c>
      <c r="J3" s="5">
        <v>0.05</v>
      </c>
      <c r="K3" s="6">
        <v>19.100000000000001</v>
      </c>
      <c r="L3" s="6">
        <v>1.74</v>
      </c>
      <c r="M3" s="6">
        <v>259.64</v>
      </c>
      <c r="N3" s="5" t="s">
        <v>35</v>
      </c>
      <c r="O3" s="5" t="s">
        <v>25</v>
      </c>
      <c r="P3" s="5" t="s">
        <v>36</v>
      </c>
      <c r="Q3" s="5" t="s">
        <v>37</v>
      </c>
      <c r="R3" s="5" t="s">
        <v>38</v>
      </c>
    </row>
    <row r="4" spans="1:18" x14ac:dyDescent="0.3">
      <c r="A4" s="2" t="s">
        <v>39</v>
      </c>
      <c r="B4" s="1">
        <v>44691</v>
      </c>
      <c r="C4" s="2" t="s">
        <v>40</v>
      </c>
      <c r="D4" s="2" t="s">
        <v>41</v>
      </c>
      <c r="E4" s="2" t="s">
        <v>42</v>
      </c>
      <c r="F4" s="2" t="s">
        <v>43</v>
      </c>
      <c r="G4" s="2" t="s">
        <v>34</v>
      </c>
      <c r="H4" s="3">
        <v>3</v>
      </c>
      <c r="I4" s="3">
        <v>35.03</v>
      </c>
      <c r="J4" s="2">
        <v>0.1</v>
      </c>
      <c r="K4" s="3">
        <v>7.57</v>
      </c>
      <c r="L4" s="3">
        <v>5.91</v>
      </c>
      <c r="M4" s="3">
        <v>108.06</v>
      </c>
      <c r="N4" s="2" t="s">
        <v>24</v>
      </c>
      <c r="O4" s="2" t="s">
        <v>25</v>
      </c>
      <c r="P4" s="2" t="s">
        <v>44</v>
      </c>
      <c r="Q4" s="2" t="s">
        <v>37</v>
      </c>
      <c r="R4" s="2" t="s">
        <v>38</v>
      </c>
    </row>
    <row r="5" spans="1:18" x14ac:dyDescent="0.3">
      <c r="A5" s="5" t="s">
        <v>45</v>
      </c>
      <c r="B5" s="4">
        <v>45125</v>
      </c>
      <c r="C5" s="5" t="s">
        <v>46</v>
      </c>
      <c r="D5" s="5" t="s">
        <v>47</v>
      </c>
      <c r="E5" s="5" t="s">
        <v>48</v>
      </c>
      <c r="F5" s="5" t="s">
        <v>33</v>
      </c>
      <c r="G5" s="5" t="s">
        <v>49</v>
      </c>
      <c r="H5" s="6">
        <v>5</v>
      </c>
      <c r="I5" s="6">
        <v>33.58</v>
      </c>
      <c r="J5" s="5">
        <v>0.15</v>
      </c>
      <c r="K5" s="6">
        <v>11.42</v>
      </c>
      <c r="L5" s="6">
        <v>5.53</v>
      </c>
      <c r="M5" s="6">
        <v>159.66</v>
      </c>
      <c r="N5" s="5" t="s">
        <v>50</v>
      </c>
      <c r="O5" s="5" t="s">
        <v>25</v>
      </c>
      <c r="P5" s="5" t="s">
        <v>51</v>
      </c>
      <c r="Q5" s="5" t="s">
        <v>52</v>
      </c>
      <c r="R5" s="5" t="s">
        <v>28</v>
      </c>
    </row>
    <row r="6" spans="1:18" x14ac:dyDescent="0.3">
      <c r="A6" s="2" t="s">
        <v>53</v>
      </c>
      <c r="B6" s="1">
        <v>44961</v>
      </c>
      <c r="C6" s="2" t="s">
        <v>54</v>
      </c>
      <c r="D6" s="2" t="s">
        <v>55</v>
      </c>
      <c r="E6" s="2" t="s">
        <v>56</v>
      </c>
      <c r="F6" s="2" t="s">
        <v>43</v>
      </c>
      <c r="G6" s="2" t="s">
        <v>57</v>
      </c>
      <c r="H6" s="3">
        <v>2</v>
      </c>
      <c r="I6" s="3">
        <v>515.64</v>
      </c>
      <c r="J6" s="2">
        <v>0.25</v>
      </c>
      <c r="K6" s="3">
        <v>38.67</v>
      </c>
      <c r="L6" s="3">
        <v>9.23</v>
      </c>
      <c r="M6" s="3">
        <v>821.36</v>
      </c>
      <c r="N6" s="2" t="s">
        <v>58</v>
      </c>
      <c r="O6" s="2" t="s">
        <v>59</v>
      </c>
      <c r="P6" s="2" t="s">
        <v>60</v>
      </c>
      <c r="Q6" s="2" t="s">
        <v>37</v>
      </c>
      <c r="R6" s="2" t="s">
        <v>61</v>
      </c>
    </row>
    <row r="7" spans="1:18" x14ac:dyDescent="0.3">
      <c r="A7" s="5" t="s">
        <v>62</v>
      </c>
      <c r="B7" s="4">
        <v>44926</v>
      </c>
      <c r="C7" s="5" t="s">
        <v>63</v>
      </c>
      <c r="D7" s="5" t="s">
        <v>64</v>
      </c>
      <c r="E7" s="5" t="s">
        <v>65</v>
      </c>
      <c r="F7" s="5" t="s">
        <v>22</v>
      </c>
      <c r="G7" s="5" t="s">
        <v>66</v>
      </c>
      <c r="H7" s="6">
        <v>4</v>
      </c>
      <c r="I7" s="6">
        <v>449.73</v>
      </c>
      <c r="J7" s="5">
        <v>0</v>
      </c>
      <c r="K7" s="6">
        <v>215.87</v>
      </c>
      <c r="L7" s="6">
        <v>2.74</v>
      </c>
      <c r="M7" s="6">
        <v>2017.53</v>
      </c>
      <c r="N7" s="5" t="s">
        <v>67</v>
      </c>
      <c r="O7" s="5" t="s">
        <v>25</v>
      </c>
      <c r="P7" s="5" t="s">
        <v>68</v>
      </c>
      <c r="Q7" s="5" t="s">
        <v>69</v>
      </c>
      <c r="R7" s="5" t="s">
        <v>38</v>
      </c>
    </row>
    <row r="8" spans="1:18" x14ac:dyDescent="0.3">
      <c r="A8" s="2" t="s">
        <v>70</v>
      </c>
      <c r="B8" s="1">
        <v>45555</v>
      </c>
      <c r="C8" s="2" t="s">
        <v>71</v>
      </c>
      <c r="D8" s="2" t="s">
        <v>72</v>
      </c>
      <c r="E8" s="2" t="s">
        <v>73</v>
      </c>
      <c r="F8" s="2" t="s">
        <v>43</v>
      </c>
      <c r="G8" s="2" t="s">
        <v>34</v>
      </c>
      <c r="H8" s="3">
        <v>2</v>
      </c>
      <c r="I8" s="3">
        <v>219.81</v>
      </c>
      <c r="J8" s="2">
        <v>0.2</v>
      </c>
      <c r="K8" s="3">
        <v>28.14</v>
      </c>
      <c r="L8" s="3">
        <v>14.97</v>
      </c>
      <c r="M8" s="3">
        <v>394.81</v>
      </c>
      <c r="N8" s="2" t="s">
        <v>67</v>
      </c>
      <c r="O8" s="2" t="s">
        <v>25</v>
      </c>
      <c r="P8" s="2" t="s">
        <v>74</v>
      </c>
      <c r="Q8" s="2" t="s">
        <v>75</v>
      </c>
      <c r="R8" s="2" t="s">
        <v>76</v>
      </c>
    </row>
    <row r="9" spans="1:18" x14ac:dyDescent="0.3">
      <c r="A9" s="5" t="s">
        <v>77</v>
      </c>
      <c r="B9" s="4">
        <v>44875</v>
      </c>
      <c r="C9" s="5" t="s">
        <v>78</v>
      </c>
      <c r="D9" s="5" t="s">
        <v>79</v>
      </c>
      <c r="E9" s="5" t="s">
        <v>80</v>
      </c>
      <c r="F9" s="5" t="s">
        <v>81</v>
      </c>
      <c r="G9" s="5" t="s">
        <v>57</v>
      </c>
      <c r="H9" s="6">
        <v>2</v>
      </c>
      <c r="I9" s="6">
        <v>306.51</v>
      </c>
      <c r="J9" s="5">
        <v>0.05</v>
      </c>
      <c r="K9" s="6">
        <v>29.12</v>
      </c>
      <c r="L9" s="6">
        <v>6.24</v>
      </c>
      <c r="M9" s="6">
        <v>617.73</v>
      </c>
      <c r="N9" s="5" t="s">
        <v>24</v>
      </c>
      <c r="O9" s="5" t="s">
        <v>82</v>
      </c>
      <c r="P9" s="5" t="s">
        <v>83</v>
      </c>
      <c r="Q9" s="5" t="s">
        <v>84</v>
      </c>
      <c r="R9" s="5" t="s">
        <v>28</v>
      </c>
    </row>
    <row r="10" spans="1:18" x14ac:dyDescent="0.3">
      <c r="A10" s="2" t="s">
        <v>85</v>
      </c>
      <c r="B10" s="1">
        <v>45469</v>
      </c>
      <c r="C10" s="2" t="s">
        <v>86</v>
      </c>
      <c r="D10" s="2" t="s">
        <v>87</v>
      </c>
      <c r="E10" s="2" t="s">
        <v>88</v>
      </c>
      <c r="F10" s="2" t="s">
        <v>89</v>
      </c>
      <c r="G10" s="2" t="s">
        <v>90</v>
      </c>
      <c r="H10" s="3">
        <v>4</v>
      </c>
      <c r="I10" s="3">
        <v>146.09</v>
      </c>
      <c r="J10" s="2">
        <v>0</v>
      </c>
      <c r="K10" s="3">
        <v>46.75</v>
      </c>
      <c r="L10" s="3">
        <v>7.03</v>
      </c>
      <c r="M10" s="3">
        <v>638.14</v>
      </c>
      <c r="N10" s="2" t="s">
        <v>24</v>
      </c>
      <c r="O10" s="2" t="s">
        <v>25</v>
      </c>
      <c r="P10" s="2" t="s">
        <v>26</v>
      </c>
      <c r="Q10" s="2" t="s">
        <v>27</v>
      </c>
      <c r="R10" s="2" t="s">
        <v>38</v>
      </c>
    </row>
    <row r="11" spans="1:18" x14ac:dyDescent="0.3">
      <c r="A11" s="5" t="s">
        <v>91</v>
      </c>
      <c r="B11" s="4">
        <v>43952</v>
      </c>
      <c r="C11" s="5" t="s">
        <v>92</v>
      </c>
      <c r="D11" s="5" t="s">
        <v>93</v>
      </c>
      <c r="E11" s="5" t="s">
        <v>94</v>
      </c>
      <c r="F11" s="5" t="s">
        <v>43</v>
      </c>
      <c r="G11" s="5" t="s">
        <v>90</v>
      </c>
      <c r="H11" s="6">
        <v>2</v>
      </c>
      <c r="I11" s="6">
        <v>278.20999999999998</v>
      </c>
      <c r="J11" s="5">
        <v>0.1</v>
      </c>
      <c r="K11" s="6">
        <v>60.09</v>
      </c>
      <c r="L11" s="6">
        <v>4.88</v>
      </c>
      <c r="M11" s="6">
        <v>565.75</v>
      </c>
      <c r="N11" s="5" t="s">
        <v>58</v>
      </c>
      <c r="O11" s="5" t="s">
        <v>25</v>
      </c>
      <c r="P11" s="5" t="s">
        <v>95</v>
      </c>
      <c r="Q11" s="5" t="s">
        <v>37</v>
      </c>
      <c r="R11" s="5" t="s">
        <v>38</v>
      </c>
    </row>
    <row r="12" spans="1:18" x14ac:dyDescent="0.3">
      <c r="A12" s="2" t="s">
        <v>96</v>
      </c>
      <c r="B12" s="1">
        <v>44297</v>
      </c>
      <c r="C12" s="2" t="s">
        <v>97</v>
      </c>
      <c r="D12" s="2" t="s">
        <v>98</v>
      </c>
      <c r="E12" s="2" t="s">
        <v>99</v>
      </c>
      <c r="F12" s="2" t="s">
        <v>22</v>
      </c>
      <c r="G12" s="2" t="s">
        <v>100</v>
      </c>
      <c r="H12" s="3">
        <v>1</v>
      </c>
      <c r="I12" s="3">
        <v>141.41999999999999</v>
      </c>
      <c r="J12" s="2">
        <v>0.05</v>
      </c>
      <c r="K12" s="3">
        <v>6.72</v>
      </c>
      <c r="L12" s="3">
        <v>9.6999999999999993</v>
      </c>
      <c r="M12" s="3">
        <v>150.77000000000001</v>
      </c>
      <c r="N12" s="2" t="s">
        <v>35</v>
      </c>
      <c r="O12" s="2" t="s">
        <v>25</v>
      </c>
      <c r="P12" s="2" t="s">
        <v>101</v>
      </c>
      <c r="Q12" s="2" t="s">
        <v>102</v>
      </c>
      <c r="R12" s="2" t="s">
        <v>76</v>
      </c>
    </row>
    <row r="13" spans="1:18" x14ac:dyDescent="0.3">
      <c r="A13" s="5" t="s">
        <v>103</v>
      </c>
      <c r="B13" s="4">
        <v>45069</v>
      </c>
      <c r="C13" s="5" t="s">
        <v>104</v>
      </c>
      <c r="D13" s="5" t="s">
        <v>105</v>
      </c>
      <c r="E13" s="5" t="s">
        <v>106</v>
      </c>
      <c r="F13" s="5" t="s">
        <v>33</v>
      </c>
      <c r="G13" s="5" t="s">
        <v>57</v>
      </c>
      <c r="H13" s="6">
        <v>5</v>
      </c>
      <c r="I13" s="6">
        <v>346.56</v>
      </c>
      <c r="J13" s="5">
        <v>0.05</v>
      </c>
      <c r="K13" s="6">
        <v>131.69</v>
      </c>
      <c r="L13" s="6">
        <v>13.38</v>
      </c>
      <c r="M13" s="6">
        <v>1791.23</v>
      </c>
      <c r="N13" s="5" t="s">
        <v>58</v>
      </c>
      <c r="O13" s="5" t="s">
        <v>107</v>
      </c>
      <c r="P13" s="5" t="s">
        <v>51</v>
      </c>
      <c r="Q13" s="5" t="s">
        <v>52</v>
      </c>
      <c r="R13" s="5" t="s">
        <v>76</v>
      </c>
    </row>
    <row r="14" spans="1:18" x14ac:dyDescent="0.3">
      <c r="A14" s="2" t="s">
        <v>108</v>
      </c>
      <c r="B14" s="1">
        <v>44161</v>
      </c>
      <c r="C14" s="2" t="s">
        <v>109</v>
      </c>
      <c r="D14" s="2" t="s">
        <v>110</v>
      </c>
      <c r="E14" s="2" t="s">
        <v>111</v>
      </c>
      <c r="F14" s="2" t="s">
        <v>33</v>
      </c>
      <c r="G14" s="2" t="s">
        <v>49</v>
      </c>
      <c r="H14" s="3">
        <v>4</v>
      </c>
      <c r="I14" s="3">
        <v>496.76</v>
      </c>
      <c r="J14" s="2">
        <v>0.05</v>
      </c>
      <c r="K14" s="3">
        <v>94.38</v>
      </c>
      <c r="L14" s="3">
        <v>4.43</v>
      </c>
      <c r="M14" s="3">
        <v>1986.5</v>
      </c>
      <c r="N14" s="2" t="s">
        <v>67</v>
      </c>
      <c r="O14" s="2" t="s">
        <v>25</v>
      </c>
      <c r="P14" s="2" t="s">
        <v>112</v>
      </c>
      <c r="Q14" s="2" t="s">
        <v>113</v>
      </c>
      <c r="R14" s="2" t="s">
        <v>38</v>
      </c>
    </row>
    <row r="15" spans="1:18" x14ac:dyDescent="0.3">
      <c r="A15" s="5" t="s">
        <v>114</v>
      </c>
      <c r="B15" s="4">
        <v>45313</v>
      </c>
      <c r="C15" s="5" t="s">
        <v>115</v>
      </c>
      <c r="D15" s="5" t="s">
        <v>116</v>
      </c>
      <c r="E15" s="5" t="s">
        <v>32</v>
      </c>
      <c r="F15" s="5" t="s">
        <v>33</v>
      </c>
      <c r="G15" s="5" t="s">
        <v>90</v>
      </c>
      <c r="H15" s="6">
        <v>3</v>
      </c>
      <c r="I15" s="6">
        <v>523.27</v>
      </c>
      <c r="J15" s="5">
        <v>0</v>
      </c>
      <c r="K15" s="6">
        <v>188.38</v>
      </c>
      <c r="L15" s="6">
        <v>8.0399999999999991</v>
      </c>
      <c r="M15" s="6">
        <v>1766.23</v>
      </c>
      <c r="N15" s="5" t="s">
        <v>24</v>
      </c>
      <c r="O15" s="5" t="s">
        <v>107</v>
      </c>
      <c r="P15" s="5" t="s">
        <v>117</v>
      </c>
      <c r="Q15" s="5" t="s">
        <v>118</v>
      </c>
      <c r="R15" s="5" t="s">
        <v>38</v>
      </c>
    </row>
    <row r="16" spans="1:18" x14ac:dyDescent="0.3">
      <c r="A16" s="2" t="s">
        <v>119</v>
      </c>
      <c r="B16" s="1">
        <v>43918</v>
      </c>
      <c r="C16" s="2" t="s">
        <v>120</v>
      </c>
      <c r="D16" s="2" t="s">
        <v>121</v>
      </c>
      <c r="E16" s="2" t="s">
        <v>122</v>
      </c>
      <c r="F16" s="2" t="s">
        <v>22</v>
      </c>
      <c r="G16" s="2" t="s">
        <v>100</v>
      </c>
      <c r="H16" s="3">
        <v>4</v>
      </c>
      <c r="I16" s="3">
        <v>291.37</v>
      </c>
      <c r="J16" s="2">
        <v>0.1</v>
      </c>
      <c r="K16" s="3">
        <v>52.45</v>
      </c>
      <c r="L16" s="3">
        <v>1.76</v>
      </c>
      <c r="M16" s="3">
        <v>1103.1400000000001</v>
      </c>
      <c r="N16" s="2" t="s">
        <v>123</v>
      </c>
      <c r="O16" s="2" t="s">
        <v>25</v>
      </c>
      <c r="P16" s="2" t="s">
        <v>124</v>
      </c>
      <c r="Q16" s="2" t="s">
        <v>125</v>
      </c>
      <c r="R16" s="2" t="s">
        <v>38</v>
      </c>
    </row>
    <row r="17" spans="1:18" x14ac:dyDescent="0.3">
      <c r="A17" s="5" t="s">
        <v>126</v>
      </c>
      <c r="B17" s="4">
        <v>45227</v>
      </c>
      <c r="C17" s="5" t="s">
        <v>127</v>
      </c>
      <c r="D17" s="5" t="s">
        <v>128</v>
      </c>
      <c r="E17" s="5" t="s">
        <v>80</v>
      </c>
      <c r="F17" s="5" t="s">
        <v>89</v>
      </c>
      <c r="G17" s="5" t="s">
        <v>100</v>
      </c>
      <c r="H17" s="6">
        <v>4</v>
      </c>
      <c r="I17" s="6">
        <v>533.12</v>
      </c>
      <c r="J17" s="5">
        <v>0.25</v>
      </c>
      <c r="K17" s="6">
        <v>79.97</v>
      </c>
      <c r="L17" s="6">
        <v>2.58</v>
      </c>
      <c r="M17" s="6">
        <v>1681.91</v>
      </c>
      <c r="N17" s="5" t="s">
        <v>35</v>
      </c>
      <c r="O17" s="5" t="s">
        <v>25</v>
      </c>
      <c r="P17" s="5" t="s">
        <v>101</v>
      </c>
      <c r="Q17" s="5" t="s">
        <v>102</v>
      </c>
      <c r="R17" s="5" t="s">
        <v>38</v>
      </c>
    </row>
    <row r="18" spans="1:18" x14ac:dyDescent="0.3">
      <c r="A18" s="2" t="s">
        <v>129</v>
      </c>
      <c r="B18" s="1">
        <v>44954</v>
      </c>
      <c r="C18" s="2" t="s">
        <v>130</v>
      </c>
      <c r="D18" s="2" t="s">
        <v>131</v>
      </c>
      <c r="E18" s="2" t="s">
        <v>132</v>
      </c>
      <c r="F18" s="2" t="s">
        <v>33</v>
      </c>
      <c r="G18" s="2" t="s">
        <v>49</v>
      </c>
      <c r="H18" s="3">
        <v>4</v>
      </c>
      <c r="I18" s="3">
        <v>453.47</v>
      </c>
      <c r="J18" s="2">
        <v>0.1</v>
      </c>
      <c r="K18" s="3">
        <v>0</v>
      </c>
      <c r="L18" s="3">
        <v>4.3899999999999997</v>
      </c>
      <c r="M18" s="3">
        <v>1636.88</v>
      </c>
      <c r="N18" s="2" t="s">
        <v>35</v>
      </c>
      <c r="O18" s="2" t="s">
        <v>25</v>
      </c>
      <c r="P18" s="2" t="s">
        <v>133</v>
      </c>
      <c r="Q18" s="2" t="s">
        <v>134</v>
      </c>
      <c r="R18" s="2" t="s">
        <v>38</v>
      </c>
    </row>
    <row r="19" spans="1:18" x14ac:dyDescent="0.3">
      <c r="A19" s="5" t="s">
        <v>135</v>
      </c>
      <c r="B19" s="4">
        <v>44702</v>
      </c>
      <c r="C19" s="5" t="s">
        <v>136</v>
      </c>
      <c r="D19" s="5" t="s">
        <v>137</v>
      </c>
      <c r="E19" s="5" t="s">
        <v>138</v>
      </c>
      <c r="F19" s="5" t="s">
        <v>81</v>
      </c>
      <c r="G19" s="5" t="s">
        <v>57</v>
      </c>
      <c r="H19" s="6">
        <v>5</v>
      </c>
      <c r="I19" s="6">
        <v>547.58000000000004</v>
      </c>
      <c r="J19" s="5">
        <v>0</v>
      </c>
      <c r="K19" s="6">
        <v>0</v>
      </c>
      <c r="L19" s="6">
        <v>10.06</v>
      </c>
      <c r="M19" s="6">
        <v>2747.96</v>
      </c>
      <c r="N19" s="5" t="s">
        <v>35</v>
      </c>
      <c r="O19" s="5" t="s">
        <v>25</v>
      </c>
      <c r="P19" s="5" t="s">
        <v>117</v>
      </c>
      <c r="Q19" s="5" t="s">
        <v>118</v>
      </c>
      <c r="R19" s="5" t="s">
        <v>38</v>
      </c>
    </row>
    <row r="20" spans="1:18" x14ac:dyDescent="0.3">
      <c r="A20" s="2" t="s">
        <v>139</v>
      </c>
      <c r="B20" s="1">
        <v>45518</v>
      </c>
      <c r="C20" s="2" t="s">
        <v>140</v>
      </c>
      <c r="D20" s="2" t="s">
        <v>141</v>
      </c>
      <c r="E20" s="2" t="s">
        <v>142</v>
      </c>
      <c r="F20" s="2" t="s">
        <v>143</v>
      </c>
      <c r="G20" s="2" t="s">
        <v>66</v>
      </c>
      <c r="H20" s="3">
        <v>5</v>
      </c>
      <c r="I20" s="3">
        <v>529.19000000000005</v>
      </c>
      <c r="J20" s="2">
        <v>0</v>
      </c>
      <c r="K20" s="3">
        <v>317.51</v>
      </c>
      <c r="L20" s="3">
        <v>4.57</v>
      </c>
      <c r="M20" s="3">
        <v>2968.03</v>
      </c>
      <c r="N20" s="2" t="s">
        <v>35</v>
      </c>
      <c r="O20" s="2" t="s">
        <v>144</v>
      </c>
      <c r="P20" s="2" t="s">
        <v>145</v>
      </c>
      <c r="Q20" s="2" t="s">
        <v>146</v>
      </c>
      <c r="R20" s="2" t="s">
        <v>38</v>
      </c>
    </row>
    <row r="21" spans="1:18" x14ac:dyDescent="0.3">
      <c r="A21" s="5" t="s">
        <v>147</v>
      </c>
      <c r="B21" s="4">
        <v>43961</v>
      </c>
      <c r="C21" s="5" t="s">
        <v>148</v>
      </c>
      <c r="D21" s="5" t="s">
        <v>149</v>
      </c>
      <c r="E21" s="5" t="s">
        <v>32</v>
      </c>
      <c r="F21" s="5" t="s">
        <v>89</v>
      </c>
      <c r="G21" s="5" t="s">
        <v>100</v>
      </c>
      <c r="H21" s="6">
        <v>3</v>
      </c>
      <c r="I21" s="6">
        <v>303.52999999999997</v>
      </c>
      <c r="J21" s="5">
        <v>0</v>
      </c>
      <c r="K21" s="6">
        <v>72.849999999999994</v>
      </c>
      <c r="L21" s="6">
        <v>4.18</v>
      </c>
      <c r="M21" s="6">
        <v>987.62</v>
      </c>
      <c r="N21" s="5" t="s">
        <v>67</v>
      </c>
      <c r="O21" s="5" t="s">
        <v>25</v>
      </c>
      <c r="P21" s="5" t="s">
        <v>150</v>
      </c>
      <c r="Q21" s="5" t="s">
        <v>69</v>
      </c>
      <c r="R21" s="5" t="s">
        <v>38</v>
      </c>
    </row>
    <row r="22" spans="1:18" x14ac:dyDescent="0.3">
      <c r="A22" s="2" t="s">
        <v>151</v>
      </c>
      <c r="B22" s="1">
        <v>45516</v>
      </c>
      <c r="C22" s="2" t="s">
        <v>152</v>
      </c>
      <c r="D22" s="2" t="s">
        <v>153</v>
      </c>
      <c r="E22" s="2" t="s">
        <v>80</v>
      </c>
      <c r="F22" s="2" t="s">
        <v>81</v>
      </c>
      <c r="G22" s="2" t="s">
        <v>90</v>
      </c>
      <c r="H22" s="3">
        <v>1</v>
      </c>
      <c r="I22" s="3">
        <v>226.26</v>
      </c>
      <c r="J22" s="2">
        <v>0</v>
      </c>
      <c r="K22" s="3">
        <v>11.31</v>
      </c>
      <c r="L22" s="3">
        <v>9.5500000000000007</v>
      </c>
      <c r="M22" s="3">
        <v>247.12</v>
      </c>
      <c r="N22" s="2" t="s">
        <v>58</v>
      </c>
      <c r="O22" s="2" t="s">
        <v>25</v>
      </c>
      <c r="P22" s="2" t="s">
        <v>36</v>
      </c>
      <c r="Q22" s="2" t="s">
        <v>37</v>
      </c>
      <c r="R22" s="2" t="s">
        <v>38</v>
      </c>
    </row>
    <row r="23" spans="1:18" x14ac:dyDescent="0.3">
      <c r="A23" s="5" t="s">
        <v>154</v>
      </c>
      <c r="B23" s="4">
        <v>45163</v>
      </c>
      <c r="C23" s="5" t="s">
        <v>155</v>
      </c>
      <c r="D23" s="5" t="s">
        <v>116</v>
      </c>
      <c r="E23" s="5" t="s">
        <v>156</v>
      </c>
      <c r="F23" s="5" t="s">
        <v>22</v>
      </c>
      <c r="G23" s="5" t="s">
        <v>66</v>
      </c>
      <c r="H23" s="6">
        <v>4</v>
      </c>
      <c r="I23" s="6">
        <v>493.47</v>
      </c>
      <c r="J23" s="5">
        <v>0</v>
      </c>
      <c r="K23" s="6">
        <v>98.69</v>
      </c>
      <c r="L23" s="6">
        <v>11.8</v>
      </c>
      <c r="M23" s="6">
        <v>2084.37</v>
      </c>
      <c r="N23" s="5" t="s">
        <v>58</v>
      </c>
      <c r="O23" s="5" t="s">
        <v>25</v>
      </c>
      <c r="P23" s="5" t="s">
        <v>74</v>
      </c>
      <c r="Q23" s="5" t="s">
        <v>75</v>
      </c>
      <c r="R23" s="5" t="s">
        <v>76</v>
      </c>
    </row>
    <row r="24" spans="1:18" x14ac:dyDescent="0.3">
      <c r="A24" s="2" t="s">
        <v>157</v>
      </c>
      <c r="B24" s="1">
        <v>44600</v>
      </c>
      <c r="C24" s="2" t="s">
        <v>158</v>
      </c>
      <c r="D24" s="2" t="s">
        <v>159</v>
      </c>
      <c r="E24" s="2" t="s">
        <v>160</v>
      </c>
      <c r="F24" s="2" t="s">
        <v>81</v>
      </c>
      <c r="G24" s="2" t="s">
        <v>90</v>
      </c>
      <c r="H24" s="3">
        <v>5</v>
      </c>
      <c r="I24" s="3">
        <v>452.12</v>
      </c>
      <c r="J24" s="2">
        <v>0</v>
      </c>
      <c r="K24" s="3">
        <v>113.03</v>
      </c>
      <c r="L24" s="3">
        <v>9.6199999999999992</v>
      </c>
      <c r="M24" s="3">
        <v>2383.25</v>
      </c>
      <c r="N24" s="2" t="s">
        <v>24</v>
      </c>
      <c r="O24" s="2" t="s">
        <v>25</v>
      </c>
      <c r="P24" s="2" t="s">
        <v>145</v>
      </c>
      <c r="Q24" s="2" t="s">
        <v>146</v>
      </c>
      <c r="R24" s="2" t="s">
        <v>61</v>
      </c>
    </row>
    <row r="25" spans="1:18" x14ac:dyDescent="0.3">
      <c r="A25" s="5" t="s">
        <v>161</v>
      </c>
      <c r="B25" s="4">
        <v>44174</v>
      </c>
      <c r="C25" s="5" t="s">
        <v>162</v>
      </c>
      <c r="D25" s="5" t="s">
        <v>163</v>
      </c>
      <c r="E25" s="5" t="s">
        <v>164</v>
      </c>
      <c r="F25" s="5" t="s">
        <v>143</v>
      </c>
      <c r="G25" s="5" t="s">
        <v>66</v>
      </c>
      <c r="H25" s="6">
        <v>3</v>
      </c>
      <c r="I25" s="6">
        <v>107.95</v>
      </c>
      <c r="J25" s="5">
        <v>0.1</v>
      </c>
      <c r="K25" s="6">
        <v>0</v>
      </c>
      <c r="L25" s="6">
        <v>8.2899999999999991</v>
      </c>
      <c r="M25" s="6">
        <v>299.76</v>
      </c>
      <c r="N25" s="5" t="s">
        <v>123</v>
      </c>
      <c r="O25" s="5" t="s">
        <v>25</v>
      </c>
      <c r="P25" s="5" t="s">
        <v>165</v>
      </c>
      <c r="Q25" s="5" t="s">
        <v>37</v>
      </c>
      <c r="R25" s="5" t="s">
        <v>38</v>
      </c>
    </row>
    <row r="26" spans="1:18" x14ac:dyDescent="0.3">
      <c r="A26" s="2" t="s">
        <v>166</v>
      </c>
      <c r="B26" s="1">
        <v>45346</v>
      </c>
      <c r="C26" s="2" t="s">
        <v>167</v>
      </c>
      <c r="D26" s="2" t="s">
        <v>168</v>
      </c>
      <c r="E26" s="2" t="s">
        <v>169</v>
      </c>
      <c r="F26" s="2" t="s">
        <v>81</v>
      </c>
      <c r="G26" s="2" t="s">
        <v>57</v>
      </c>
      <c r="H26" s="3">
        <v>1</v>
      </c>
      <c r="I26" s="3">
        <v>16.68</v>
      </c>
      <c r="J26" s="2">
        <v>0.15</v>
      </c>
      <c r="K26" s="3">
        <v>1.1299999999999999</v>
      </c>
      <c r="L26" s="3">
        <v>2.39</v>
      </c>
      <c r="M26" s="3">
        <v>17.7</v>
      </c>
      <c r="N26" s="2" t="s">
        <v>58</v>
      </c>
      <c r="O26" s="2" t="s">
        <v>25</v>
      </c>
      <c r="P26" s="2" t="s">
        <v>101</v>
      </c>
      <c r="Q26" s="2" t="s">
        <v>102</v>
      </c>
      <c r="R26" s="2" t="s">
        <v>38</v>
      </c>
    </row>
    <row r="27" spans="1:18" x14ac:dyDescent="0.3">
      <c r="A27" s="5" t="s">
        <v>170</v>
      </c>
      <c r="B27" s="4">
        <v>45268</v>
      </c>
      <c r="C27" s="5" t="s">
        <v>171</v>
      </c>
      <c r="D27" s="5" t="s">
        <v>172</v>
      </c>
      <c r="E27" s="5" t="s">
        <v>73</v>
      </c>
      <c r="F27" s="5" t="s">
        <v>43</v>
      </c>
      <c r="G27" s="5" t="s">
        <v>90</v>
      </c>
      <c r="H27" s="6">
        <v>4</v>
      </c>
      <c r="I27" s="6">
        <v>380.23</v>
      </c>
      <c r="J27" s="5">
        <v>0.2</v>
      </c>
      <c r="K27" s="6">
        <v>60.84</v>
      </c>
      <c r="L27" s="6">
        <v>9.2799999999999994</v>
      </c>
      <c r="M27" s="6">
        <v>1286.8599999999999</v>
      </c>
      <c r="N27" s="5" t="s">
        <v>35</v>
      </c>
      <c r="O27" s="5" t="s">
        <v>82</v>
      </c>
      <c r="P27" s="5" t="s">
        <v>173</v>
      </c>
      <c r="Q27" s="5" t="s">
        <v>174</v>
      </c>
      <c r="R27" s="5" t="s">
        <v>61</v>
      </c>
    </row>
    <row r="28" spans="1:18" x14ac:dyDescent="0.3">
      <c r="A28" s="2" t="s">
        <v>175</v>
      </c>
      <c r="B28" s="1">
        <v>44636</v>
      </c>
      <c r="C28" s="2" t="s">
        <v>176</v>
      </c>
      <c r="D28" s="2" t="s">
        <v>153</v>
      </c>
      <c r="E28" s="2" t="s">
        <v>177</v>
      </c>
      <c r="F28" s="2" t="s">
        <v>81</v>
      </c>
      <c r="G28" s="2" t="s">
        <v>34</v>
      </c>
      <c r="H28" s="3">
        <v>3</v>
      </c>
      <c r="I28" s="3">
        <v>569.69000000000005</v>
      </c>
      <c r="J28" s="2">
        <v>0.25</v>
      </c>
      <c r="K28" s="3">
        <v>153.82</v>
      </c>
      <c r="L28" s="3">
        <v>14.27</v>
      </c>
      <c r="M28" s="3">
        <v>1449.89</v>
      </c>
      <c r="N28" s="2" t="s">
        <v>58</v>
      </c>
      <c r="O28" s="2" t="s">
        <v>25</v>
      </c>
      <c r="P28" s="2" t="s">
        <v>178</v>
      </c>
      <c r="Q28" s="2" t="s">
        <v>69</v>
      </c>
      <c r="R28" s="2" t="s">
        <v>38</v>
      </c>
    </row>
    <row r="29" spans="1:18" x14ac:dyDescent="0.3">
      <c r="A29" s="5" t="s">
        <v>179</v>
      </c>
      <c r="B29" s="4">
        <v>44216</v>
      </c>
      <c r="C29" s="5" t="s">
        <v>180</v>
      </c>
      <c r="D29" s="5" t="s">
        <v>181</v>
      </c>
      <c r="E29" s="5" t="s">
        <v>182</v>
      </c>
      <c r="F29" s="5" t="s">
        <v>22</v>
      </c>
      <c r="G29" s="5" t="s">
        <v>100</v>
      </c>
      <c r="H29" s="6">
        <v>3</v>
      </c>
      <c r="I29" s="6">
        <v>138.33000000000001</v>
      </c>
      <c r="J29" s="5">
        <v>0</v>
      </c>
      <c r="K29" s="6">
        <v>49.8</v>
      </c>
      <c r="L29" s="6">
        <v>3.37</v>
      </c>
      <c r="M29" s="6">
        <v>468.16</v>
      </c>
      <c r="N29" s="5" t="s">
        <v>24</v>
      </c>
      <c r="O29" s="5" t="s">
        <v>25</v>
      </c>
      <c r="P29" s="5" t="s">
        <v>60</v>
      </c>
      <c r="Q29" s="5" t="s">
        <v>37</v>
      </c>
      <c r="R29" s="5" t="s">
        <v>183</v>
      </c>
    </row>
    <row r="30" spans="1:18" x14ac:dyDescent="0.3">
      <c r="A30" s="2" t="s">
        <v>184</v>
      </c>
      <c r="B30" s="1">
        <v>45046</v>
      </c>
      <c r="C30" s="2" t="s">
        <v>185</v>
      </c>
      <c r="D30" s="2" t="s">
        <v>186</v>
      </c>
      <c r="E30" s="2" t="s">
        <v>177</v>
      </c>
      <c r="F30" s="2" t="s">
        <v>143</v>
      </c>
      <c r="G30" s="2" t="s">
        <v>49</v>
      </c>
      <c r="H30" s="3">
        <v>3</v>
      </c>
      <c r="I30" s="3">
        <v>381.45</v>
      </c>
      <c r="J30" s="2">
        <v>0</v>
      </c>
      <c r="K30" s="3">
        <v>205.98</v>
      </c>
      <c r="L30" s="3">
        <v>8.99</v>
      </c>
      <c r="M30" s="3">
        <v>1359.32</v>
      </c>
      <c r="N30" s="2" t="s">
        <v>58</v>
      </c>
      <c r="O30" s="2" t="s">
        <v>25</v>
      </c>
      <c r="P30" s="2" t="s">
        <v>83</v>
      </c>
      <c r="Q30" s="2" t="s">
        <v>84</v>
      </c>
      <c r="R30" s="2" t="s">
        <v>38</v>
      </c>
    </row>
    <row r="31" spans="1:18" x14ac:dyDescent="0.3">
      <c r="A31" s="5" t="s">
        <v>187</v>
      </c>
      <c r="B31" s="4">
        <v>44786</v>
      </c>
      <c r="C31" s="5" t="s">
        <v>188</v>
      </c>
      <c r="D31" s="5" t="s">
        <v>189</v>
      </c>
      <c r="E31" s="5" t="s">
        <v>190</v>
      </c>
      <c r="F31" s="5" t="s">
        <v>81</v>
      </c>
      <c r="G31" s="5" t="s">
        <v>66</v>
      </c>
      <c r="H31" s="6">
        <v>5</v>
      </c>
      <c r="I31" s="6">
        <v>199.99</v>
      </c>
      <c r="J31" s="5">
        <v>0</v>
      </c>
      <c r="K31" s="6">
        <v>179.99</v>
      </c>
      <c r="L31" s="6">
        <v>5.19</v>
      </c>
      <c r="M31" s="6">
        <v>1185.1300000000001</v>
      </c>
      <c r="N31" s="5" t="s">
        <v>67</v>
      </c>
      <c r="O31" s="5" t="s">
        <v>25</v>
      </c>
      <c r="P31" s="5" t="s">
        <v>145</v>
      </c>
      <c r="Q31" s="5" t="s">
        <v>146</v>
      </c>
      <c r="R31" s="5" t="s">
        <v>38</v>
      </c>
    </row>
    <row r="32" spans="1:18" x14ac:dyDescent="0.3">
      <c r="A32" s="2" t="s">
        <v>191</v>
      </c>
      <c r="B32" s="1">
        <v>44107</v>
      </c>
      <c r="C32" s="2" t="s">
        <v>192</v>
      </c>
      <c r="D32" s="2" t="s">
        <v>193</v>
      </c>
      <c r="E32" s="2" t="s">
        <v>99</v>
      </c>
      <c r="F32" s="2" t="s">
        <v>22</v>
      </c>
      <c r="G32" s="2" t="s">
        <v>90</v>
      </c>
      <c r="H32" s="3">
        <v>2</v>
      </c>
      <c r="I32" s="3">
        <v>269.8</v>
      </c>
      <c r="J32" s="2">
        <v>0</v>
      </c>
      <c r="K32" s="3">
        <v>97.13</v>
      </c>
      <c r="L32" s="3">
        <v>1.49</v>
      </c>
      <c r="M32" s="3">
        <v>638.22</v>
      </c>
      <c r="N32" s="2" t="s">
        <v>24</v>
      </c>
      <c r="O32" s="2" t="s">
        <v>25</v>
      </c>
      <c r="P32" s="2" t="s">
        <v>51</v>
      </c>
      <c r="Q32" s="2" t="s">
        <v>52</v>
      </c>
      <c r="R32" s="2" t="s">
        <v>183</v>
      </c>
    </row>
    <row r="33" spans="1:18" x14ac:dyDescent="0.3">
      <c r="A33" s="5" t="s">
        <v>194</v>
      </c>
      <c r="B33" s="4">
        <v>45015</v>
      </c>
      <c r="C33" s="5" t="s">
        <v>195</v>
      </c>
      <c r="D33" s="5" t="s">
        <v>196</v>
      </c>
      <c r="E33" s="5" t="s">
        <v>197</v>
      </c>
      <c r="F33" s="5" t="s">
        <v>89</v>
      </c>
      <c r="G33" s="5" t="s">
        <v>198</v>
      </c>
      <c r="H33" s="6">
        <v>4</v>
      </c>
      <c r="I33" s="6">
        <v>126.5</v>
      </c>
      <c r="J33" s="5">
        <v>0.1</v>
      </c>
      <c r="K33" s="6">
        <v>22.77</v>
      </c>
      <c r="L33" s="6">
        <v>7.01</v>
      </c>
      <c r="M33" s="6">
        <v>485.18</v>
      </c>
      <c r="N33" s="5" t="s">
        <v>58</v>
      </c>
      <c r="O33" s="5" t="s">
        <v>107</v>
      </c>
      <c r="P33" s="5" t="s">
        <v>95</v>
      </c>
      <c r="Q33" s="5" t="s">
        <v>37</v>
      </c>
      <c r="R33" s="5" t="s">
        <v>28</v>
      </c>
    </row>
    <row r="34" spans="1:18" x14ac:dyDescent="0.3">
      <c r="A34" s="2" t="s">
        <v>199</v>
      </c>
      <c r="B34" s="1">
        <v>44290</v>
      </c>
      <c r="C34" s="2" t="s">
        <v>200</v>
      </c>
      <c r="D34" s="2" t="s">
        <v>201</v>
      </c>
      <c r="E34" s="2" t="s">
        <v>202</v>
      </c>
      <c r="F34" s="2" t="s">
        <v>143</v>
      </c>
      <c r="G34" s="2" t="s">
        <v>203</v>
      </c>
      <c r="H34" s="3">
        <v>2</v>
      </c>
      <c r="I34" s="3">
        <v>151.94999999999999</v>
      </c>
      <c r="J34" s="2">
        <v>0.05</v>
      </c>
      <c r="K34" s="3">
        <v>14.44</v>
      </c>
      <c r="L34" s="3">
        <v>3.5</v>
      </c>
      <c r="M34" s="3">
        <v>306.64</v>
      </c>
      <c r="N34" s="2" t="s">
        <v>58</v>
      </c>
      <c r="O34" s="2" t="s">
        <v>25</v>
      </c>
      <c r="P34" s="2" t="s">
        <v>26</v>
      </c>
      <c r="Q34" s="2" t="s">
        <v>27</v>
      </c>
      <c r="R34" s="2" t="s">
        <v>38</v>
      </c>
    </row>
    <row r="35" spans="1:18" x14ac:dyDescent="0.3">
      <c r="A35" s="5" t="s">
        <v>204</v>
      </c>
      <c r="B35" s="4">
        <v>45168</v>
      </c>
      <c r="C35" s="5" t="s">
        <v>205</v>
      </c>
      <c r="D35" s="5" t="s">
        <v>206</v>
      </c>
      <c r="E35" s="5" t="s">
        <v>99</v>
      </c>
      <c r="F35" s="5" t="s">
        <v>43</v>
      </c>
      <c r="G35" s="5" t="s">
        <v>100</v>
      </c>
      <c r="H35" s="6">
        <v>1</v>
      </c>
      <c r="I35" s="6">
        <v>218.74</v>
      </c>
      <c r="J35" s="5">
        <v>0</v>
      </c>
      <c r="K35" s="6">
        <v>10.94</v>
      </c>
      <c r="L35" s="6">
        <v>12.22</v>
      </c>
      <c r="M35" s="6">
        <v>241.9</v>
      </c>
      <c r="N35" s="5" t="s">
        <v>58</v>
      </c>
      <c r="O35" s="5" t="s">
        <v>25</v>
      </c>
      <c r="P35" s="5" t="s">
        <v>44</v>
      </c>
      <c r="Q35" s="5" t="s">
        <v>37</v>
      </c>
      <c r="R35" s="5" t="s">
        <v>38</v>
      </c>
    </row>
    <row r="36" spans="1:18" x14ac:dyDescent="0.3">
      <c r="A36" s="2" t="s">
        <v>207</v>
      </c>
      <c r="B36" s="1">
        <v>43852</v>
      </c>
      <c r="C36" s="2" t="s">
        <v>208</v>
      </c>
      <c r="D36" s="2" t="s">
        <v>209</v>
      </c>
      <c r="E36" s="2" t="s">
        <v>164</v>
      </c>
      <c r="F36" s="2" t="s">
        <v>89</v>
      </c>
      <c r="G36" s="2" t="s">
        <v>23</v>
      </c>
      <c r="H36" s="3">
        <v>5</v>
      </c>
      <c r="I36" s="3">
        <v>294.8</v>
      </c>
      <c r="J36" s="2">
        <v>0.1</v>
      </c>
      <c r="K36" s="3">
        <v>159.19</v>
      </c>
      <c r="L36" s="3">
        <v>4.08</v>
      </c>
      <c r="M36" s="3">
        <v>1489.87</v>
      </c>
      <c r="N36" s="2" t="s">
        <v>58</v>
      </c>
      <c r="O36" s="2" t="s">
        <v>107</v>
      </c>
      <c r="P36" s="2" t="s">
        <v>36</v>
      </c>
      <c r="Q36" s="2" t="s">
        <v>37</v>
      </c>
      <c r="R36" s="2" t="s">
        <v>38</v>
      </c>
    </row>
    <row r="37" spans="1:18" x14ac:dyDescent="0.3">
      <c r="A37" s="5" t="s">
        <v>210</v>
      </c>
      <c r="B37" s="4">
        <v>44083</v>
      </c>
      <c r="C37" s="5" t="s">
        <v>211</v>
      </c>
      <c r="D37" s="5" t="s">
        <v>212</v>
      </c>
      <c r="E37" s="5" t="s">
        <v>142</v>
      </c>
      <c r="F37" s="5" t="s">
        <v>22</v>
      </c>
      <c r="G37" s="5" t="s">
        <v>23</v>
      </c>
      <c r="H37" s="6">
        <v>1</v>
      </c>
      <c r="I37" s="6">
        <v>357.76</v>
      </c>
      <c r="J37" s="5">
        <v>0.25</v>
      </c>
      <c r="K37" s="6">
        <v>0</v>
      </c>
      <c r="L37" s="6">
        <v>6.76</v>
      </c>
      <c r="M37" s="6">
        <v>275.08</v>
      </c>
      <c r="N37" s="5" t="s">
        <v>35</v>
      </c>
      <c r="O37" s="5" t="s">
        <v>25</v>
      </c>
      <c r="P37" s="5" t="s">
        <v>173</v>
      </c>
      <c r="Q37" s="5" t="s">
        <v>174</v>
      </c>
      <c r="R37" s="5" t="s">
        <v>183</v>
      </c>
    </row>
    <row r="38" spans="1:18" x14ac:dyDescent="0.3">
      <c r="A38" s="2" t="s">
        <v>213</v>
      </c>
      <c r="B38" s="1">
        <v>44578</v>
      </c>
      <c r="C38" s="2" t="s">
        <v>214</v>
      </c>
      <c r="D38" s="2" t="s">
        <v>215</v>
      </c>
      <c r="E38" s="2" t="s">
        <v>216</v>
      </c>
      <c r="F38" s="2" t="s">
        <v>143</v>
      </c>
      <c r="G38" s="2" t="s">
        <v>203</v>
      </c>
      <c r="H38" s="3">
        <v>5</v>
      </c>
      <c r="I38" s="3">
        <v>448.89</v>
      </c>
      <c r="J38" s="2">
        <v>0</v>
      </c>
      <c r="K38" s="3">
        <v>179.56</v>
      </c>
      <c r="L38" s="3">
        <v>3.3</v>
      </c>
      <c r="M38" s="3">
        <v>2427.31</v>
      </c>
      <c r="N38" s="2" t="s">
        <v>58</v>
      </c>
      <c r="O38" s="2" t="s">
        <v>25</v>
      </c>
      <c r="P38" s="2" t="s">
        <v>145</v>
      </c>
      <c r="Q38" s="2" t="s">
        <v>146</v>
      </c>
      <c r="R38" s="2" t="s">
        <v>38</v>
      </c>
    </row>
    <row r="39" spans="1:18" x14ac:dyDescent="0.3">
      <c r="A39" s="5" t="s">
        <v>217</v>
      </c>
      <c r="B39" s="4">
        <v>44687</v>
      </c>
      <c r="C39" s="5" t="s">
        <v>218</v>
      </c>
      <c r="D39" s="5" t="s">
        <v>219</v>
      </c>
      <c r="E39" s="5" t="s">
        <v>220</v>
      </c>
      <c r="F39" s="5" t="s">
        <v>143</v>
      </c>
      <c r="G39" s="5" t="s">
        <v>66</v>
      </c>
      <c r="H39" s="6">
        <v>4</v>
      </c>
      <c r="I39" s="6">
        <v>300.89</v>
      </c>
      <c r="J39" s="5">
        <v>0</v>
      </c>
      <c r="K39" s="6">
        <v>144.43</v>
      </c>
      <c r="L39" s="6">
        <v>0.43</v>
      </c>
      <c r="M39" s="6">
        <v>1348.42</v>
      </c>
      <c r="N39" s="5" t="s">
        <v>58</v>
      </c>
      <c r="O39" s="5" t="s">
        <v>25</v>
      </c>
      <c r="P39" s="5" t="s">
        <v>36</v>
      </c>
      <c r="Q39" s="5" t="s">
        <v>37</v>
      </c>
      <c r="R39" s="5" t="s">
        <v>38</v>
      </c>
    </row>
    <row r="40" spans="1:18" x14ac:dyDescent="0.3">
      <c r="A40" s="2" t="s">
        <v>221</v>
      </c>
      <c r="B40" s="1">
        <v>45415</v>
      </c>
      <c r="C40" s="2" t="s">
        <v>222</v>
      </c>
      <c r="D40" s="2" t="s">
        <v>223</v>
      </c>
      <c r="E40" s="2" t="s">
        <v>32</v>
      </c>
      <c r="F40" s="2" t="s">
        <v>33</v>
      </c>
      <c r="G40" s="2" t="s">
        <v>198</v>
      </c>
      <c r="H40" s="3">
        <v>5</v>
      </c>
      <c r="I40" s="3">
        <v>512.88</v>
      </c>
      <c r="J40" s="2">
        <v>0.25</v>
      </c>
      <c r="K40" s="3">
        <v>96.17</v>
      </c>
      <c r="L40" s="3">
        <v>11.33</v>
      </c>
      <c r="M40" s="3">
        <v>2030.8</v>
      </c>
      <c r="N40" s="2" t="s">
        <v>35</v>
      </c>
      <c r="O40" s="2" t="s">
        <v>25</v>
      </c>
      <c r="P40" s="2" t="s">
        <v>60</v>
      </c>
      <c r="Q40" s="2" t="s">
        <v>37</v>
      </c>
      <c r="R40" s="2" t="s">
        <v>183</v>
      </c>
    </row>
    <row r="41" spans="1:18" x14ac:dyDescent="0.3">
      <c r="A41" s="5" t="s">
        <v>224</v>
      </c>
      <c r="B41" s="4">
        <v>44305</v>
      </c>
      <c r="C41" s="5" t="s">
        <v>225</v>
      </c>
      <c r="D41" s="5" t="s">
        <v>196</v>
      </c>
      <c r="E41" s="5" t="s">
        <v>156</v>
      </c>
      <c r="F41" s="5" t="s">
        <v>22</v>
      </c>
      <c r="G41" s="5" t="s">
        <v>100</v>
      </c>
      <c r="H41" s="6">
        <v>2</v>
      </c>
      <c r="I41" s="6">
        <v>81.819999999999993</v>
      </c>
      <c r="J41" s="5">
        <v>0.1</v>
      </c>
      <c r="K41" s="6">
        <v>7.36</v>
      </c>
      <c r="L41" s="6">
        <v>4.47</v>
      </c>
      <c r="M41" s="6">
        <v>159.11000000000001</v>
      </c>
      <c r="N41" s="5" t="s">
        <v>58</v>
      </c>
      <c r="O41" s="5" t="s">
        <v>25</v>
      </c>
      <c r="P41" s="5" t="s">
        <v>101</v>
      </c>
      <c r="Q41" s="5" t="s">
        <v>102</v>
      </c>
      <c r="R41" s="5" t="s">
        <v>38</v>
      </c>
    </row>
    <row r="42" spans="1:18" x14ac:dyDescent="0.3">
      <c r="A42" s="2" t="s">
        <v>226</v>
      </c>
      <c r="B42" s="1">
        <v>44913</v>
      </c>
      <c r="C42" s="2" t="s">
        <v>227</v>
      </c>
      <c r="D42" s="2" t="s">
        <v>219</v>
      </c>
      <c r="E42" s="2" t="s">
        <v>122</v>
      </c>
      <c r="F42" s="2" t="s">
        <v>89</v>
      </c>
      <c r="G42" s="2" t="s">
        <v>49</v>
      </c>
      <c r="H42" s="3">
        <v>3</v>
      </c>
      <c r="I42" s="3">
        <v>215.9</v>
      </c>
      <c r="J42" s="2">
        <v>0</v>
      </c>
      <c r="K42" s="3">
        <v>77.72</v>
      </c>
      <c r="L42" s="3">
        <v>8.4499999999999993</v>
      </c>
      <c r="M42" s="3">
        <v>733.87</v>
      </c>
      <c r="N42" s="2" t="s">
        <v>67</v>
      </c>
      <c r="O42" s="2" t="s">
        <v>25</v>
      </c>
      <c r="P42" s="2" t="s">
        <v>74</v>
      </c>
      <c r="Q42" s="2" t="s">
        <v>75</v>
      </c>
      <c r="R42" s="2" t="s">
        <v>38</v>
      </c>
    </row>
    <row r="43" spans="1:18" x14ac:dyDescent="0.3">
      <c r="A43" s="5" t="s">
        <v>228</v>
      </c>
      <c r="B43" s="4">
        <v>44341</v>
      </c>
      <c r="C43" s="5" t="s">
        <v>229</v>
      </c>
      <c r="D43" s="5" t="s">
        <v>230</v>
      </c>
      <c r="E43" s="5" t="s">
        <v>231</v>
      </c>
      <c r="F43" s="5" t="s">
        <v>22</v>
      </c>
      <c r="G43" s="5" t="s">
        <v>100</v>
      </c>
      <c r="H43" s="6">
        <v>5</v>
      </c>
      <c r="I43" s="6">
        <v>574.28</v>
      </c>
      <c r="J43" s="5">
        <v>0.1</v>
      </c>
      <c r="K43" s="6">
        <v>129.21</v>
      </c>
      <c r="L43" s="6">
        <v>2.23</v>
      </c>
      <c r="M43" s="6">
        <v>2715.7</v>
      </c>
      <c r="N43" s="5" t="s">
        <v>24</v>
      </c>
      <c r="O43" s="5" t="s">
        <v>25</v>
      </c>
      <c r="P43" s="5" t="s">
        <v>60</v>
      </c>
      <c r="Q43" s="5" t="s">
        <v>37</v>
      </c>
      <c r="R43" s="5" t="s">
        <v>38</v>
      </c>
    </row>
    <row r="44" spans="1:18" x14ac:dyDescent="0.3">
      <c r="A44" s="2" t="s">
        <v>232</v>
      </c>
      <c r="B44" s="1">
        <v>45536</v>
      </c>
      <c r="C44" s="2" t="s">
        <v>233</v>
      </c>
      <c r="D44" s="2" t="s">
        <v>234</v>
      </c>
      <c r="E44" s="2" t="s">
        <v>88</v>
      </c>
      <c r="F44" s="2" t="s">
        <v>33</v>
      </c>
      <c r="G44" s="2" t="s">
        <v>198</v>
      </c>
      <c r="H44" s="3">
        <v>4</v>
      </c>
      <c r="I44" s="3">
        <v>109.59</v>
      </c>
      <c r="J44" s="2">
        <v>0</v>
      </c>
      <c r="K44" s="3">
        <v>35.07</v>
      </c>
      <c r="L44" s="3">
        <v>7.59</v>
      </c>
      <c r="M44" s="3">
        <v>481.02</v>
      </c>
      <c r="N44" s="2" t="s">
        <v>35</v>
      </c>
      <c r="O44" s="2" t="s">
        <v>25</v>
      </c>
      <c r="P44" s="2" t="s">
        <v>150</v>
      </c>
      <c r="Q44" s="2" t="s">
        <v>69</v>
      </c>
      <c r="R44" s="2" t="s">
        <v>28</v>
      </c>
    </row>
    <row r="45" spans="1:18" x14ac:dyDescent="0.3">
      <c r="A45" s="5" t="s">
        <v>235</v>
      </c>
      <c r="B45" s="4">
        <v>45330</v>
      </c>
      <c r="C45" s="5" t="s">
        <v>236</v>
      </c>
      <c r="D45" s="5" t="s">
        <v>237</v>
      </c>
      <c r="E45" s="5" t="s">
        <v>132</v>
      </c>
      <c r="F45" s="5" t="s">
        <v>81</v>
      </c>
      <c r="G45" s="5" t="s">
        <v>100</v>
      </c>
      <c r="H45" s="6">
        <v>3</v>
      </c>
      <c r="I45" s="6">
        <v>88.46</v>
      </c>
      <c r="J45" s="5">
        <v>0.15</v>
      </c>
      <c r="K45" s="6">
        <v>40.6</v>
      </c>
      <c r="L45" s="6">
        <v>2.73</v>
      </c>
      <c r="M45" s="6">
        <v>268.89999999999998</v>
      </c>
      <c r="N45" s="5" t="s">
        <v>58</v>
      </c>
      <c r="O45" s="5" t="s">
        <v>59</v>
      </c>
      <c r="P45" s="5" t="s">
        <v>60</v>
      </c>
      <c r="Q45" s="5" t="s">
        <v>37</v>
      </c>
      <c r="R45" s="5" t="s">
        <v>38</v>
      </c>
    </row>
    <row r="46" spans="1:18" x14ac:dyDescent="0.3">
      <c r="A46" s="2" t="s">
        <v>238</v>
      </c>
      <c r="B46" s="1">
        <v>44530</v>
      </c>
      <c r="C46" s="2" t="s">
        <v>239</v>
      </c>
      <c r="D46" s="2" t="s">
        <v>212</v>
      </c>
      <c r="E46" s="2" t="s">
        <v>122</v>
      </c>
      <c r="F46" s="2" t="s">
        <v>143</v>
      </c>
      <c r="G46" s="2" t="s">
        <v>90</v>
      </c>
      <c r="H46" s="3">
        <v>4</v>
      </c>
      <c r="I46" s="3">
        <v>395.64</v>
      </c>
      <c r="J46" s="2">
        <v>0.05</v>
      </c>
      <c r="K46" s="3">
        <v>120.27</v>
      </c>
      <c r="L46" s="3">
        <v>3.89</v>
      </c>
      <c r="M46" s="3">
        <v>1627.59</v>
      </c>
      <c r="N46" s="2" t="s">
        <v>24</v>
      </c>
      <c r="O46" s="2" t="s">
        <v>25</v>
      </c>
      <c r="P46" s="2" t="s">
        <v>95</v>
      </c>
      <c r="Q46" s="2" t="s">
        <v>37</v>
      </c>
      <c r="R46" s="2" t="s">
        <v>38</v>
      </c>
    </row>
    <row r="47" spans="1:18" x14ac:dyDescent="0.3">
      <c r="A47" s="5" t="s">
        <v>240</v>
      </c>
      <c r="B47" s="4">
        <v>44806</v>
      </c>
      <c r="C47" s="5" t="s">
        <v>241</v>
      </c>
      <c r="D47" s="5" t="s">
        <v>242</v>
      </c>
      <c r="E47" s="5" t="s">
        <v>243</v>
      </c>
      <c r="F47" s="5" t="s">
        <v>81</v>
      </c>
      <c r="G47" s="5" t="s">
        <v>100</v>
      </c>
      <c r="H47" s="6">
        <v>2</v>
      </c>
      <c r="I47" s="6">
        <v>449.14</v>
      </c>
      <c r="J47" s="5">
        <v>0.05</v>
      </c>
      <c r="K47" s="6">
        <v>0</v>
      </c>
      <c r="L47" s="6">
        <v>5.62</v>
      </c>
      <c r="M47" s="6">
        <v>858.99</v>
      </c>
      <c r="N47" s="5" t="s">
        <v>24</v>
      </c>
      <c r="O47" s="5" t="s">
        <v>25</v>
      </c>
      <c r="P47" s="5" t="s">
        <v>112</v>
      </c>
      <c r="Q47" s="5" t="s">
        <v>113</v>
      </c>
      <c r="R47" s="5" t="s">
        <v>38</v>
      </c>
    </row>
    <row r="48" spans="1:18" x14ac:dyDescent="0.3">
      <c r="A48" s="2" t="s">
        <v>244</v>
      </c>
      <c r="B48" s="1">
        <v>45637</v>
      </c>
      <c r="C48" s="2" t="s">
        <v>245</v>
      </c>
      <c r="D48" s="2" t="s">
        <v>246</v>
      </c>
      <c r="E48" s="2" t="s">
        <v>138</v>
      </c>
      <c r="F48" s="2" t="s">
        <v>143</v>
      </c>
      <c r="G48" s="2" t="s">
        <v>203</v>
      </c>
      <c r="H48" s="3">
        <v>4</v>
      </c>
      <c r="I48" s="3">
        <v>121.45</v>
      </c>
      <c r="J48" s="2">
        <v>0</v>
      </c>
      <c r="K48" s="3">
        <v>0</v>
      </c>
      <c r="L48" s="3">
        <v>3.75</v>
      </c>
      <c r="M48" s="3">
        <v>489.55</v>
      </c>
      <c r="N48" s="2" t="s">
        <v>67</v>
      </c>
      <c r="O48" s="2" t="s">
        <v>25</v>
      </c>
      <c r="P48" s="2" t="s">
        <v>44</v>
      </c>
      <c r="Q48" s="2" t="s">
        <v>37</v>
      </c>
      <c r="R48" s="2" t="s">
        <v>38</v>
      </c>
    </row>
    <row r="49" spans="1:18" x14ac:dyDescent="0.3">
      <c r="A49" s="5" t="s">
        <v>247</v>
      </c>
      <c r="B49" s="4">
        <v>44020</v>
      </c>
      <c r="C49" s="5" t="s">
        <v>248</v>
      </c>
      <c r="D49" s="5" t="s">
        <v>249</v>
      </c>
      <c r="E49" s="5" t="s">
        <v>73</v>
      </c>
      <c r="F49" s="5" t="s">
        <v>81</v>
      </c>
      <c r="G49" s="5" t="s">
        <v>198</v>
      </c>
      <c r="H49" s="6">
        <v>2</v>
      </c>
      <c r="I49" s="6">
        <v>140.88999999999999</v>
      </c>
      <c r="J49" s="5">
        <v>0.05</v>
      </c>
      <c r="K49" s="6">
        <v>21.42</v>
      </c>
      <c r="L49" s="6">
        <v>0.48</v>
      </c>
      <c r="M49" s="6">
        <v>289.58999999999997</v>
      </c>
      <c r="N49" s="5" t="s">
        <v>24</v>
      </c>
      <c r="O49" s="5" t="s">
        <v>25</v>
      </c>
      <c r="P49" s="5" t="s">
        <v>150</v>
      </c>
      <c r="Q49" s="5" t="s">
        <v>69</v>
      </c>
      <c r="R49" s="5" t="s">
        <v>76</v>
      </c>
    </row>
    <row r="50" spans="1:18" x14ac:dyDescent="0.3">
      <c r="A50" s="2" t="s">
        <v>250</v>
      </c>
      <c r="B50" s="1">
        <v>44788</v>
      </c>
      <c r="C50" s="2" t="s">
        <v>251</v>
      </c>
      <c r="D50" s="2" t="s">
        <v>252</v>
      </c>
      <c r="E50" s="2" t="s">
        <v>21</v>
      </c>
      <c r="F50" s="2" t="s">
        <v>22</v>
      </c>
      <c r="G50" s="2" t="s">
        <v>66</v>
      </c>
      <c r="H50" s="3">
        <v>3</v>
      </c>
      <c r="I50" s="3">
        <v>249.84</v>
      </c>
      <c r="J50" s="2">
        <v>0.2</v>
      </c>
      <c r="K50" s="3">
        <v>47.97</v>
      </c>
      <c r="L50" s="3">
        <v>3.26</v>
      </c>
      <c r="M50" s="3">
        <v>650.85</v>
      </c>
      <c r="N50" s="2" t="s">
        <v>24</v>
      </c>
      <c r="O50" s="2" t="s">
        <v>25</v>
      </c>
      <c r="P50" s="2" t="s">
        <v>60</v>
      </c>
      <c r="Q50" s="2" t="s">
        <v>37</v>
      </c>
      <c r="R50" s="2" t="s">
        <v>76</v>
      </c>
    </row>
    <row r="51" spans="1:18" x14ac:dyDescent="0.3">
      <c r="A51" s="5" t="s">
        <v>253</v>
      </c>
      <c r="B51" s="4">
        <v>44517</v>
      </c>
      <c r="C51" s="5" t="s">
        <v>254</v>
      </c>
      <c r="D51" s="5" t="s">
        <v>255</v>
      </c>
      <c r="E51" s="5" t="s">
        <v>256</v>
      </c>
      <c r="F51" s="5" t="s">
        <v>22</v>
      </c>
      <c r="G51" s="5" t="s">
        <v>57</v>
      </c>
      <c r="H51" s="6">
        <v>3</v>
      </c>
      <c r="I51" s="6">
        <v>482.37</v>
      </c>
      <c r="J51" s="5">
        <v>0.15</v>
      </c>
      <c r="K51" s="6">
        <v>61.5</v>
      </c>
      <c r="L51" s="6">
        <v>8.73</v>
      </c>
      <c r="M51" s="6">
        <v>1300.27</v>
      </c>
      <c r="N51" s="5" t="s">
        <v>123</v>
      </c>
      <c r="O51" s="5" t="s">
        <v>25</v>
      </c>
      <c r="P51" s="5" t="s">
        <v>257</v>
      </c>
      <c r="Q51" s="5" t="s">
        <v>69</v>
      </c>
      <c r="R51" s="5" t="s">
        <v>28</v>
      </c>
    </row>
    <row r="52" spans="1:18" x14ac:dyDescent="0.3">
      <c r="A52" s="2" t="s">
        <v>258</v>
      </c>
      <c r="B52" s="1">
        <v>44788</v>
      </c>
      <c r="C52" s="2" t="s">
        <v>259</v>
      </c>
      <c r="D52" s="2" t="s">
        <v>260</v>
      </c>
      <c r="E52" s="2" t="s">
        <v>202</v>
      </c>
      <c r="F52" s="2" t="s">
        <v>22</v>
      </c>
      <c r="G52" s="2" t="s">
        <v>198</v>
      </c>
      <c r="H52" s="3">
        <v>3</v>
      </c>
      <c r="I52" s="3">
        <v>244.83</v>
      </c>
      <c r="J52" s="2">
        <v>0.25</v>
      </c>
      <c r="K52" s="3">
        <v>0</v>
      </c>
      <c r="L52" s="3">
        <v>8.07</v>
      </c>
      <c r="M52" s="3">
        <v>558.94000000000005</v>
      </c>
      <c r="N52" s="2" t="s">
        <v>50</v>
      </c>
      <c r="O52" s="2" t="s">
        <v>25</v>
      </c>
      <c r="P52" s="2" t="s">
        <v>257</v>
      </c>
      <c r="Q52" s="2" t="s">
        <v>69</v>
      </c>
      <c r="R52" s="2" t="s">
        <v>76</v>
      </c>
    </row>
    <row r="53" spans="1:18" x14ac:dyDescent="0.3">
      <c r="A53" s="5" t="s">
        <v>261</v>
      </c>
      <c r="B53" s="4">
        <v>44393</v>
      </c>
      <c r="C53" s="5" t="s">
        <v>262</v>
      </c>
      <c r="D53" s="5" t="s">
        <v>263</v>
      </c>
      <c r="E53" s="5" t="s">
        <v>138</v>
      </c>
      <c r="F53" s="5" t="s">
        <v>143</v>
      </c>
      <c r="G53" s="5" t="s">
        <v>34</v>
      </c>
      <c r="H53" s="6">
        <v>4</v>
      </c>
      <c r="I53" s="6">
        <v>353.85</v>
      </c>
      <c r="J53" s="5">
        <v>0.05</v>
      </c>
      <c r="K53" s="6">
        <v>67.23</v>
      </c>
      <c r="L53" s="6">
        <v>6.09</v>
      </c>
      <c r="M53" s="6">
        <v>1417.95</v>
      </c>
      <c r="N53" s="5" t="s">
        <v>24</v>
      </c>
      <c r="O53" s="5" t="s">
        <v>25</v>
      </c>
      <c r="P53" s="5" t="s">
        <v>173</v>
      </c>
      <c r="Q53" s="5" t="s">
        <v>174</v>
      </c>
      <c r="R53" s="5" t="s">
        <v>38</v>
      </c>
    </row>
    <row r="54" spans="1:18" x14ac:dyDescent="0.3">
      <c r="A54" s="2" t="s">
        <v>264</v>
      </c>
      <c r="B54" s="1">
        <v>45421</v>
      </c>
      <c r="C54" s="2" t="s">
        <v>265</v>
      </c>
      <c r="D54" s="2" t="s">
        <v>266</v>
      </c>
      <c r="E54" s="2" t="s">
        <v>267</v>
      </c>
      <c r="F54" s="2" t="s">
        <v>143</v>
      </c>
      <c r="G54" s="2" t="s">
        <v>268</v>
      </c>
      <c r="H54" s="3">
        <v>3</v>
      </c>
      <c r="I54" s="3">
        <v>324.76</v>
      </c>
      <c r="J54" s="2">
        <v>0.3</v>
      </c>
      <c r="K54" s="3">
        <v>34.1</v>
      </c>
      <c r="L54" s="3">
        <v>0.75</v>
      </c>
      <c r="M54" s="3">
        <v>716.85</v>
      </c>
      <c r="N54" s="2" t="s">
        <v>24</v>
      </c>
      <c r="O54" s="2" t="s">
        <v>107</v>
      </c>
      <c r="P54" s="2" t="s">
        <v>117</v>
      </c>
      <c r="Q54" s="2" t="s">
        <v>118</v>
      </c>
      <c r="R54" s="2" t="s">
        <v>38</v>
      </c>
    </row>
    <row r="55" spans="1:18" x14ac:dyDescent="0.3">
      <c r="A55" s="5" t="s">
        <v>269</v>
      </c>
      <c r="B55" s="4">
        <v>45098</v>
      </c>
      <c r="C55" s="5" t="s">
        <v>270</v>
      </c>
      <c r="D55" s="5" t="s">
        <v>266</v>
      </c>
      <c r="E55" s="5" t="s">
        <v>271</v>
      </c>
      <c r="F55" s="5" t="s">
        <v>89</v>
      </c>
      <c r="G55" s="5" t="s">
        <v>198</v>
      </c>
      <c r="H55" s="6">
        <v>1</v>
      </c>
      <c r="I55" s="6">
        <v>491.78</v>
      </c>
      <c r="J55" s="5">
        <v>0.1</v>
      </c>
      <c r="K55" s="6">
        <v>53.11</v>
      </c>
      <c r="L55" s="6">
        <v>5.14</v>
      </c>
      <c r="M55" s="6">
        <v>500.85</v>
      </c>
      <c r="N55" s="5" t="s">
        <v>35</v>
      </c>
      <c r="O55" s="5" t="s">
        <v>25</v>
      </c>
      <c r="P55" s="5" t="s">
        <v>51</v>
      </c>
      <c r="Q55" s="5" t="s">
        <v>52</v>
      </c>
      <c r="R55" s="5" t="s">
        <v>28</v>
      </c>
    </row>
    <row r="56" spans="1:18" x14ac:dyDescent="0.3">
      <c r="A56" s="2" t="s">
        <v>272</v>
      </c>
      <c r="B56" s="1">
        <v>44662</v>
      </c>
      <c r="C56" s="2" t="s">
        <v>273</v>
      </c>
      <c r="D56" s="2" t="s">
        <v>209</v>
      </c>
      <c r="E56" s="2" t="s">
        <v>42</v>
      </c>
      <c r="F56" s="2" t="s">
        <v>143</v>
      </c>
      <c r="G56" s="2" t="s">
        <v>268</v>
      </c>
      <c r="H56" s="3">
        <v>4</v>
      </c>
      <c r="I56" s="3">
        <v>549.22</v>
      </c>
      <c r="J56" s="2">
        <v>0.05</v>
      </c>
      <c r="K56" s="3">
        <v>104.35</v>
      </c>
      <c r="L56" s="3">
        <v>8.2200000000000006</v>
      </c>
      <c r="M56" s="3">
        <v>2199.61</v>
      </c>
      <c r="N56" s="2" t="s">
        <v>67</v>
      </c>
      <c r="O56" s="2" t="s">
        <v>25</v>
      </c>
      <c r="P56" s="2" t="s">
        <v>74</v>
      </c>
      <c r="Q56" s="2" t="s">
        <v>75</v>
      </c>
      <c r="R56" s="2" t="s">
        <v>38</v>
      </c>
    </row>
    <row r="57" spans="1:18" x14ac:dyDescent="0.3">
      <c r="A57" s="5" t="s">
        <v>274</v>
      </c>
      <c r="B57" s="4">
        <v>45359</v>
      </c>
      <c r="C57" s="5" t="s">
        <v>275</v>
      </c>
      <c r="D57" s="5" t="s">
        <v>276</v>
      </c>
      <c r="E57" s="5" t="s">
        <v>42</v>
      </c>
      <c r="F57" s="5" t="s">
        <v>33</v>
      </c>
      <c r="G57" s="5" t="s">
        <v>90</v>
      </c>
      <c r="H57" s="6">
        <v>4</v>
      </c>
      <c r="I57" s="6">
        <v>364.08</v>
      </c>
      <c r="J57" s="5">
        <v>0.25</v>
      </c>
      <c r="K57" s="6">
        <v>131.07</v>
      </c>
      <c r="L57" s="6">
        <v>12.95</v>
      </c>
      <c r="M57" s="6">
        <v>1236.26</v>
      </c>
      <c r="N57" s="5" t="s">
        <v>58</v>
      </c>
      <c r="O57" s="5" t="s">
        <v>82</v>
      </c>
      <c r="P57" s="5" t="s">
        <v>74</v>
      </c>
      <c r="Q57" s="5" t="s">
        <v>75</v>
      </c>
      <c r="R57" s="5" t="s">
        <v>38</v>
      </c>
    </row>
    <row r="58" spans="1:18" x14ac:dyDescent="0.3">
      <c r="A58" s="2" t="s">
        <v>277</v>
      </c>
      <c r="B58" s="1">
        <v>44985</v>
      </c>
      <c r="C58" s="2" t="s">
        <v>278</v>
      </c>
      <c r="D58" s="2" t="s">
        <v>279</v>
      </c>
      <c r="E58" s="2" t="s">
        <v>231</v>
      </c>
      <c r="F58" s="2" t="s">
        <v>89</v>
      </c>
      <c r="G58" s="2" t="s">
        <v>100</v>
      </c>
      <c r="H58" s="3">
        <v>2</v>
      </c>
      <c r="I58" s="3">
        <v>509.59</v>
      </c>
      <c r="J58" s="2">
        <v>0</v>
      </c>
      <c r="K58" s="3">
        <v>183.45</v>
      </c>
      <c r="L58" s="3">
        <v>3.79</v>
      </c>
      <c r="M58" s="3">
        <v>1206.42</v>
      </c>
      <c r="N58" s="2" t="s">
        <v>58</v>
      </c>
      <c r="O58" s="2" t="s">
        <v>107</v>
      </c>
      <c r="P58" s="2" t="s">
        <v>257</v>
      </c>
      <c r="Q58" s="2" t="s">
        <v>69</v>
      </c>
      <c r="R58" s="2" t="s">
        <v>38</v>
      </c>
    </row>
    <row r="59" spans="1:18" x14ac:dyDescent="0.3">
      <c r="A59" s="5" t="s">
        <v>280</v>
      </c>
      <c r="B59" s="4">
        <v>45339</v>
      </c>
      <c r="C59" s="5" t="s">
        <v>281</v>
      </c>
      <c r="D59" s="5" t="s">
        <v>282</v>
      </c>
      <c r="E59" s="5" t="s">
        <v>283</v>
      </c>
      <c r="F59" s="5" t="s">
        <v>43</v>
      </c>
      <c r="G59" s="5" t="s">
        <v>34</v>
      </c>
      <c r="H59" s="6">
        <v>5</v>
      </c>
      <c r="I59" s="6">
        <v>182.55</v>
      </c>
      <c r="J59" s="5">
        <v>0</v>
      </c>
      <c r="K59" s="6">
        <v>45.64</v>
      </c>
      <c r="L59" s="6">
        <v>12.08</v>
      </c>
      <c r="M59" s="6">
        <v>970.47</v>
      </c>
      <c r="N59" s="5" t="s">
        <v>67</v>
      </c>
      <c r="O59" s="5" t="s">
        <v>25</v>
      </c>
      <c r="P59" s="5" t="s">
        <v>150</v>
      </c>
      <c r="Q59" s="5" t="s">
        <v>69</v>
      </c>
      <c r="R59" s="5" t="s">
        <v>61</v>
      </c>
    </row>
    <row r="60" spans="1:18" x14ac:dyDescent="0.3">
      <c r="A60" s="2" t="s">
        <v>284</v>
      </c>
      <c r="B60" s="1">
        <v>44477</v>
      </c>
      <c r="C60" s="2" t="s">
        <v>285</v>
      </c>
      <c r="D60" s="2" t="s">
        <v>286</v>
      </c>
      <c r="E60" s="2" t="s">
        <v>287</v>
      </c>
      <c r="F60" s="2" t="s">
        <v>81</v>
      </c>
      <c r="G60" s="2" t="s">
        <v>90</v>
      </c>
      <c r="H60" s="3">
        <v>3</v>
      </c>
      <c r="I60" s="3">
        <v>184.7</v>
      </c>
      <c r="J60" s="2">
        <v>0.3</v>
      </c>
      <c r="K60" s="3">
        <v>46.54</v>
      </c>
      <c r="L60" s="3">
        <v>7.98</v>
      </c>
      <c r="M60" s="3">
        <v>442.39</v>
      </c>
      <c r="N60" s="2" t="s">
        <v>24</v>
      </c>
      <c r="O60" s="2" t="s">
        <v>25</v>
      </c>
      <c r="P60" s="2" t="s">
        <v>165</v>
      </c>
      <c r="Q60" s="2" t="s">
        <v>37</v>
      </c>
      <c r="R60" s="2" t="s">
        <v>38</v>
      </c>
    </row>
    <row r="61" spans="1:18" x14ac:dyDescent="0.3">
      <c r="A61" s="5" t="s">
        <v>288</v>
      </c>
      <c r="B61" s="4">
        <v>43851</v>
      </c>
      <c r="C61" s="5" t="s">
        <v>289</v>
      </c>
      <c r="D61" s="5" t="s">
        <v>290</v>
      </c>
      <c r="E61" s="5" t="s">
        <v>291</v>
      </c>
      <c r="F61" s="5" t="s">
        <v>143</v>
      </c>
      <c r="G61" s="5" t="s">
        <v>268</v>
      </c>
      <c r="H61" s="6">
        <v>2</v>
      </c>
      <c r="I61" s="6">
        <v>439.8</v>
      </c>
      <c r="J61" s="5">
        <v>0</v>
      </c>
      <c r="K61" s="6">
        <v>43.98</v>
      </c>
      <c r="L61" s="6">
        <v>7.55</v>
      </c>
      <c r="M61" s="6">
        <v>931.13</v>
      </c>
      <c r="N61" s="5" t="s">
        <v>35</v>
      </c>
      <c r="O61" s="5" t="s">
        <v>25</v>
      </c>
      <c r="P61" s="5" t="s">
        <v>101</v>
      </c>
      <c r="Q61" s="5" t="s">
        <v>102</v>
      </c>
      <c r="R61" s="5" t="s">
        <v>28</v>
      </c>
    </row>
    <row r="62" spans="1:18" x14ac:dyDescent="0.3">
      <c r="A62" s="2" t="s">
        <v>292</v>
      </c>
      <c r="B62" s="1">
        <v>44671</v>
      </c>
      <c r="C62" s="2" t="s">
        <v>293</v>
      </c>
      <c r="D62" s="2" t="s">
        <v>141</v>
      </c>
      <c r="E62" s="2" t="s">
        <v>294</v>
      </c>
      <c r="F62" s="2" t="s">
        <v>22</v>
      </c>
      <c r="G62" s="2" t="s">
        <v>23</v>
      </c>
      <c r="H62" s="3">
        <v>4</v>
      </c>
      <c r="I62" s="3">
        <v>593.02</v>
      </c>
      <c r="J62" s="2">
        <v>0.05</v>
      </c>
      <c r="K62" s="3">
        <v>405.63</v>
      </c>
      <c r="L62" s="3">
        <v>9.18</v>
      </c>
      <c r="M62" s="3">
        <v>2668.29</v>
      </c>
      <c r="N62" s="2" t="s">
        <v>67</v>
      </c>
      <c r="O62" s="2" t="s">
        <v>107</v>
      </c>
      <c r="P62" s="2" t="s">
        <v>44</v>
      </c>
      <c r="Q62" s="2" t="s">
        <v>37</v>
      </c>
      <c r="R62" s="2" t="s">
        <v>28</v>
      </c>
    </row>
    <row r="63" spans="1:18" x14ac:dyDescent="0.3">
      <c r="A63" s="5" t="s">
        <v>295</v>
      </c>
      <c r="B63" s="4">
        <v>43997</v>
      </c>
      <c r="C63" s="5" t="s">
        <v>296</v>
      </c>
      <c r="D63" s="5" t="s">
        <v>297</v>
      </c>
      <c r="E63" s="5" t="s">
        <v>132</v>
      </c>
      <c r="F63" s="5" t="s">
        <v>33</v>
      </c>
      <c r="G63" s="5" t="s">
        <v>66</v>
      </c>
      <c r="H63" s="6">
        <v>3</v>
      </c>
      <c r="I63" s="6">
        <v>131.36000000000001</v>
      </c>
      <c r="J63" s="5">
        <v>0</v>
      </c>
      <c r="K63" s="6">
        <v>70.930000000000007</v>
      </c>
      <c r="L63" s="6">
        <v>7.25</v>
      </c>
      <c r="M63" s="6">
        <v>472.26</v>
      </c>
      <c r="N63" s="5" t="s">
        <v>67</v>
      </c>
      <c r="O63" s="5" t="s">
        <v>25</v>
      </c>
      <c r="P63" s="5" t="s">
        <v>51</v>
      </c>
      <c r="Q63" s="5" t="s">
        <v>52</v>
      </c>
      <c r="R63" s="5" t="s">
        <v>61</v>
      </c>
    </row>
    <row r="64" spans="1:18" x14ac:dyDescent="0.3">
      <c r="A64" s="2" t="s">
        <v>298</v>
      </c>
      <c r="B64" s="1">
        <v>45128</v>
      </c>
      <c r="C64" s="2" t="s">
        <v>299</v>
      </c>
      <c r="D64" s="2" t="s">
        <v>159</v>
      </c>
      <c r="E64" s="2" t="s">
        <v>300</v>
      </c>
      <c r="F64" s="2" t="s">
        <v>81</v>
      </c>
      <c r="G64" s="2" t="s">
        <v>100</v>
      </c>
      <c r="H64" s="3">
        <v>3</v>
      </c>
      <c r="I64" s="3">
        <v>71.260000000000005</v>
      </c>
      <c r="J64" s="2">
        <v>0.1</v>
      </c>
      <c r="K64" s="3">
        <v>23.09</v>
      </c>
      <c r="L64" s="3">
        <v>11.28</v>
      </c>
      <c r="M64" s="3">
        <v>226.77</v>
      </c>
      <c r="N64" s="2" t="s">
        <v>58</v>
      </c>
      <c r="O64" s="2" t="s">
        <v>144</v>
      </c>
      <c r="P64" s="2" t="s">
        <v>36</v>
      </c>
      <c r="Q64" s="2" t="s">
        <v>37</v>
      </c>
      <c r="R64" s="2" t="s">
        <v>38</v>
      </c>
    </row>
    <row r="65" spans="1:18" x14ac:dyDescent="0.3">
      <c r="A65" s="5" t="s">
        <v>301</v>
      </c>
      <c r="B65" s="4">
        <v>44218</v>
      </c>
      <c r="C65" s="5" t="s">
        <v>302</v>
      </c>
      <c r="D65" s="5" t="s">
        <v>303</v>
      </c>
      <c r="E65" s="5" t="s">
        <v>294</v>
      </c>
      <c r="F65" s="5" t="s">
        <v>22</v>
      </c>
      <c r="G65" s="5" t="s">
        <v>203</v>
      </c>
      <c r="H65" s="6">
        <v>5</v>
      </c>
      <c r="I65" s="6">
        <v>107.11</v>
      </c>
      <c r="J65" s="5">
        <v>0.05</v>
      </c>
      <c r="K65" s="6">
        <v>25.44</v>
      </c>
      <c r="L65" s="6">
        <v>12.92</v>
      </c>
      <c r="M65" s="6">
        <v>547.13</v>
      </c>
      <c r="N65" s="5" t="s">
        <v>67</v>
      </c>
      <c r="O65" s="5" t="s">
        <v>25</v>
      </c>
      <c r="P65" s="5" t="s">
        <v>74</v>
      </c>
      <c r="Q65" s="5" t="s">
        <v>75</v>
      </c>
      <c r="R65" s="5" t="s">
        <v>38</v>
      </c>
    </row>
    <row r="66" spans="1:18" x14ac:dyDescent="0.3">
      <c r="A66" s="2" t="s">
        <v>304</v>
      </c>
      <c r="B66" s="1">
        <v>44431</v>
      </c>
      <c r="C66" s="2" t="s">
        <v>305</v>
      </c>
      <c r="D66" s="2" t="s">
        <v>72</v>
      </c>
      <c r="E66" s="2" t="s">
        <v>138</v>
      </c>
      <c r="F66" s="2" t="s">
        <v>81</v>
      </c>
      <c r="G66" s="2" t="s">
        <v>49</v>
      </c>
      <c r="H66" s="3">
        <v>5</v>
      </c>
      <c r="I66" s="3">
        <v>417.28</v>
      </c>
      <c r="J66" s="2">
        <v>0.15</v>
      </c>
      <c r="K66" s="3">
        <v>88.67</v>
      </c>
      <c r="L66" s="3">
        <v>9.65</v>
      </c>
      <c r="M66" s="3">
        <v>1871.76</v>
      </c>
      <c r="N66" s="2" t="s">
        <v>35</v>
      </c>
      <c r="O66" s="2" t="s">
        <v>144</v>
      </c>
      <c r="P66" s="2" t="s">
        <v>68</v>
      </c>
      <c r="Q66" s="2" t="s">
        <v>69</v>
      </c>
      <c r="R66" s="2" t="s">
        <v>28</v>
      </c>
    </row>
    <row r="67" spans="1:18" x14ac:dyDescent="0.3">
      <c r="A67" s="5" t="s">
        <v>306</v>
      </c>
      <c r="B67" s="4">
        <v>44146</v>
      </c>
      <c r="C67" s="5" t="s">
        <v>307</v>
      </c>
      <c r="D67" s="5" t="s">
        <v>263</v>
      </c>
      <c r="E67" s="5" t="s">
        <v>294</v>
      </c>
      <c r="F67" s="5" t="s">
        <v>22</v>
      </c>
      <c r="G67" s="5" t="s">
        <v>198</v>
      </c>
      <c r="H67" s="6">
        <v>2</v>
      </c>
      <c r="I67" s="6">
        <v>559.03</v>
      </c>
      <c r="J67" s="5">
        <v>0.1</v>
      </c>
      <c r="K67" s="6">
        <v>50.31</v>
      </c>
      <c r="L67" s="6">
        <v>11.62</v>
      </c>
      <c r="M67" s="6">
        <v>1068.18</v>
      </c>
      <c r="N67" s="5" t="s">
        <v>35</v>
      </c>
      <c r="O67" s="5" t="s">
        <v>25</v>
      </c>
      <c r="P67" s="5" t="s">
        <v>124</v>
      </c>
      <c r="Q67" s="5" t="s">
        <v>125</v>
      </c>
      <c r="R67" s="5" t="s">
        <v>38</v>
      </c>
    </row>
    <row r="68" spans="1:18" x14ac:dyDescent="0.3">
      <c r="A68" s="2" t="s">
        <v>308</v>
      </c>
      <c r="B68" s="1">
        <v>43844</v>
      </c>
      <c r="C68" s="2" t="s">
        <v>309</v>
      </c>
      <c r="D68" s="2" t="s">
        <v>137</v>
      </c>
      <c r="E68" s="2" t="s">
        <v>99</v>
      </c>
      <c r="F68" s="2" t="s">
        <v>33</v>
      </c>
      <c r="G68" s="2" t="s">
        <v>23</v>
      </c>
      <c r="H68" s="3">
        <v>4</v>
      </c>
      <c r="I68" s="3">
        <v>203.84</v>
      </c>
      <c r="J68" s="2">
        <v>0.1</v>
      </c>
      <c r="K68" s="3">
        <v>36.69</v>
      </c>
      <c r="L68" s="3">
        <v>13.68</v>
      </c>
      <c r="M68" s="3">
        <v>784.19</v>
      </c>
      <c r="N68" s="2" t="s">
        <v>123</v>
      </c>
      <c r="O68" s="2" t="s">
        <v>25</v>
      </c>
      <c r="P68" s="2" t="s">
        <v>51</v>
      </c>
      <c r="Q68" s="2" t="s">
        <v>52</v>
      </c>
      <c r="R68" s="2" t="s">
        <v>28</v>
      </c>
    </row>
    <row r="69" spans="1:18" x14ac:dyDescent="0.3">
      <c r="A69" s="5" t="s">
        <v>310</v>
      </c>
      <c r="B69" s="4">
        <v>44072</v>
      </c>
      <c r="C69" s="5" t="s">
        <v>311</v>
      </c>
      <c r="D69" s="5" t="s">
        <v>312</v>
      </c>
      <c r="E69" s="5" t="s">
        <v>169</v>
      </c>
      <c r="F69" s="5" t="s">
        <v>43</v>
      </c>
      <c r="G69" s="5" t="s">
        <v>49</v>
      </c>
      <c r="H69" s="6">
        <v>4</v>
      </c>
      <c r="I69" s="6">
        <v>129.9</v>
      </c>
      <c r="J69" s="5">
        <v>0.05</v>
      </c>
      <c r="K69" s="6">
        <v>59.23</v>
      </c>
      <c r="L69" s="6">
        <v>9.1300000000000008</v>
      </c>
      <c r="M69" s="6">
        <v>561.98</v>
      </c>
      <c r="N69" s="5" t="s">
        <v>123</v>
      </c>
      <c r="O69" s="5" t="s">
        <v>25</v>
      </c>
      <c r="P69" s="5" t="s">
        <v>124</v>
      </c>
      <c r="Q69" s="5" t="s">
        <v>125</v>
      </c>
      <c r="R69" s="5" t="s">
        <v>38</v>
      </c>
    </row>
    <row r="70" spans="1:18" x14ac:dyDescent="0.3">
      <c r="A70" s="2" t="s">
        <v>313</v>
      </c>
      <c r="B70" s="1">
        <v>44607</v>
      </c>
      <c r="C70" s="2" t="s">
        <v>314</v>
      </c>
      <c r="D70" s="2" t="s">
        <v>223</v>
      </c>
      <c r="E70" s="2" t="s">
        <v>267</v>
      </c>
      <c r="F70" s="2" t="s">
        <v>22</v>
      </c>
      <c r="G70" s="2" t="s">
        <v>268</v>
      </c>
      <c r="H70" s="3">
        <v>5</v>
      </c>
      <c r="I70" s="3">
        <v>105.16</v>
      </c>
      <c r="J70" s="2">
        <v>0</v>
      </c>
      <c r="K70" s="3">
        <v>26.29</v>
      </c>
      <c r="L70" s="3">
        <v>13.29</v>
      </c>
      <c r="M70" s="3">
        <v>565.38</v>
      </c>
      <c r="N70" s="2" t="s">
        <v>67</v>
      </c>
      <c r="O70" s="2" t="s">
        <v>25</v>
      </c>
      <c r="P70" s="2" t="s">
        <v>173</v>
      </c>
      <c r="Q70" s="2" t="s">
        <v>174</v>
      </c>
      <c r="R70" s="2" t="s">
        <v>38</v>
      </c>
    </row>
    <row r="71" spans="1:18" x14ac:dyDescent="0.3">
      <c r="A71" s="5" t="s">
        <v>315</v>
      </c>
      <c r="B71" s="4">
        <v>45200</v>
      </c>
      <c r="C71" s="5" t="s">
        <v>316</v>
      </c>
      <c r="D71" s="5" t="s">
        <v>317</v>
      </c>
      <c r="E71" s="5" t="s">
        <v>48</v>
      </c>
      <c r="F71" s="5" t="s">
        <v>143</v>
      </c>
      <c r="G71" s="5" t="s">
        <v>23</v>
      </c>
      <c r="H71" s="6">
        <v>1</v>
      </c>
      <c r="I71" s="6">
        <v>82.79</v>
      </c>
      <c r="J71" s="5">
        <v>0</v>
      </c>
      <c r="K71" s="6">
        <v>6.62</v>
      </c>
      <c r="L71" s="6">
        <v>8.76</v>
      </c>
      <c r="M71" s="6">
        <v>98.17</v>
      </c>
      <c r="N71" s="5" t="s">
        <v>24</v>
      </c>
      <c r="O71" s="5" t="s">
        <v>25</v>
      </c>
      <c r="P71" s="5" t="s">
        <v>83</v>
      </c>
      <c r="Q71" s="5" t="s">
        <v>84</v>
      </c>
      <c r="R71" s="5" t="s">
        <v>38</v>
      </c>
    </row>
    <row r="72" spans="1:18" x14ac:dyDescent="0.3">
      <c r="A72" s="2" t="s">
        <v>318</v>
      </c>
      <c r="B72" s="1">
        <v>44395</v>
      </c>
      <c r="C72" s="2" t="s">
        <v>319</v>
      </c>
      <c r="D72" s="2" t="s">
        <v>320</v>
      </c>
      <c r="E72" s="2" t="s">
        <v>231</v>
      </c>
      <c r="F72" s="2" t="s">
        <v>89</v>
      </c>
      <c r="G72" s="2" t="s">
        <v>49</v>
      </c>
      <c r="H72" s="3">
        <v>4</v>
      </c>
      <c r="I72" s="3">
        <v>433.7</v>
      </c>
      <c r="J72" s="2">
        <v>0.15</v>
      </c>
      <c r="K72" s="3">
        <v>176.95</v>
      </c>
      <c r="L72" s="3">
        <v>10.58</v>
      </c>
      <c r="M72" s="3">
        <v>1662.11</v>
      </c>
      <c r="N72" s="2" t="s">
        <v>24</v>
      </c>
      <c r="O72" s="2" t="s">
        <v>25</v>
      </c>
      <c r="P72" s="2" t="s">
        <v>257</v>
      </c>
      <c r="Q72" s="2" t="s">
        <v>69</v>
      </c>
      <c r="R72" s="2" t="s">
        <v>38</v>
      </c>
    </row>
    <row r="73" spans="1:18" x14ac:dyDescent="0.3">
      <c r="A73" s="5" t="s">
        <v>321</v>
      </c>
      <c r="B73" s="4">
        <v>44728</v>
      </c>
      <c r="C73" s="5" t="s">
        <v>322</v>
      </c>
      <c r="D73" s="5" t="s">
        <v>323</v>
      </c>
      <c r="E73" s="5" t="s">
        <v>324</v>
      </c>
      <c r="F73" s="5" t="s">
        <v>33</v>
      </c>
      <c r="G73" s="5" t="s">
        <v>49</v>
      </c>
      <c r="H73" s="6">
        <v>3</v>
      </c>
      <c r="I73" s="6">
        <v>137.1</v>
      </c>
      <c r="J73" s="5">
        <v>0</v>
      </c>
      <c r="K73" s="6">
        <v>32.9</v>
      </c>
      <c r="L73" s="6">
        <v>12.88</v>
      </c>
      <c r="M73" s="6">
        <v>457.08</v>
      </c>
      <c r="N73" s="5" t="s">
        <v>35</v>
      </c>
      <c r="O73" s="5" t="s">
        <v>107</v>
      </c>
      <c r="P73" s="5" t="s">
        <v>101</v>
      </c>
      <c r="Q73" s="5" t="s">
        <v>102</v>
      </c>
      <c r="R73" s="5" t="s">
        <v>38</v>
      </c>
    </row>
    <row r="74" spans="1:18" x14ac:dyDescent="0.3">
      <c r="A74" s="2" t="s">
        <v>325</v>
      </c>
      <c r="B74" s="1">
        <v>45194</v>
      </c>
      <c r="C74" s="2" t="s">
        <v>326</v>
      </c>
      <c r="D74" s="2" t="s">
        <v>327</v>
      </c>
      <c r="E74" s="2" t="s">
        <v>291</v>
      </c>
      <c r="F74" s="2" t="s">
        <v>81</v>
      </c>
      <c r="G74" s="2" t="s">
        <v>203</v>
      </c>
      <c r="H74" s="3">
        <v>5</v>
      </c>
      <c r="I74" s="3">
        <v>582.66</v>
      </c>
      <c r="J74" s="2">
        <v>0</v>
      </c>
      <c r="K74" s="3">
        <v>233.06</v>
      </c>
      <c r="L74" s="3">
        <v>14.07</v>
      </c>
      <c r="M74" s="3">
        <v>3160.43</v>
      </c>
      <c r="N74" s="2" t="s">
        <v>67</v>
      </c>
      <c r="O74" s="2" t="s">
        <v>107</v>
      </c>
      <c r="P74" s="2" t="s">
        <v>165</v>
      </c>
      <c r="Q74" s="2" t="s">
        <v>37</v>
      </c>
      <c r="R74" s="2" t="s">
        <v>38</v>
      </c>
    </row>
    <row r="75" spans="1:18" x14ac:dyDescent="0.3">
      <c r="A75" s="5" t="s">
        <v>328</v>
      </c>
      <c r="B75" s="4">
        <v>43922</v>
      </c>
      <c r="C75" s="5" t="s">
        <v>329</v>
      </c>
      <c r="D75" s="5" t="s">
        <v>330</v>
      </c>
      <c r="E75" s="5" t="s">
        <v>138</v>
      </c>
      <c r="F75" s="5" t="s">
        <v>33</v>
      </c>
      <c r="G75" s="5" t="s">
        <v>203</v>
      </c>
      <c r="H75" s="6">
        <v>2</v>
      </c>
      <c r="I75" s="6">
        <v>522.55999999999995</v>
      </c>
      <c r="J75" s="5">
        <v>0</v>
      </c>
      <c r="K75" s="6">
        <v>83.61</v>
      </c>
      <c r="L75" s="6">
        <v>0.43</v>
      </c>
      <c r="M75" s="6">
        <v>1129.1600000000001</v>
      </c>
      <c r="N75" s="5" t="s">
        <v>58</v>
      </c>
      <c r="O75" s="5" t="s">
        <v>107</v>
      </c>
      <c r="P75" s="5" t="s">
        <v>124</v>
      </c>
      <c r="Q75" s="5" t="s">
        <v>125</v>
      </c>
      <c r="R75" s="5" t="s">
        <v>38</v>
      </c>
    </row>
    <row r="76" spans="1:18" x14ac:dyDescent="0.3">
      <c r="A76" s="2" t="s">
        <v>331</v>
      </c>
      <c r="B76" s="1">
        <v>45221</v>
      </c>
      <c r="C76" s="2" t="s">
        <v>332</v>
      </c>
      <c r="D76" s="2" t="s">
        <v>333</v>
      </c>
      <c r="E76" s="2" t="s">
        <v>156</v>
      </c>
      <c r="F76" s="2" t="s">
        <v>89</v>
      </c>
      <c r="G76" s="2" t="s">
        <v>268</v>
      </c>
      <c r="H76" s="3">
        <v>2</v>
      </c>
      <c r="I76" s="3">
        <v>354.18</v>
      </c>
      <c r="J76" s="2">
        <v>0.05</v>
      </c>
      <c r="K76" s="3">
        <v>80.75</v>
      </c>
      <c r="L76" s="3">
        <v>2.4900000000000002</v>
      </c>
      <c r="M76" s="3">
        <v>756.18</v>
      </c>
      <c r="N76" s="2" t="s">
        <v>58</v>
      </c>
      <c r="O76" s="2" t="s">
        <v>107</v>
      </c>
      <c r="P76" s="2" t="s">
        <v>95</v>
      </c>
      <c r="Q76" s="2" t="s">
        <v>37</v>
      </c>
      <c r="R76" s="2" t="s">
        <v>38</v>
      </c>
    </row>
    <row r="77" spans="1:18" x14ac:dyDescent="0.3">
      <c r="A77" s="5" t="s">
        <v>334</v>
      </c>
      <c r="B77" s="4">
        <v>44786</v>
      </c>
      <c r="C77" s="5" t="s">
        <v>335</v>
      </c>
      <c r="D77" s="5" t="s">
        <v>336</v>
      </c>
      <c r="E77" s="5" t="s">
        <v>156</v>
      </c>
      <c r="F77" s="5" t="s">
        <v>43</v>
      </c>
      <c r="G77" s="5" t="s">
        <v>203</v>
      </c>
      <c r="H77" s="6">
        <v>4</v>
      </c>
      <c r="I77" s="6">
        <v>437.47</v>
      </c>
      <c r="J77" s="5">
        <v>0</v>
      </c>
      <c r="K77" s="6">
        <v>314.98</v>
      </c>
      <c r="L77" s="6">
        <v>8.82</v>
      </c>
      <c r="M77" s="6">
        <v>2073.6799999999998</v>
      </c>
      <c r="N77" s="5" t="s">
        <v>58</v>
      </c>
      <c r="O77" s="5" t="s">
        <v>107</v>
      </c>
      <c r="P77" s="5" t="s">
        <v>133</v>
      </c>
      <c r="Q77" s="5" t="s">
        <v>134</v>
      </c>
      <c r="R77" s="5" t="s">
        <v>61</v>
      </c>
    </row>
    <row r="78" spans="1:18" x14ac:dyDescent="0.3">
      <c r="A78" s="2" t="s">
        <v>337</v>
      </c>
      <c r="B78" s="1">
        <v>45309</v>
      </c>
      <c r="C78" s="2" t="s">
        <v>338</v>
      </c>
      <c r="D78" s="2" t="s">
        <v>339</v>
      </c>
      <c r="E78" s="2" t="s">
        <v>340</v>
      </c>
      <c r="F78" s="2" t="s">
        <v>81</v>
      </c>
      <c r="G78" s="2" t="s">
        <v>268</v>
      </c>
      <c r="H78" s="3">
        <v>1</v>
      </c>
      <c r="I78" s="3">
        <v>392.71</v>
      </c>
      <c r="J78" s="2">
        <v>0.1</v>
      </c>
      <c r="K78" s="3">
        <v>42.41</v>
      </c>
      <c r="L78" s="3">
        <v>7.82</v>
      </c>
      <c r="M78" s="3">
        <v>403.67</v>
      </c>
      <c r="N78" s="2" t="s">
        <v>24</v>
      </c>
      <c r="O78" s="2" t="s">
        <v>25</v>
      </c>
      <c r="P78" s="2" t="s">
        <v>257</v>
      </c>
      <c r="Q78" s="2" t="s">
        <v>69</v>
      </c>
      <c r="R78" s="2" t="s">
        <v>38</v>
      </c>
    </row>
    <row r="79" spans="1:18" x14ac:dyDescent="0.3">
      <c r="A79" s="5" t="s">
        <v>341</v>
      </c>
      <c r="B79" s="4">
        <v>45282</v>
      </c>
      <c r="C79" s="5" t="s">
        <v>342</v>
      </c>
      <c r="D79" s="5" t="s">
        <v>343</v>
      </c>
      <c r="E79" s="5" t="s">
        <v>324</v>
      </c>
      <c r="F79" s="5" t="s">
        <v>143</v>
      </c>
      <c r="G79" s="5" t="s">
        <v>66</v>
      </c>
      <c r="H79" s="6">
        <v>1</v>
      </c>
      <c r="I79" s="6">
        <v>592.91</v>
      </c>
      <c r="J79" s="5">
        <v>0.05</v>
      </c>
      <c r="K79" s="6">
        <v>28.16</v>
      </c>
      <c r="L79" s="6">
        <v>6.83</v>
      </c>
      <c r="M79" s="6">
        <v>598.25</v>
      </c>
      <c r="N79" s="5" t="s">
        <v>50</v>
      </c>
      <c r="O79" s="5" t="s">
        <v>25</v>
      </c>
      <c r="P79" s="5" t="s">
        <v>165</v>
      </c>
      <c r="Q79" s="5" t="s">
        <v>37</v>
      </c>
      <c r="R79" s="5" t="s">
        <v>38</v>
      </c>
    </row>
    <row r="80" spans="1:18" x14ac:dyDescent="0.3">
      <c r="A80" s="2" t="s">
        <v>344</v>
      </c>
      <c r="B80" s="1">
        <v>44339</v>
      </c>
      <c r="C80" s="2" t="s">
        <v>345</v>
      </c>
      <c r="D80" s="2" t="s">
        <v>346</v>
      </c>
      <c r="E80" s="2" t="s">
        <v>243</v>
      </c>
      <c r="F80" s="2" t="s">
        <v>33</v>
      </c>
      <c r="G80" s="2" t="s">
        <v>203</v>
      </c>
      <c r="H80" s="3">
        <v>2</v>
      </c>
      <c r="I80" s="3">
        <v>76.97</v>
      </c>
      <c r="J80" s="2">
        <v>0</v>
      </c>
      <c r="K80" s="3">
        <v>7.7</v>
      </c>
      <c r="L80" s="3">
        <v>4.91</v>
      </c>
      <c r="M80" s="3">
        <v>166.55</v>
      </c>
      <c r="N80" s="2" t="s">
        <v>24</v>
      </c>
      <c r="O80" s="2" t="s">
        <v>25</v>
      </c>
      <c r="P80" s="2" t="s">
        <v>74</v>
      </c>
      <c r="Q80" s="2" t="s">
        <v>75</v>
      </c>
      <c r="R80" s="2" t="s">
        <v>76</v>
      </c>
    </row>
    <row r="81" spans="1:18" x14ac:dyDescent="0.3">
      <c r="A81" s="5" t="s">
        <v>347</v>
      </c>
      <c r="B81" s="4">
        <v>44606</v>
      </c>
      <c r="C81" s="5" t="s">
        <v>348</v>
      </c>
      <c r="D81" s="5" t="s">
        <v>149</v>
      </c>
      <c r="E81" s="5" t="s">
        <v>349</v>
      </c>
      <c r="F81" s="5" t="s">
        <v>143</v>
      </c>
      <c r="G81" s="5" t="s">
        <v>203</v>
      </c>
      <c r="H81" s="6">
        <v>1</v>
      </c>
      <c r="I81" s="6">
        <v>534.30999999999995</v>
      </c>
      <c r="J81" s="5">
        <v>0.1</v>
      </c>
      <c r="K81" s="6">
        <v>57.71</v>
      </c>
      <c r="L81" s="6">
        <v>14.47</v>
      </c>
      <c r="M81" s="6">
        <v>553.05999999999995</v>
      </c>
      <c r="N81" s="5" t="s">
        <v>35</v>
      </c>
      <c r="O81" s="5" t="s">
        <v>107</v>
      </c>
      <c r="P81" s="5" t="s">
        <v>178</v>
      </c>
      <c r="Q81" s="5" t="s">
        <v>69</v>
      </c>
      <c r="R81" s="5" t="s">
        <v>28</v>
      </c>
    </row>
    <row r="82" spans="1:18" x14ac:dyDescent="0.3">
      <c r="A82" s="2" t="s">
        <v>350</v>
      </c>
      <c r="B82" s="1">
        <v>43865</v>
      </c>
      <c r="C82" s="2" t="s">
        <v>351</v>
      </c>
      <c r="D82" s="2" t="s">
        <v>352</v>
      </c>
      <c r="E82" s="2" t="s">
        <v>156</v>
      </c>
      <c r="F82" s="2" t="s">
        <v>81</v>
      </c>
      <c r="G82" s="2" t="s">
        <v>23</v>
      </c>
      <c r="H82" s="3">
        <v>2</v>
      </c>
      <c r="I82" s="3">
        <v>402.77</v>
      </c>
      <c r="J82" s="2">
        <v>0.05</v>
      </c>
      <c r="K82" s="3">
        <v>38.26</v>
      </c>
      <c r="L82" s="3">
        <v>13.08</v>
      </c>
      <c r="M82" s="3">
        <v>816.6</v>
      </c>
      <c r="N82" s="2" t="s">
        <v>67</v>
      </c>
      <c r="O82" s="2" t="s">
        <v>25</v>
      </c>
      <c r="P82" s="2" t="s">
        <v>44</v>
      </c>
      <c r="Q82" s="2" t="s">
        <v>37</v>
      </c>
      <c r="R82" s="2" t="s">
        <v>28</v>
      </c>
    </row>
    <row r="83" spans="1:18" x14ac:dyDescent="0.3">
      <c r="A83" s="5" t="s">
        <v>353</v>
      </c>
      <c r="B83" s="4">
        <v>44036</v>
      </c>
      <c r="C83" s="5" t="s">
        <v>354</v>
      </c>
      <c r="D83" s="5" t="s">
        <v>186</v>
      </c>
      <c r="E83" s="5" t="s">
        <v>73</v>
      </c>
      <c r="F83" s="5" t="s">
        <v>33</v>
      </c>
      <c r="G83" s="5" t="s">
        <v>66</v>
      </c>
      <c r="H83" s="6">
        <v>3</v>
      </c>
      <c r="I83" s="6">
        <v>335.1</v>
      </c>
      <c r="J83" s="5">
        <v>0.1</v>
      </c>
      <c r="K83" s="6">
        <v>72.38</v>
      </c>
      <c r="L83" s="6">
        <v>4.24</v>
      </c>
      <c r="M83" s="6">
        <v>981.39</v>
      </c>
      <c r="N83" s="5" t="s">
        <v>35</v>
      </c>
      <c r="O83" s="5" t="s">
        <v>107</v>
      </c>
      <c r="P83" s="5" t="s">
        <v>74</v>
      </c>
      <c r="Q83" s="5" t="s">
        <v>75</v>
      </c>
      <c r="R83" s="5" t="s">
        <v>38</v>
      </c>
    </row>
    <row r="84" spans="1:18" x14ac:dyDescent="0.3">
      <c r="A84" s="2" t="s">
        <v>355</v>
      </c>
      <c r="B84" s="1">
        <v>44935</v>
      </c>
      <c r="C84" s="2" t="s">
        <v>356</v>
      </c>
      <c r="D84" s="2" t="s">
        <v>357</v>
      </c>
      <c r="E84" s="2" t="s">
        <v>287</v>
      </c>
      <c r="F84" s="2" t="s">
        <v>22</v>
      </c>
      <c r="G84" s="2" t="s">
        <v>34</v>
      </c>
      <c r="H84" s="3">
        <v>3</v>
      </c>
      <c r="I84" s="3">
        <v>258.13</v>
      </c>
      <c r="J84" s="2">
        <v>0.05</v>
      </c>
      <c r="K84" s="3">
        <v>132.41999999999999</v>
      </c>
      <c r="L84" s="3">
        <v>7.69</v>
      </c>
      <c r="M84" s="3">
        <v>875.78</v>
      </c>
      <c r="N84" s="2" t="s">
        <v>67</v>
      </c>
      <c r="O84" s="2" t="s">
        <v>25</v>
      </c>
      <c r="P84" s="2" t="s">
        <v>44</v>
      </c>
      <c r="Q84" s="2" t="s">
        <v>37</v>
      </c>
      <c r="R84" s="2" t="s">
        <v>38</v>
      </c>
    </row>
    <row r="85" spans="1:18" x14ac:dyDescent="0.3">
      <c r="A85" s="5" t="s">
        <v>358</v>
      </c>
      <c r="B85" s="4">
        <v>45416</v>
      </c>
      <c r="C85" s="5" t="s">
        <v>359</v>
      </c>
      <c r="D85" s="5" t="s">
        <v>360</v>
      </c>
      <c r="E85" s="5" t="s">
        <v>32</v>
      </c>
      <c r="F85" s="5" t="s">
        <v>89</v>
      </c>
      <c r="G85" s="5" t="s">
        <v>57</v>
      </c>
      <c r="H85" s="6">
        <v>1</v>
      </c>
      <c r="I85" s="6">
        <v>594.66999999999996</v>
      </c>
      <c r="J85" s="5">
        <v>0.15</v>
      </c>
      <c r="K85" s="6">
        <v>40.44</v>
      </c>
      <c r="L85" s="6">
        <v>7.22</v>
      </c>
      <c r="M85" s="6">
        <v>553.13</v>
      </c>
      <c r="N85" s="5" t="s">
        <v>24</v>
      </c>
      <c r="O85" s="5" t="s">
        <v>25</v>
      </c>
      <c r="P85" s="5" t="s">
        <v>36</v>
      </c>
      <c r="Q85" s="5" t="s">
        <v>37</v>
      </c>
      <c r="R85" s="5" t="s">
        <v>38</v>
      </c>
    </row>
    <row r="86" spans="1:18" x14ac:dyDescent="0.3">
      <c r="A86" s="2" t="s">
        <v>361</v>
      </c>
      <c r="B86" s="1">
        <v>45242</v>
      </c>
      <c r="C86" s="2" t="s">
        <v>362</v>
      </c>
      <c r="D86" s="2" t="s">
        <v>168</v>
      </c>
      <c r="E86" s="2" t="s">
        <v>177</v>
      </c>
      <c r="F86" s="2" t="s">
        <v>143</v>
      </c>
      <c r="G86" s="2" t="s">
        <v>100</v>
      </c>
      <c r="H86" s="3">
        <v>4</v>
      </c>
      <c r="I86" s="3">
        <v>494.13</v>
      </c>
      <c r="J86" s="2">
        <v>0.05</v>
      </c>
      <c r="K86" s="3">
        <v>225.32</v>
      </c>
      <c r="L86" s="3">
        <v>7.18</v>
      </c>
      <c r="M86" s="3">
        <v>2110.19</v>
      </c>
      <c r="N86" s="2" t="s">
        <v>58</v>
      </c>
      <c r="O86" s="2" t="s">
        <v>25</v>
      </c>
      <c r="P86" s="2" t="s">
        <v>44</v>
      </c>
      <c r="Q86" s="2" t="s">
        <v>37</v>
      </c>
      <c r="R86" s="2" t="s">
        <v>38</v>
      </c>
    </row>
    <row r="87" spans="1:18" x14ac:dyDescent="0.3">
      <c r="A87" s="5" t="s">
        <v>363</v>
      </c>
      <c r="B87" s="4">
        <v>44856</v>
      </c>
      <c r="C87" s="5" t="s">
        <v>364</v>
      </c>
      <c r="D87" s="5" t="s">
        <v>286</v>
      </c>
      <c r="E87" s="5" t="s">
        <v>365</v>
      </c>
      <c r="F87" s="5" t="s">
        <v>89</v>
      </c>
      <c r="G87" s="5" t="s">
        <v>57</v>
      </c>
      <c r="H87" s="6">
        <v>4</v>
      </c>
      <c r="I87" s="6">
        <v>15.47</v>
      </c>
      <c r="J87" s="5">
        <v>0.05</v>
      </c>
      <c r="K87" s="6">
        <v>10.58</v>
      </c>
      <c r="L87" s="6">
        <v>3.91</v>
      </c>
      <c r="M87" s="6">
        <v>73.28</v>
      </c>
      <c r="N87" s="5" t="s">
        <v>58</v>
      </c>
      <c r="O87" s="5" t="s">
        <v>107</v>
      </c>
      <c r="P87" s="5" t="s">
        <v>95</v>
      </c>
      <c r="Q87" s="5" t="s">
        <v>37</v>
      </c>
      <c r="R87" s="5" t="s">
        <v>38</v>
      </c>
    </row>
    <row r="88" spans="1:18" x14ac:dyDescent="0.3">
      <c r="A88" s="2" t="s">
        <v>366</v>
      </c>
      <c r="B88" s="1">
        <v>44852</v>
      </c>
      <c r="C88" s="2" t="s">
        <v>367</v>
      </c>
      <c r="D88" s="2" t="s">
        <v>368</v>
      </c>
      <c r="E88" s="2" t="s">
        <v>365</v>
      </c>
      <c r="F88" s="2" t="s">
        <v>89</v>
      </c>
      <c r="G88" s="2" t="s">
        <v>34</v>
      </c>
      <c r="H88" s="3">
        <v>4</v>
      </c>
      <c r="I88" s="3">
        <v>28.59</v>
      </c>
      <c r="J88" s="2">
        <v>0</v>
      </c>
      <c r="K88" s="3">
        <v>20.58</v>
      </c>
      <c r="L88" s="3">
        <v>13.02</v>
      </c>
      <c r="M88" s="3">
        <v>147.96</v>
      </c>
      <c r="N88" s="2" t="s">
        <v>58</v>
      </c>
      <c r="O88" s="2" t="s">
        <v>25</v>
      </c>
      <c r="P88" s="2" t="s">
        <v>68</v>
      </c>
      <c r="Q88" s="2" t="s">
        <v>69</v>
      </c>
      <c r="R88" s="2" t="s">
        <v>38</v>
      </c>
    </row>
    <row r="89" spans="1:18" x14ac:dyDescent="0.3">
      <c r="A89" s="5" t="s">
        <v>369</v>
      </c>
      <c r="B89" s="4">
        <v>45244</v>
      </c>
      <c r="C89" s="5" t="s">
        <v>370</v>
      </c>
      <c r="D89" s="5" t="s">
        <v>371</v>
      </c>
      <c r="E89" s="5" t="s">
        <v>65</v>
      </c>
      <c r="F89" s="5" t="s">
        <v>143</v>
      </c>
      <c r="G89" s="5" t="s">
        <v>100</v>
      </c>
      <c r="H89" s="6">
        <v>5</v>
      </c>
      <c r="I89" s="6">
        <v>456.58</v>
      </c>
      <c r="J89" s="5">
        <v>0.15</v>
      </c>
      <c r="K89" s="6">
        <v>155.24</v>
      </c>
      <c r="L89" s="6">
        <v>7.48</v>
      </c>
      <c r="M89" s="6">
        <v>2103.1799999999998</v>
      </c>
      <c r="N89" s="5" t="s">
        <v>35</v>
      </c>
      <c r="O89" s="5" t="s">
        <v>25</v>
      </c>
      <c r="P89" s="5" t="s">
        <v>133</v>
      </c>
      <c r="Q89" s="5" t="s">
        <v>134</v>
      </c>
      <c r="R89" s="5" t="s">
        <v>61</v>
      </c>
    </row>
    <row r="90" spans="1:18" x14ac:dyDescent="0.3">
      <c r="A90" s="2" t="s">
        <v>372</v>
      </c>
      <c r="B90" s="1">
        <v>44396</v>
      </c>
      <c r="C90" s="2" t="s">
        <v>373</v>
      </c>
      <c r="D90" s="2" t="s">
        <v>87</v>
      </c>
      <c r="E90" s="2" t="s">
        <v>56</v>
      </c>
      <c r="F90" s="2" t="s">
        <v>22</v>
      </c>
      <c r="G90" s="2" t="s">
        <v>49</v>
      </c>
      <c r="H90" s="3">
        <v>3</v>
      </c>
      <c r="I90" s="3">
        <v>324.31</v>
      </c>
      <c r="J90" s="2">
        <v>0.2</v>
      </c>
      <c r="K90" s="3">
        <v>62.27</v>
      </c>
      <c r="L90" s="3">
        <v>4.63</v>
      </c>
      <c r="M90" s="3">
        <v>845.24</v>
      </c>
      <c r="N90" s="2" t="s">
        <v>24</v>
      </c>
      <c r="O90" s="2" t="s">
        <v>25</v>
      </c>
      <c r="P90" s="2" t="s">
        <v>83</v>
      </c>
      <c r="Q90" s="2" t="s">
        <v>84</v>
      </c>
      <c r="R90" s="2" t="s">
        <v>38</v>
      </c>
    </row>
    <row r="91" spans="1:18" x14ac:dyDescent="0.3">
      <c r="A91" s="5" t="s">
        <v>374</v>
      </c>
      <c r="B91" s="4">
        <v>44960</v>
      </c>
      <c r="C91" s="5" t="s">
        <v>375</v>
      </c>
      <c r="D91" s="5" t="s">
        <v>105</v>
      </c>
      <c r="E91" s="5" t="s">
        <v>220</v>
      </c>
      <c r="F91" s="5" t="s">
        <v>22</v>
      </c>
      <c r="G91" s="5" t="s">
        <v>66</v>
      </c>
      <c r="H91" s="6">
        <v>5</v>
      </c>
      <c r="I91" s="6">
        <v>342.26</v>
      </c>
      <c r="J91" s="5">
        <v>0.2</v>
      </c>
      <c r="K91" s="6">
        <v>109.52</v>
      </c>
      <c r="L91" s="6">
        <v>7.29</v>
      </c>
      <c r="M91" s="6">
        <v>1485.85</v>
      </c>
      <c r="N91" s="5" t="s">
        <v>58</v>
      </c>
      <c r="O91" s="5" t="s">
        <v>82</v>
      </c>
      <c r="P91" s="5" t="s">
        <v>36</v>
      </c>
      <c r="Q91" s="5" t="s">
        <v>37</v>
      </c>
      <c r="R91" s="5" t="s">
        <v>38</v>
      </c>
    </row>
    <row r="92" spans="1:18" x14ac:dyDescent="0.3">
      <c r="A92" s="2" t="s">
        <v>376</v>
      </c>
      <c r="B92" s="1">
        <v>45626</v>
      </c>
      <c r="C92" s="2" t="s">
        <v>377</v>
      </c>
      <c r="D92" s="2" t="s">
        <v>219</v>
      </c>
      <c r="E92" s="2" t="s">
        <v>287</v>
      </c>
      <c r="F92" s="2" t="s">
        <v>43</v>
      </c>
      <c r="G92" s="2" t="s">
        <v>268</v>
      </c>
      <c r="H92" s="3">
        <v>5</v>
      </c>
      <c r="I92" s="3">
        <v>201.16</v>
      </c>
      <c r="J92" s="2">
        <v>0.2</v>
      </c>
      <c r="K92" s="3">
        <v>64.37</v>
      </c>
      <c r="L92" s="3">
        <v>9.3800000000000008</v>
      </c>
      <c r="M92" s="3">
        <v>878.39</v>
      </c>
      <c r="N92" s="2" t="s">
        <v>67</v>
      </c>
      <c r="O92" s="2" t="s">
        <v>25</v>
      </c>
      <c r="P92" s="2" t="s">
        <v>83</v>
      </c>
      <c r="Q92" s="2" t="s">
        <v>84</v>
      </c>
      <c r="R92" s="2" t="s">
        <v>38</v>
      </c>
    </row>
    <row r="93" spans="1:18" x14ac:dyDescent="0.3">
      <c r="A93" s="5" t="s">
        <v>378</v>
      </c>
      <c r="B93" s="4">
        <v>45331</v>
      </c>
      <c r="C93" s="5" t="s">
        <v>379</v>
      </c>
      <c r="D93" s="5" t="s">
        <v>312</v>
      </c>
      <c r="E93" s="5" t="s">
        <v>190</v>
      </c>
      <c r="F93" s="5" t="s">
        <v>89</v>
      </c>
      <c r="G93" s="5" t="s">
        <v>66</v>
      </c>
      <c r="H93" s="6">
        <v>4</v>
      </c>
      <c r="I93" s="6">
        <v>555.99</v>
      </c>
      <c r="J93" s="5">
        <v>0.05</v>
      </c>
      <c r="K93" s="6">
        <v>253.53</v>
      </c>
      <c r="L93" s="6">
        <v>1.26</v>
      </c>
      <c r="M93" s="6">
        <v>2367.5500000000002</v>
      </c>
      <c r="N93" s="5" t="s">
        <v>123</v>
      </c>
      <c r="O93" s="5" t="s">
        <v>59</v>
      </c>
      <c r="P93" s="5" t="s">
        <v>165</v>
      </c>
      <c r="Q93" s="5" t="s">
        <v>37</v>
      </c>
      <c r="R93" s="5" t="s">
        <v>38</v>
      </c>
    </row>
    <row r="94" spans="1:18" x14ac:dyDescent="0.3">
      <c r="A94" s="2" t="s">
        <v>380</v>
      </c>
      <c r="B94" s="1">
        <v>44533</v>
      </c>
      <c r="C94" s="2" t="s">
        <v>381</v>
      </c>
      <c r="D94" s="2" t="s">
        <v>382</v>
      </c>
      <c r="E94" s="2" t="s">
        <v>231</v>
      </c>
      <c r="F94" s="2" t="s">
        <v>33</v>
      </c>
      <c r="G94" s="2" t="s">
        <v>34</v>
      </c>
      <c r="H94" s="3">
        <v>5</v>
      </c>
      <c r="I94" s="3">
        <v>138.56</v>
      </c>
      <c r="J94" s="2">
        <v>0.2</v>
      </c>
      <c r="K94" s="3">
        <v>27.71</v>
      </c>
      <c r="L94" s="3">
        <v>7.71</v>
      </c>
      <c r="M94" s="3">
        <v>589.66</v>
      </c>
      <c r="N94" s="2" t="s">
        <v>67</v>
      </c>
      <c r="O94" s="2" t="s">
        <v>107</v>
      </c>
      <c r="P94" s="2" t="s">
        <v>178</v>
      </c>
      <c r="Q94" s="2" t="s">
        <v>69</v>
      </c>
      <c r="R94" s="2" t="s">
        <v>38</v>
      </c>
    </row>
    <row r="95" spans="1:18" x14ac:dyDescent="0.3">
      <c r="A95" s="5" t="s">
        <v>383</v>
      </c>
      <c r="B95" s="4">
        <v>44232</v>
      </c>
      <c r="C95" s="5" t="s">
        <v>384</v>
      </c>
      <c r="D95" s="5" t="s">
        <v>385</v>
      </c>
      <c r="E95" s="5" t="s">
        <v>386</v>
      </c>
      <c r="F95" s="5" t="s">
        <v>43</v>
      </c>
      <c r="G95" s="5" t="s">
        <v>100</v>
      </c>
      <c r="H95" s="6">
        <v>4</v>
      </c>
      <c r="I95" s="6">
        <v>409.78</v>
      </c>
      <c r="J95" s="5">
        <v>0</v>
      </c>
      <c r="K95" s="6">
        <v>295.04000000000002</v>
      </c>
      <c r="L95" s="6">
        <v>14.29</v>
      </c>
      <c r="M95" s="6">
        <v>1948.45</v>
      </c>
      <c r="N95" s="5" t="s">
        <v>67</v>
      </c>
      <c r="O95" s="5" t="s">
        <v>107</v>
      </c>
      <c r="P95" s="5" t="s">
        <v>165</v>
      </c>
      <c r="Q95" s="5" t="s">
        <v>37</v>
      </c>
      <c r="R95" s="5" t="s">
        <v>38</v>
      </c>
    </row>
    <row r="96" spans="1:18" x14ac:dyDescent="0.3">
      <c r="A96" s="2" t="s">
        <v>387</v>
      </c>
      <c r="B96" s="1">
        <v>44560</v>
      </c>
      <c r="C96" s="2" t="s">
        <v>388</v>
      </c>
      <c r="D96" s="2" t="s">
        <v>389</v>
      </c>
      <c r="E96" s="2" t="s">
        <v>190</v>
      </c>
      <c r="F96" s="2" t="s">
        <v>143</v>
      </c>
      <c r="G96" s="2" t="s">
        <v>57</v>
      </c>
      <c r="H96" s="3">
        <v>4</v>
      </c>
      <c r="I96" s="3">
        <v>42.31</v>
      </c>
      <c r="J96" s="2">
        <v>0.1</v>
      </c>
      <c r="K96" s="3">
        <v>12.19</v>
      </c>
      <c r="L96" s="3">
        <v>1.28</v>
      </c>
      <c r="M96" s="3">
        <v>165.79</v>
      </c>
      <c r="N96" s="2" t="s">
        <v>35</v>
      </c>
      <c r="O96" s="2" t="s">
        <v>25</v>
      </c>
      <c r="P96" s="2" t="s">
        <v>74</v>
      </c>
      <c r="Q96" s="2" t="s">
        <v>75</v>
      </c>
      <c r="R96" s="2" t="s">
        <v>38</v>
      </c>
    </row>
    <row r="97" spans="1:18" x14ac:dyDescent="0.3">
      <c r="A97" s="5" t="s">
        <v>390</v>
      </c>
      <c r="B97" s="4">
        <v>45410</v>
      </c>
      <c r="C97" s="5" t="s">
        <v>391</v>
      </c>
      <c r="D97" s="5" t="s">
        <v>193</v>
      </c>
      <c r="E97" s="5" t="s">
        <v>392</v>
      </c>
      <c r="F97" s="5" t="s">
        <v>143</v>
      </c>
      <c r="G97" s="5" t="s">
        <v>268</v>
      </c>
      <c r="H97" s="6">
        <v>1</v>
      </c>
      <c r="I97" s="6">
        <v>170.88</v>
      </c>
      <c r="J97" s="5">
        <v>0.2</v>
      </c>
      <c r="K97" s="6">
        <v>16.399999999999999</v>
      </c>
      <c r="L97" s="6">
        <v>7.6</v>
      </c>
      <c r="M97" s="6">
        <v>160.69999999999999</v>
      </c>
      <c r="N97" s="5" t="s">
        <v>58</v>
      </c>
      <c r="O97" s="5" t="s">
        <v>25</v>
      </c>
      <c r="P97" s="5" t="s">
        <v>51</v>
      </c>
      <c r="Q97" s="5" t="s">
        <v>52</v>
      </c>
      <c r="R97" s="5" t="s">
        <v>38</v>
      </c>
    </row>
    <row r="98" spans="1:18" x14ac:dyDescent="0.3">
      <c r="A98" s="2" t="s">
        <v>393</v>
      </c>
      <c r="B98" s="1">
        <v>43992</v>
      </c>
      <c r="C98" s="2" t="s">
        <v>394</v>
      </c>
      <c r="D98" s="2" t="s">
        <v>230</v>
      </c>
      <c r="E98" s="2" t="s">
        <v>386</v>
      </c>
      <c r="F98" s="2" t="s">
        <v>22</v>
      </c>
      <c r="G98" s="2" t="s">
        <v>268</v>
      </c>
      <c r="H98" s="3">
        <v>3</v>
      </c>
      <c r="I98" s="3">
        <v>548.16999999999996</v>
      </c>
      <c r="J98" s="2">
        <v>0.05</v>
      </c>
      <c r="K98" s="3">
        <v>0</v>
      </c>
      <c r="L98" s="3">
        <v>2.63</v>
      </c>
      <c r="M98" s="3">
        <v>1564.91</v>
      </c>
      <c r="N98" s="2" t="s">
        <v>67</v>
      </c>
      <c r="O98" s="2" t="s">
        <v>25</v>
      </c>
      <c r="P98" s="2" t="s">
        <v>36</v>
      </c>
      <c r="Q98" s="2" t="s">
        <v>37</v>
      </c>
      <c r="R98" s="2" t="s">
        <v>38</v>
      </c>
    </row>
    <row r="99" spans="1:18" x14ac:dyDescent="0.3">
      <c r="A99" s="5" t="s">
        <v>395</v>
      </c>
      <c r="B99" s="4">
        <v>44032</v>
      </c>
      <c r="C99" s="5" t="s">
        <v>396</v>
      </c>
      <c r="D99" s="5" t="s">
        <v>397</v>
      </c>
      <c r="E99" s="5" t="s">
        <v>177</v>
      </c>
      <c r="F99" s="5" t="s">
        <v>143</v>
      </c>
      <c r="G99" s="5" t="s">
        <v>203</v>
      </c>
      <c r="H99" s="6">
        <v>4</v>
      </c>
      <c r="I99" s="6">
        <v>260.91000000000003</v>
      </c>
      <c r="J99" s="5">
        <v>0</v>
      </c>
      <c r="K99" s="6">
        <v>83.49</v>
      </c>
      <c r="L99" s="6">
        <v>2.86</v>
      </c>
      <c r="M99" s="6">
        <v>1129.99</v>
      </c>
      <c r="N99" s="5" t="s">
        <v>67</v>
      </c>
      <c r="O99" s="5" t="s">
        <v>144</v>
      </c>
      <c r="P99" s="5" t="s">
        <v>178</v>
      </c>
      <c r="Q99" s="5" t="s">
        <v>69</v>
      </c>
      <c r="R99" s="5" t="s">
        <v>38</v>
      </c>
    </row>
    <row r="100" spans="1:18" x14ac:dyDescent="0.3">
      <c r="A100" s="2" t="s">
        <v>398</v>
      </c>
      <c r="B100" s="1">
        <v>44826</v>
      </c>
      <c r="C100" s="2" t="s">
        <v>399</v>
      </c>
      <c r="D100" s="2" t="s">
        <v>400</v>
      </c>
      <c r="E100" s="2" t="s">
        <v>80</v>
      </c>
      <c r="F100" s="2" t="s">
        <v>22</v>
      </c>
      <c r="G100" s="2" t="s">
        <v>203</v>
      </c>
      <c r="H100" s="3">
        <v>5</v>
      </c>
      <c r="I100" s="3">
        <v>384.56</v>
      </c>
      <c r="J100" s="2">
        <v>0.15</v>
      </c>
      <c r="K100" s="3">
        <v>130.75</v>
      </c>
      <c r="L100" s="3">
        <v>12.62</v>
      </c>
      <c r="M100" s="3">
        <v>1777.75</v>
      </c>
      <c r="N100" s="2" t="s">
        <v>67</v>
      </c>
      <c r="O100" s="2" t="s">
        <v>25</v>
      </c>
      <c r="P100" s="2" t="s">
        <v>74</v>
      </c>
      <c r="Q100" s="2" t="s">
        <v>75</v>
      </c>
      <c r="R100" s="2" t="s">
        <v>38</v>
      </c>
    </row>
    <row r="101" spans="1:18" x14ac:dyDescent="0.3">
      <c r="A101" s="5" t="s">
        <v>401</v>
      </c>
      <c r="B101" s="4">
        <v>44100</v>
      </c>
      <c r="C101" s="5" t="s">
        <v>402</v>
      </c>
      <c r="D101" s="5" t="s">
        <v>234</v>
      </c>
      <c r="E101" s="5" t="s">
        <v>65</v>
      </c>
      <c r="F101" s="5" t="s">
        <v>143</v>
      </c>
      <c r="G101" s="5" t="s">
        <v>90</v>
      </c>
      <c r="H101" s="6">
        <v>1</v>
      </c>
      <c r="I101" s="6">
        <v>206.2</v>
      </c>
      <c r="J101" s="5">
        <v>0</v>
      </c>
      <c r="K101" s="6">
        <v>16.5</v>
      </c>
      <c r="L101" s="6">
        <v>9.08</v>
      </c>
      <c r="M101" s="6">
        <v>231.78</v>
      </c>
      <c r="N101" s="5" t="s">
        <v>58</v>
      </c>
      <c r="O101" s="5" t="s">
        <v>25</v>
      </c>
      <c r="P101" s="5" t="s">
        <v>145</v>
      </c>
      <c r="Q101" s="5" t="s">
        <v>146</v>
      </c>
      <c r="R101" s="5" t="s">
        <v>28</v>
      </c>
    </row>
    <row r="102" spans="1:18" x14ac:dyDescent="0.3">
      <c r="A102" s="2" t="s">
        <v>403</v>
      </c>
      <c r="B102" s="1">
        <v>44646</v>
      </c>
      <c r="C102" s="2" t="s">
        <v>404</v>
      </c>
      <c r="D102" s="2" t="s">
        <v>405</v>
      </c>
      <c r="E102" s="2" t="s">
        <v>111</v>
      </c>
      <c r="F102" s="2" t="s">
        <v>89</v>
      </c>
      <c r="G102" s="2" t="s">
        <v>66</v>
      </c>
      <c r="H102" s="3">
        <v>4</v>
      </c>
      <c r="I102" s="3">
        <v>369.47</v>
      </c>
      <c r="J102" s="2">
        <v>0.25</v>
      </c>
      <c r="K102" s="3">
        <v>199.51</v>
      </c>
      <c r="L102" s="3">
        <v>4.5599999999999996</v>
      </c>
      <c r="M102" s="3">
        <v>1312.48</v>
      </c>
      <c r="N102" s="2" t="s">
        <v>58</v>
      </c>
      <c r="O102" s="2" t="s">
        <v>25</v>
      </c>
      <c r="P102" s="2" t="s">
        <v>133</v>
      </c>
      <c r="Q102" s="2" t="s">
        <v>134</v>
      </c>
      <c r="R102" s="2" t="s">
        <v>38</v>
      </c>
    </row>
    <row r="103" spans="1:18" x14ac:dyDescent="0.3">
      <c r="A103" s="5" t="s">
        <v>406</v>
      </c>
      <c r="B103" s="4">
        <v>45125</v>
      </c>
      <c r="C103" s="5" t="s">
        <v>407</v>
      </c>
      <c r="D103" s="5" t="s">
        <v>193</v>
      </c>
      <c r="E103" s="5" t="s">
        <v>21</v>
      </c>
      <c r="F103" s="5" t="s">
        <v>22</v>
      </c>
      <c r="G103" s="5" t="s">
        <v>198</v>
      </c>
      <c r="H103" s="6">
        <v>1</v>
      </c>
      <c r="I103" s="6">
        <v>29.37</v>
      </c>
      <c r="J103" s="5">
        <v>0</v>
      </c>
      <c r="K103" s="6">
        <v>1.47</v>
      </c>
      <c r="L103" s="6">
        <v>5.45</v>
      </c>
      <c r="M103" s="6">
        <v>36.29</v>
      </c>
      <c r="N103" s="5" t="s">
        <v>58</v>
      </c>
      <c r="O103" s="5" t="s">
        <v>25</v>
      </c>
      <c r="P103" s="5" t="s">
        <v>112</v>
      </c>
      <c r="Q103" s="5" t="s">
        <v>113</v>
      </c>
      <c r="R103" s="5" t="s">
        <v>38</v>
      </c>
    </row>
    <row r="104" spans="1:18" x14ac:dyDescent="0.3">
      <c r="A104" s="2" t="s">
        <v>408</v>
      </c>
      <c r="B104" s="1">
        <v>44286</v>
      </c>
      <c r="C104" s="2" t="s">
        <v>409</v>
      </c>
      <c r="D104" s="2" t="s">
        <v>410</v>
      </c>
      <c r="E104" s="2" t="s">
        <v>190</v>
      </c>
      <c r="F104" s="2" t="s">
        <v>33</v>
      </c>
      <c r="G104" s="2" t="s">
        <v>90</v>
      </c>
      <c r="H104" s="3">
        <v>2</v>
      </c>
      <c r="I104" s="3">
        <v>159.82</v>
      </c>
      <c r="J104" s="2">
        <v>0.05</v>
      </c>
      <c r="K104" s="3">
        <v>15.18</v>
      </c>
      <c r="L104" s="3">
        <v>2.5499999999999998</v>
      </c>
      <c r="M104" s="3">
        <v>321.39</v>
      </c>
      <c r="N104" s="2" t="s">
        <v>24</v>
      </c>
      <c r="O104" s="2" t="s">
        <v>25</v>
      </c>
      <c r="P104" s="2" t="s">
        <v>150</v>
      </c>
      <c r="Q104" s="2" t="s">
        <v>69</v>
      </c>
      <c r="R104" s="2" t="s">
        <v>38</v>
      </c>
    </row>
    <row r="105" spans="1:18" x14ac:dyDescent="0.3">
      <c r="A105" s="5" t="s">
        <v>411</v>
      </c>
      <c r="B105" s="4">
        <v>45316</v>
      </c>
      <c r="C105" s="5" t="s">
        <v>412</v>
      </c>
      <c r="D105" s="5" t="s">
        <v>168</v>
      </c>
      <c r="E105" s="5" t="s">
        <v>88</v>
      </c>
      <c r="F105" s="5" t="s">
        <v>81</v>
      </c>
      <c r="G105" s="5" t="s">
        <v>203</v>
      </c>
      <c r="H105" s="6">
        <v>4</v>
      </c>
      <c r="I105" s="6">
        <v>548.39</v>
      </c>
      <c r="J105" s="5">
        <v>0</v>
      </c>
      <c r="K105" s="6">
        <v>109.68</v>
      </c>
      <c r="L105" s="6">
        <v>12.26</v>
      </c>
      <c r="M105" s="6">
        <v>2315.5</v>
      </c>
      <c r="N105" s="5" t="s">
        <v>67</v>
      </c>
      <c r="O105" s="5" t="s">
        <v>25</v>
      </c>
      <c r="P105" s="5" t="s">
        <v>124</v>
      </c>
      <c r="Q105" s="5" t="s">
        <v>125</v>
      </c>
      <c r="R105" s="5" t="s">
        <v>38</v>
      </c>
    </row>
    <row r="106" spans="1:18" x14ac:dyDescent="0.3">
      <c r="A106" s="2" t="s">
        <v>413</v>
      </c>
      <c r="B106" s="1">
        <v>45581</v>
      </c>
      <c r="C106" s="2" t="s">
        <v>414</v>
      </c>
      <c r="D106" s="2" t="s">
        <v>415</v>
      </c>
      <c r="E106" s="2" t="s">
        <v>142</v>
      </c>
      <c r="F106" s="2" t="s">
        <v>143</v>
      </c>
      <c r="G106" s="2" t="s">
        <v>100</v>
      </c>
      <c r="H106" s="3">
        <v>3</v>
      </c>
      <c r="I106" s="3">
        <v>99.05</v>
      </c>
      <c r="J106" s="2">
        <v>0.05</v>
      </c>
      <c r="K106" s="3">
        <v>33.880000000000003</v>
      </c>
      <c r="L106" s="3">
        <v>0.71</v>
      </c>
      <c r="M106" s="3">
        <v>316.88</v>
      </c>
      <c r="N106" s="2" t="s">
        <v>58</v>
      </c>
      <c r="O106" s="2" t="s">
        <v>25</v>
      </c>
      <c r="P106" s="2" t="s">
        <v>44</v>
      </c>
      <c r="Q106" s="2" t="s">
        <v>37</v>
      </c>
      <c r="R106" s="2" t="s">
        <v>38</v>
      </c>
    </row>
    <row r="107" spans="1:18" x14ac:dyDescent="0.3">
      <c r="A107" s="5" t="s">
        <v>416</v>
      </c>
      <c r="B107" s="4">
        <v>45106</v>
      </c>
      <c r="C107" s="5" t="s">
        <v>417</v>
      </c>
      <c r="D107" s="5" t="s">
        <v>418</v>
      </c>
      <c r="E107" s="5" t="s">
        <v>365</v>
      </c>
      <c r="F107" s="5" t="s">
        <v>81</v>
      </c>
      <c r="G107" s="5" t="s">
        <v>23</v>
      </c>
      <c r="H107" s="6">
        <v>1</v>
      </c>
      <c r="I107" s="6">
        <v>113.27</v>
      </c>
      <c r="J107" s="5">
        <v>0.05</v>
      </c>
      <c r="K107" s="6">
        <v>5.38</v>
      </c>
      <c r="L107" s="6">
        <v>0.22</v>
      </c>
      <c r="M107" s="6">
        <v>113.21</v>
      </c>
      <c r="N107" s="5" t="s">
        <v>67</v>
      </c>
      <c r="O107" s="5" t="s">
        <v>25</v>
      </c>
      <c r="P107" s="5" t="s">
        <v>44</v>
      </c>
      <c r="Q107" s="5" t="s">
        <v>37</v>
      </c>
      <c r="R107" s="5" t="s">
        <v>38</v>
      </c>
    </row>
    <row r="108" spans="1:18" x14ac:dyDescent="0.3">
      <c r="A108" s="2" t="s">
        <v>419</v>
      </c>
      <c r="B108" s="1">
        <v>44847</v>
      </c>
      <c r="C108" s="2" t="s">
        <v>420</v>
      </c>
      <c r="D108" s="2" t="s">
        <v>421</v>
      </c>
      <c r="E108" s="2" t="s">
        <v>177</v>
      </c>
      <c r="F108" s="2" t="s">
        <v>89</v>
      </c>
      <c r="G108" s="2" t="s">
        <v>34</v>
      </c>
      <c r="H108" s="3">
        <v>3</v>
      </c>
      <c r="I108" s="3">
        <v>297.26</v>
      </c>
      <c r="J108" s="2">
        <v>0.05</v>
      </c>
      <c r="K108" s="3">
        <v>101.66</v>
      </c>
      <c r="L108" s="3">
        <v>5.24</v>
      </c>
      <c r="M108" s="3">
        <v>954.09</v>
      </c>
      <c r="N108" s="2" t="s">
        <v>58</v>
      </c>
      <c r="O108" s="2" t="s">
        <v>82</v>
      </c>
      <c r="P108" s="2" t="s">
        <v>124</v>
      </c>
      <c r="Q108" s="2" t="s">
        <v>125</v>
      </c>
      <c r="R108" s="2" t="s">
        <v>38</v>
      </c>
    </row>
    <row r="109" spans="1:18" x14ac:dyDescent="0.3">
      <c r="A109" s="5" t="s">
        <v>422</v>
      </c>
      <c r="B109" s="4">
        <v>45556</v>
      </c>
      <c r="C109" s="5" t="s">
        <v>423</v>
      </c>
      <c r="D109" s="5" t="s">
        <v>424</v>
      </c>
      <c r="E109" s="5" t="s">
        <v>425</v>
      </c>
      <c r="F109" s="5" t="s">
        <v>43</v>
      </c>
      <c r="G109" s="5" t="s">
        <v>100</v>
      </c>
      <c r="H109" s="6">
        <v>1</v>
      </c>
      <c r="I109" s="6">
        <v>483.5</v>
      </c>
      <c r="J109" s="5">
        <v>0</v>
      </c>
      <c r="K109" s="6">
        <v>38.68</v>
      </c>
      <c r="L109" s="6">
        <v>4.62</v>
      </c>
      <c r="M109" s="6">
        <v>526.79999999999995</v>
      </c>
      <c r="N109" s="5" t="s">
        <v>24</v>
      </c>
      <c r="O109" s="5" t="s">
        <v>25</v>
      </c>
      <c r="P109" s="5" t="s">
        <v>68</v>
      </c>
      <c r="Q109" s="5" t="s">
        <v>69</v>
      </c>
      <c r="R109" s="5" t="s">
        <v>38</v>
      </c>
    </row>
    <row r="110" spans="1:18" x14ac:dyDescent="0.3">
      <c r="A110" s="2" t="s">
        <v>426</v>
      </c>
      <c r="B110" s="1">
        <v>44126</v>
      </c>
      <c r="C110" s="2" t="s">
        <v>427</v>
      </c>
      <c r="D110" s="2" t="s">
        <v>418</v>
      </c>
      <c r="E110" s="2" t="s">
        <v>283</v>
      </c>
      <c r="F110" s="2" t="s">
        <v>89</v>
      </c>
      <c r="G110" s="2" t="s">
        <v>100</v>
      </c>
      <c r="H110" s="3">
        <v>3</v>
      </c>
      <c r="I110" s="3">
        <v>127.42</v>
      </c>
      <c r="J110" s="2">
        <v>0.15</v>
      </c>
      <c r="K110" s="3">
        <v>16.25</v>
      </c>
      <c r="L110" s="3">
        <v>1.88</v>
      </c>
      <c r="M110" s="3">
        <v>343.05</v>
      </c>
      <c r="N110" s="2" t="s">
        <v>24</v>
      </c>
      <c r="O110" s="2" t="s">
        <v>25</v>
      </c>
      <c r="P110" s="2" t="s">
        <v>165</v>
      </c>
      <c r="Q110" s="2" t="s">
        <v>37</v>
      </c>
      <c r="R110" s="2" t="s">
        <v>38</v>
      </c>
    </row>
    <row r="111" spans="1:18" x14ac:dyDescent="0.3">
      <c r="A111" s="5" t="s">
        <v>428</v>
      </c>
      <c r="B111" s="4">
        <v>45579</v>
      </c>
      <c r="C111" s="5" t="s">
        <v>429</v>
      </c>
      <c r="D111" s="5" t="s">
        <v>249</v>
      </c>
      <c r="E111" s="5" t="s">
        <v>65</v>
      </c>
      <c r="F111" s="5" t="s">
        <v>89</v>
      </c>
      <c r="G111" s="5" t="s">
        <v>100</v>
      </c>
      <c r="H111" s="6">
        <v>5</v>
      </c>
      <c r="I111" s="6">
        <v>520.69000000000005</v>
      </c>
      <c r="J111" s="5">
        <v>0</v>
      </c>
      <c r="K111" s="6">
        <v>130.16999999999999</v>
      </c>
      <c r="L111" s="6">
        <v>9.98</v>
      </c>
      <c r="M111" s="6">
        <v>2743.6</v>
      </c>
      <c r="N111" s="5" t="s">
        <v>123</v>
      </c>
      <c r="O111" s="5" t="s">
        <v>25</v>
      </c>
      <c r="P111" s="5" t="s">
        <v>145</v>
      </c>
      <c r="Q111" s="5" t="s">
        <v>146</v>
      </c>
      <c r="R111" s="5" t="s">
        <v>28</v>
      </c>
    </row>
    <row r="112" spans="1:18" x14ac:dyDescent="0.3">
      <c r="A112" s="2" t="s">
        <v>430</v>
      </c>
      <c r="B112" s="1">
        <v>44550</v>
      </c>
      <c r="C112" s="2" t="s">
        <v>431</v>
      </c>
      <c r="D112" s="2" t="s">
        <v>181</v>
      </c>
      <c r="E112" s="2" t="s">
        <v>56</v>
      </c>
      <c r="F112" s="2" t="s">
        <v>43</v>
      </c>
      <c r="G112" s="2" t="s">
        <v>23</v>
      </c>
      <c r="H112" s="3">
        <v>5</v>
      </c>
      <c r="I112" s="3">
        <v>61.48</v>
      </c>
      <c r="J112" s="2">
        <v>0</v>
      </c>
      <c r="K112" s="3">
        <v>55.33</v>
      </c>
      <c r="L112" s="3">
        <v>2.64</v>
      </c>
      <c r="M112" s="3">
        <v>365.37</v>
      </c>
      <c r="N112" s="2" t="s">
        <v>35</v>
      </c>
      <c r="O112" s="2" t="s">
        <v>25</v>
      </c>
      <c r="P112" s="2" t="s">
        <v>60</v>
      </c>
      <c r="Q112" s="2" t="s">
        <v>37</v>
      </c>
      <c r="R112" s="2" t="s">
        <v>38</v>
      </c>
    </row>
    <row r="113" spans="1:18" x14ac:dyDescent="0.3">
      <c r="A113" s="5" t="s">
        <v>432</v>
      </c>
      <c r="B113" s="4">
        <v>45603</v>
      </c>
      <c r="C113" s="5" t="s">
        <v>433</v>
      </c>
      <c r="D113" s="5" t="s">
        <v>163</v>
      </c>
      <c r="E113" s="5" t="s">
        <v>231</v>
      </c>
      <c r="F113" s="5" t="s">
        <v>22</v>
      </c>
      <c r="G113" s="5" t="s">
        <v>57</v>
      </c>
      <c r="H113" s="6">
        <v>5</v>
      </c>
      <c r="I113" s="6">
        <v>314</v>
      </c>
      <c r="J113" s="5">
        <v>0</v>
      </c>
      <c r="K113" s="6">
        <v>282.60000000000002</v>
      </c>
      <c r="L113" s="6">
        <v>8.14</v>
      </c>
      <c r="M113" s="6">
        <v>1860.74</v>
      </c>
      <c r="N113" s="5" t="s">
        <v>24</v>
      </c>
      <c r="O113" s="5" t="s">
        <v>25</v>
      </c>
      <c r="P113" s="5" t="s">
        <v>178</v>
      </c>
      <c r="Q113" s="5" t="s">
        <v>69</v>
      </c>
      <c r="R113" s="5" t="s">
        <v>38</v>
      </c>
    </row>
    <row r="114" spans="1:18" x14ac:dyDescent="0.3">
      <c r="A114" s="2" t="s">
        <v>434</v>
      </c>
      <c r="B114" s="1">
        <v>44168</v>
      </c>
      <c r="C114" s="2" t="s">
        <v>435</v>
      </c>
      <c r="D114" s="2" t="s">
        <v>436</v>
      </c>
      <c r="E114" s="2" t="s">
        <v>437</v>
      </c>
      <c r="F114" s="2" t="s">
        <v>89</v>
      </c>
      <c r="G114" s="2" t="s">
        <v>34</v>
      </c>
      <c r="H114" s="3">
        <v>4</v>
      </c>
      <c r="I114" s="3">
        <v>189.7</v>
      </c>
      <c r="J114" s="2">
        <v>0.25</v>
      </c>
      <c r="K114" s="3">
        <v>28.46</v>
      </c>
      <c r="L114" s="3">
        <v>13.2</v>
      </c>
      <c r="M114" s="3">
        <v>610.76</v>
      </c>
      <c r="N114" s="2" t="s">
        <v>35</v>
      </c>
      <c r="O114" s="2" t="s">
        <v>59</v>
      </c>
      <c r="P114" s="2" t="s">
        <v>44</v>
      </c>
      <c r="Q114" s="2" t="s">
        <v>37</v>
      </c>
      <c r="R114" s="2" t="s">
        <v>38</v>
      </c>
    </row>
    <row r="115" spans="1:18" x14ac:dyDescent="0.3">
      <c r="A115" s="5" t="s">
        <v>438</v>
      </c>
      <c r="B115" s="4">
        <v>44709</v>
      </c>
      <c r="C115" s="5" t="s">
        <v>439</v>
      </c>
      <c r="D115" s="5" t="s">
        <v>440</v>
      </c>
      <c r="E115" s="5" t="s">
        <v>177</v>
      </c>
      <c r="F115" s="5" t="s">
        <v>43</v>
      </c>
      <c r="G115" s="5" t="s">
        <v>100</v>
      </c>
      <c r="H115" s="6">
        <v>2</v>
      </c>
      <c r="I115" s="6">
        <v>103.29</v>
      </c>
      <c r="J115" s="5">
        <v>0.2</v>
      </c>
      <c r="K115" s="6">
        <v>0</v>
      </c>
      <c r="L115" s="6">
        <v>0.55000000000000004</v>
      </c>
      <c r="M115" s="6">
        <v>165.81</v>
      </c>
      <c r="N115" s="5" t="s">
        <v>35</v>
      </c>
      <c r="O115" s="5" t="s">
        <v>107</v>
      </c>
      <c r="P115" s="5" t="s">
        <v>60</v>
      </c>
      <c r="Q115" s="5" t="s">
        <v>37</v>
      </c>
      <c r="R115" s="5" t="s">
        <v>38</v>
      </c>
    </row>
    <row r="116" spans="1:18" x14ac:dyDescent="0.3">
      <c r="A116" s="2" t="s">
        <v>441</v>
      </c>
      <c r="B116" s="1">
        <v>44907</v>
      </c>
      <c r="C116" s="2" t="s">
        <v>442</v>
      </c>
      <c r="D116" s="2" t="s">
        <v>282</v>
      </c>
      <c r="E116" s="2" t="s">
        <v>256</v>
      </c>
      <c r="F116" s="2" t="s">
        <v>33</v>
      </c>
      <c r="G116" s="2" t="s">
        <v>34</v>
      </c>
      <c r="H116" s="3">
        <v>3</v>
      </c>
      <c r="I116" s="3">
        <v>167.08</v>
      </c>
      <c r="J116" s="2">
        <v>0</v>
      </c>
      <c r="K116" s="3">
        <v>40.1</v>
      </c>
      <c r="L116" s="3">
        <v>7.29</v>
      </c>
      <c r="M116" s="3">
        <v>548.63</v>
      </c>
      <c r="N116" s="2" t="s">
        <v>35</v>
      </c>
      <c r="O116" s="2" t="s">
        <v>25</v>
      </c>
      <c r="P116" s="2" t="s">
        <v>68</v>
      </c>
      <c r="Q116" s="2" t="s">
        <v>69</v>
      </c>
      <c r="R116" s="2" t="s">
        <v>38</v>
      </c>
    </row>
    <row r="117" spans="1:18" x14ac:dyDescent="0.3">
      <c r="A117" s="5" t="s">
        <v>443</v>
      </c>
      <c r="B117" s="4">
        <v>44622</v>
      </c>
      <c r="C117" s="5" t="s">
        <v>444</v>
      </c>
      <c r="D117" s="5" t="s">
        <v>445</v>
      </c>
      <c r="E117" s="5" t="s">
        <v>164</v>
      </c>
      <c r="F117" s="5" t="s">
        <v>89</v>
      </c>
      <c r="G117" s="5" t="s">
        <v>57</v>
      </c>
      <c r="H117" s="6">
        <v>4</v>
      </c>
      <c r="I117" s="6">
        <v>468.57</v>
      </c>
      <c r="J117" s="5">
        <v>0.25</v>
      </c>
      <c r="K117" s="6">
        <v>70.290000000000006</v>
      </c>
      <c r="L117" s="6">
        <v>14.63</v>
      </c>
      <c r="M117" s="6">
        <v>1490.63</v>
      </c>
      <c r="N117" s="5" t="s">
        <v>24</v>
      </c>
      <c r="O117" s="5" t="s">
        <v>107</v>
      </c>
      <c r="P117" s="5" t="s">
        <v>68</v>
      </c>
      <c r="Q117" s="5" t="s">
        <v>69</v>
      </c>
      <c r="R117" s="5" t="s">
        <v>38</v>
      </c>
    </row>
    <row r="118" spans="1:18" x14ac:dyDescent="0.3">
      <c r="A118" s="2" t="s">
        <v>446</v>
      </c>
      <c r="B118" s="1">
        <v>44047</v>
      </c>
      <c r="C118" s="2" t="s">
        <v>447</v>
      </c>
      <c r="D118" s="2" t="s">
        <v>137</v>
      </c>
      <c r="E118" s="2" t="s">
        <v>106</v>
      </c>
      <c r="F118" s="2" t="s">
        <v>43</v>
      </c>
      <c r="G118" s="2" t="s">
        <v>100</v>
      </c>
      <c r="H118" s="3">
        <v>2</v>
      </c>
      <c r="I118" s="3">
        <v>25.31</v>
      </c>
      <c r="J118" s="2">
        <v>0</v>
      </c>
      <c r="K118" s="3">
        <v>0</v>
      </c>
      <c r="L118" s="3">
        <v>14.69</v>
      </c>
      <c r="M118" s="3">
        <v>65.31</v>
      </c>
      <c r="N118" s="2" t="s">
        <v>24</v>
      </c>
      <c r="O118" s="2" t="s">
        <v>107</v>
      </c>
      <c r="P118" s="2" t="s">
        <v>36</v>
      </c>
      <c r="Q118" s="2" t="s">
        <v>37</v>
      </c>
      <c r="R118" s="2" t="s">
        <v>38</v>
      </c>
    </row>
    <row r="119" spans="1:18" x14ac:dyDescent="0.3">
      <c r="A119" s="5" t="s">
        <v>448</v>
      </c>
      <c r="B119" s="4">
        <v>44594</v>
      </c>
      <c r="C119" s="5" t="s">
        <v>449</v>
      </c>
      <c r="D119" s="5" t="s">
        <v>450</v>
      </c>
      <c r="E119" s="5" t="s">
        <v>197</v>
      </c>
      <c r="F119" s="5" t="s">
        <v>89</v>
      </c>
      <c r="G119" s="5" t="s">
        <v>57</v>
      </c>
      <c r="H119" s="6">
        <v>2</v>
      </c>
      <c r="I119" s="6">
        <v>590.96</v>
      </c>
      <c r="J119" s="5">
        <v>0.05</v>
      </c>
      <c r="K119" s="6">
        <v>134.74</v>
      </c>
      <c r="L119" s="6">
        <v>5.5</v>
      </c>
      <c r="M119" s="6">
        <v>1263.06</v>
      </c>
      <c r="N119" s="5" t="s">
        <v>58</v>
      </c>
      <c r="O119" s="5" t="s">
        <v>25</v>
      </c>
      <c r="P119" s="5" t="s">
        <v>83</v>
      </c>
      <c r="Q119" s="5" t="s">
        <v>84</v>
      </c>
      <c r="R119" s="5" t="s">
        <v>38</v>
      </c>
    </row>
    <row r="120" spans="1:18" x14ac:dyDescent="0.3">
      <c r="A120" s="2" t="s">
        <v>451</v>
      </c>
      <c r="B120" s="1">
        <v>44018</v>
      </c>
      <c r="C120" s="2" t="s">
        <v>452</v>
      </c>
      <c r="D120" s="2" t="s">
        <v>98</v>
      </c>
      <c r="E120" s="2" t="s">
        <v>243</v>
      </c>
      <c r="F120" s="2" t="s">
        <v>33</v>
      </c>
      <c r="G120" s="2" t="s">
        <v>198</v>
      </c>
      <c r="H120" s="3">
        <v>2</v>
      </c>
      <c r="I120" s="3">
        <v>433.24</v>
      </c>
      <c r="J120" s="2">
        <v>0.05</v>
      </c>
      <c r="K120" s="3">
        <v>98.78</v>
      </c>
      <c r="L120" s="3">
        <v>10.23</v>
      </c>
      <c r="M120" s="3">
        <v>932.17</v>
      </c>
      <c r="N120" s="2" t="s">
        <v>50</v>
      </c>
      <c r="O120" s="2" t="s">
        <v>107</v>
      </c>
      <c r="P120" s="2" t="s">
        <v>133</v>
      </c>
      <c r="Q120" s="2" t="s">
        <v>134</v>
      </c>
      <c r="R120" s="2" t="s">
        <v>38</v>
      </c>
    </row>
    <row r="121" spans="1:18" x14ac:dyDescent="0.3">
      <c r="A121" s="5" t="s">
        <v>453</v>
      </c>
      <c r="B121" s="4">
        <v>44210</v>
      </c>
      <c r="C121" s="5" t="s">
        <v>454</v>
      </c>
      <c r="D121" s="5" t="s">
        <v>252</v>
      </c>
      <c r="E121" s="5" t="s">
        <v>267</v>
      </c>
      <c r="F121" s="5" t="s">
        <v>22</v>
      </c>
      <c r="G121" s="5" t="s">
        <v>203</v>
      </c>
      <c r="H121" s="6">
        <v>4</v>
      </c>
      <c r="I121" s="6">
        <v>187.75</v>
      </c>
      <c r="J121" s="5">
        <v>0.05</v>
      </c>
      <c r="K121" s="6">
        <v>128.41999999999999</v>
      </c>
      <c r="L121" s="6">
        <v>9.52</v>
      </c>
      <c r="M121" s="6">
        <v>851.39</v>
      </c>
      <c r="N121" s="5" t="s">
        <v>58</v>
      </c>
      <c r="O121" s="5" t="s">
        <v>25</v>
      </c>
      <c r="P121" s="5" t="s">
        <v>178</v>
      </c>
      <c r="Q121" s="5" t="s">
        <v>69</v>
      </c>
      <c r="R121" s="5" t="s">
        <v>38</v>
      </c>
    </row>
    <row r="122" spans="1:18" x14ac:dyDescent="0.3">
      <c r="A122" s="2" t="s">
        <v>455</v>
      </c>
      <c r="B122" s="1">
        <v>44323</v>
      </c>
      <c r="C122" s="2" t="s">
        <v>456</v>
      </c>
      <c r="D122" s="2" t="s">
        <v>457</v>
      </c>
      <c r="E122" s="2" t="s">
        <v>365</v>
      </c>
      <c r="F122" s="2" t="s">
        <v>81</v>
      </c>
      <c r="G122" s="2" t="s">
        <v>49</v>
      </c>
      <c r="H122" s="3">
        <v>5</v>
      </c>
      <c r="I122" s="3">
        <v>230.99</v>
      </c>
      <c r="J122" s="2">
        <v>0.15</v>
      </c>
      <c r="K122" s="3">
        <v>117.8</v>
      </c>
      <c r="L122" s="3">
        <v>10.69</v>
      </c>
      <c r="M122" s="3">
        <v>1110.2</v>
      </c>
      <c r="N122" s="2" t="s">
        <v>67</v>
      </c>
      <c r="O122" s="2" t="s">
        <v>25</v>
      </c>
      <c r="P122" s="2" t="s">
        <v>173</v>
      </c>
      <c r="Q122" s="2" t="s">
        <v>174</v>
      </c>
      <c r="R122" s="2" t="s">
        <v>38</v>
      </c>
    </row>
    <row r="123" spans="1:18" x14ac:dyDescent="0.3">
      <c r="A123" s="5" t="s">
        <v>458</v>
      </c>
      <c r="B123" s="4">
        <v>44895</v>
      </c>
      <c r="C123" s="5" t="s">
        <v>459</v>
      </c>
      <c r="D123" s="5" t="s">
        <v>460</v>
      </c>
      <c r="E123" s="5" t="s">
        <v>169</v>
      </c>
      <c r="F123" s="5" t="s">
        <v>89</v>
      </c>
      <c r="G123" s="5" t="s">
        <v>49</v>
      </c>
      <c r="H123" s="6">
        <v>5</v>
      </c>
      <c r="I123" s="6">
        <v>246.13</v>
      </c>
      <c r="J123" s="5">
        <v>0.1</v>
      </c>
      <c r="K123" s="6">
        <v>0</v>
      </c>
      <c r="L123" s="6">
        <v>9.69</v>
      </c>
      <c r="M123" s="6">
        <v>1117.28</v>
      </c>
      <c r="N123" s="5" t="s">
        <v>35</v>
      </c>
      <c r="O123" s="5" t="s">
        <v>107</v>
      </c>
      <c r="P123" s="5" t="s">
        <v>44</v>
      </c>
      <c r="Q123" s="5" t="s">
        <v>37</v>
      </c>
      <c r="R123" s="5" t="s">
        <v>61</v>
      </c>
    </row>
    <row r="124" spans="1:18" x14ac:dyDescent="0.3">
      <c r="A124" s="2" t="s">
        <v>461</v>
      </c>
      <c r="B124" s="1">
        <v>45011</v>
      </c>
      <c r="C124" s="2" t="s">
        <v>462</v>
      </c>
      <c r="D124" s="2" t="s">
        <v>193</v>
      </c>
      <c r="E124" s="2" t="s">
        <v>267</v>
      </c>
      <c r="F124" s="2" t="s">
        <v>33</v>
      </c>
      <c r="G124" s="2" t="s">
        <v>66</v>
      </c>
      <c r="H124" s="3">
        <v>1</v>
      </c>
      <c r="I124" s="3">
        <v>18.66</v>
      </c>
      <c r="J124" s="2">
        <v>0</v>
      </c>
      <c r="K124" s="3">
        <v>0.93</v>
      </c>
      <c r="L124" s="3">
        <v>5.03</v>
      </c>
      <c r="M124" s="3">
        <v>24.62</v>
      </c>
      <c r="N124" s="2" t="s">
        <v>35</v>
      </c>
      <c r="O124" s="2" t="s">
        <v>25</v>
      </c>
      <c r="P124" s="2" t="s">
        <v>178</v>
      </c>
      <c r="Q124" s="2" t="s">
        <v>69</v>
      </c>
      <c r="R124" s="2" t="s">
        <v>38</v>
      </c>
    </row>
    <row r="125" spans="1:18" x14ac:dyDescent="0.3">
      <c r="A125" s="5" t="s">
        <v>463</v>
      </c>
      <c r="B125" s="4">
        <v>43845</v>
      </c>
      <c r="C125" s="5" t="s">
        <v>464</v>
      </c>
      <c r="D125" s="5" t="s">
        <v>159</v>
      </c>
      <c r="E125" s="5" t="s">
        <v>392</v>
      </c>
      <c r="F125" s="5" t="s">
        <v>43</v>
      </c>
      <c r="G125" s="5" t="s">
        <v>100</v>
      </c>
      <c r="H125" s="6">
        <v>2</v>
      </c>
      <c r="I125" s="6">
        <v>48.99</v>
      </c>
      <c r="J125" s="5">
        <v>0.25</v>
      </c>
      <c r="K125" s="6">
        <v>3.67</v>
      </c>
      <c r="L125" s="6">
        <v>1.59</v>
      </c>
      <c r="M125" s="6">
        <v>78.739999999999995</v>
      </c>
      <c r="N125" s="5" t="s">
        <v>35</v>
      </c>
      <c r="O125" s="5" t="s">
        <v>25</v>
      </c>
      <c r="P125" s="5" t="s">
        <v>257</v>
      </c>
      <c r="Q125" s="5" t="s">
        <v>69</v>
      </c>
      <c r="R125" s="5" t="s">
        <v>38</v>
      </c>
    </row>
    <row r="126" spans="1:18" x14ac:dyDescent="0.3">
      <c r="A126" s="2" t="s">
        <v>465</v>
      </c>
      <c r="B126" s="1">
        <v>43895</v>
      </c>
      <c r="C126" s="2" t="s">
        <v>466</v>
      </c>
      <c r="D126" s="2" t="s">
        <v>20</v>
      </c>
      <c r="E126" s="2" t="s">
        <v>164</v>
      </c>
      <c r="F126" s="2" t="s">
        <v>89</v>
      </c>
      <c r="G126" s="2" t="s">
        <v>100</v>
      </c>
      <c r="H126" s="3">
        <v>5</v>
      </c>
      <c r="I126" s="3">
        <v>200.05</v>
      </c>
      <c r="J126" s="2">
        <v>0.05</v>
      </c>
      <c r="K126" s="3">
        <v>114.03</v>
      </c>
      <c r="L126" s="3">
        <v>2.34</v>
      </c>
      <c r="M126" s="3">
        <v>1066.6099999999999</v>
      </c>
      <c r="N126" s="2" t="s">
        <v>58</v>
      </c>
      <c r="O126" s="2" t="s">
        <v>25</v>
      </c>
      <c r="P126" s="2" t="s">
        <v>95</v>
      </c>
      <c r="Q126" s="2" t="s">
        <v>37</v>
      </c>
      <c r="R126" s="2" t="s">
        <v>183</v>
      </c>
    </row>
    <row r="127" spans="1:18" x14ac:dyDescent="0.3">
      <c r="A127" s="5" t="s">
        <v>467</v>
      </c>
      <c r="B127" s="4">
        <v>44351</v>
      </c>
      <c r="C127" s="5" t="s">
        <v>468</v>
      </c>
      <c r="D127" s="5" t="s">
        <v>469</v>
      </c>
      <c r="E127" s="5" t="s">
        <v>169</v>
      </c>
      <c r="F127" s="5" t="s">
        <v>143</v>
      </c>
      <c r="G127" s="5" t="s">
        <v>90</v>
      </c>
      <c r="H127" s="6">
        <v>4</v>
      </c>
      <c r="I127" s="6">
        <v>149.47</v>
      </c>
      <c r="J127" s="5">
        <v>0</v>
      </c>
      <c r="K127" s="6">
        <v>71.75</v>
      </c>
      <c r="L127" s="6">
        <v>10.48</v>
      </c>
      <c r="M127" s="6">
        <v>680.11</v>
      </c>
      <c r="N127" s="5" t="s">
        <v>67</v>
      </c>
      <c r="O127" s="5" t="s">
        <v>25</v>
      </c>
      <c r="P127" s="5" t="s">
        <v>95</v>
      </c>
      <c r="Q127" s="5" t="s">
        <v>37</v>
      </c>
      <c r="R127" s="5" t="s">
        <v>38</v>
      </c>
    </row>
    <row r="128" spans="1:18" x14ac:dyDescent="0.3">
      <c r="A128" s="2" t="s">
        <v>470</v>
      </c>
      <c r="B128" s="1">
        <v>45198</v>
      </c>
      <c r="C128" s="2" t="s">
        <v>471</v>
      </c>
      <c r="D128" s="2" t="s">
        <v>472</v>
      </c>
      <c r="E128" s="2" t="s">
        <v>291</v>
      </c>
      <c r="F128" s="2" t="s">
        <v>89</v>
      </c>
      <c r="G128" s="2" t="s">
        <v>203</v>
      </c>
      <c r="H128" s="3">
        <v>3</v>
      </c>
      <c r="I128" s="3">
        <v>460.51</v>
      </c>
      <c r="J128" s="2">
        <v>0.05</v>
      </c>
      <c r="K128" s="3">
        <v>157.49</v>
      </c>
      <c r="L128" s="3">
        <v>3.17</v>
      </c>
      <c r="M128" s="3">
        <v>1473.11</v>
      </c>
      <c r="N128" s="2" t="s">
        <v>58</v>
      </c>
      <c r="O128" s="2" t="s">
        <v>25</v>
      </c>
      <c r="P128" s="2" t="s">
        <v>51</v>
      </c>
      <c r="Q128" s="2" t="s">
        <v>52</v>
      </c>
      <c r="R128" s="2" t="s">
        <v>38</v>
      </c>
    </row>
    <row r="129" spans="1:18" x14ac:dyDescent="0.3">
      <c r="A129" s="5" t="s">
        <v>473</v>
      </c>
      <c r="B129" s="4">
        <v>44983</v>
      </c>
      <c r="C129" s="5" t="s">
        <v>474</v>
      </c>
      <c r="D129" s="5" t="s">
        <v>121</v>
      </c>
      <c r="E129" s="5" t="s">
        <v>267</v>
      </c>
      <c r="F129" s="5" t="s">
        <v>33</v>
      </c>
      <c r="G129" s="5" t="s">
        <v>49</v>
      </c>
      <c r="H129" s="6">
        <v>5</v>
      </c>
      <c r="I129" s="6">
        <v>141.31</v>
      </c>
      <c r="J129" s="5">
        <v>0.15</v>
      </c>
      <c r="K129" s="6">
        <v>72.069999999999993</v>
      </c>
      <c r="L129" s="6">
        <v>14.56</v>
      </c>
      <c r="M129" s="6">
        <v>687.2</v>
      </c>
      <c r="N129" s="5" t="s">
        <v>24</v>
      </c>
      <c r="O129" s="5" t="s">
        <v>25</v>
      </c>
      <c r="P129" s="5" t="s">
        <v>83</v>
      </c>
      <c r="Q129" s="5" t="s">
        <v>84</v>
      </c>
      <c r="R129" s="5" t="s">
        <v>38</v>
      </c>
    </row>
    <row r="130" spans="1:18" x14ac:dyDescent="0.3">
      <c r="A130" s="2" t="s">
        <v>475</v>
      </c>
      <c r="B130" s="1">
        <v>44478</v>
      </c>
      <c r="C130" s="2" t="s">
        <v>476</v>
      </c>
      <c r="D130" s="2" t="s">
        <v>477</v>
      </c>
      <c r="E130" s="2" t="s">
        <v>156</v>
      </c>
      <c r="F130" s="2" t="s">
        <v>22</v>
      </c>
      <c r="G130" s="2" t="s">
        <v>90</v>
      </c>
      <c r="H130" s="3">
        <v>3</v>
      </c>
      <c r="I130" s="3">
        <v>204.15</v>
      </c>
      <c r="J130" s="2">
        <v>0.1</v>
      </c>
      <c r="K130" s="3">
        <v>66.14</v>
      </c>
      <c r="L130" s="3">
        <v>10.09</v>
      </c>
      <c r="M130" s="3">
        <v>627.44000000000005</v>
      </c>
      <c r="N130" s="2" t="s">
        <v>58</v>
      </c>
      <c r="O130" s="2" t="s">
        <v>25</v>
      </c>
      <c r="P130" s="2" t="s">
        <v>165</v>
      </c>
      <c r="Q130" s="2" t="s">
        <v>37</v>
      </c>
      <c r="R130" s="2" t="s">
        <v>38</v>
      </c>
    </row>
    <row r="131" spans="1:18" x14ac:dyDescent="0.3">
      <c r="A131" s="5" t="s">
        <v>478</v>
      </c>
      <c r="B131" s="4">
        <v>45326</v>
      </c>
      <c r="C131" s="5" t="s">
        <v>479</v>
      </c>
      <c r="D131" s="5" t="s">
        <v>480</v>
      </c>
      <c r="E131" s="5" t="s">
        <v>220</v>
      </c>
      <c r="F131" s="5" t="s">
        <v>22</v>
      </c>
      <c r="G131" s="5" t="s">
        <v>23</v>
      </c>
      <c r="H131" s="6">
        <v>4</v>
      </c>
      <c r="I131" s="6">
        <v>577.36</v>
      </c>
      <c r="J131" s="5">
        <v>0.2</v>
      </c>
      <c r="K131" s="6">
        <v>92.38</v>
      </c>
      <c r="L131" s="6">
        <v>4.08</v>
      </c>
      <c r="M131" s="6">
        <v>1944.01</v>
      </c>
      <c r="N131" s="5" t="s">
        <v>24</v>
      </c>
      <c r="O131" s="5" t="s">
        <v>25</v>
      </c>
      <c r="P131" s="5" t="s">
        <v>95</v>
      </c>
      <c r="Q131" s="5" t="s">
        <v>37</v>
      </c>
      <c r="R131" s="5" t="s">
        <v>38</v>
      </c>
    </row>
    <row r="132" spans="1:18" x14ac:dyDescent="0.3">
      <c r="A132" s="2" t="s">
        <v>481</v>
      </c>
      <c r="B132" s="1">
        <v>44917</v>
      </c>
      <c r="C132" s="2" t="s">
        <v>482</v>
      </c>
      <c r="D132" s="2" t="s">
        <v>483</v>
      </c>
      <c r="E132" s="2" t="s">
        <v>267</v>
      </c>
      <c r="F132" s="2" t="s">
        <v>143</v>
      </c>
      <c r="G132" s="2" t="s">
        <v>66</v>
      </c>
      <c r="H132" s="3">
        <v>2</v>
      </c>
      <c r="I132" s="3">
        <v>509.27</v>
      </c>
      <c r="J132" s="2">
        <v>0</v>
      </c>
      <c r="K132" s="3">
        <v>0</v>
      </c>
      <c r="L132" s="3">
        <v>6.71</v>
      </c>
      <c r="M132" s="3">
        <v>1025.25</v>
      </c>
      <c r="N132" s="2" t="s">
        <v>123</v>
      </c>
      <c r="O132" s="2" t="s">
        <v>107</v>
      </c>
      <c r="P132" s="2" t="s">
        <v>68</v>
      </c>
      <c r="Q132" s="2" t="s">
        <v>69</v>
      </c>
      <c r="R132" s="2" t="s">
        <v>38</v>
      </c>
    </row>
    <row r="133" spans="1:18" x14ac:dyDescent="0.3">
      <c r="A133" s="5" t="s">
        <v>484</v>
      </c>
      <c r="B133" s="4">
        <v>44993</v>
      </c>
      <c r="C133" s="5" t="s">
        <v>485</v>
      </c>
      <c r="D133" s="5" t="s">
        <v>486</v>
      </c>
      <c r="E133" s="5" t="s">
        <v>80</v>
      </c>
      <c r="F133" s="5" t="s">
        <v>43</v>
      </c>
      <c r="G133" s="5" t="s">
        <v>49</v>
      </c>
      <c r="H133" s="6">
        <v>3</v>
      </c>
      <c r="I133" s="6">
        <v>496.12</v>
      </c>
      <c r="J133" s="5">
        <v>0</v>
      </c>
      <c r="K133" s="6">
        <v>74.42</v>
      </c>
      <c r="L133" s="6">
        <v>5.91</v>
      </c>
      <c r="M133" s="6">
        <v>1568.69</v>
      </c>
      <c r="N133" s="5" t="s">
        <v>123</v>
      </c>
      <c r="O133" s="5" t="s">
        <v>144</v>
      </c>
      <c r="P133" s="5" t="s">
        <v>51</v>
      </c>
      <c r="Q133" s="5" t="s">
        <v>52</v>
      </c>
      <c r="R133" s="5" t="s">
        <v>76</v>
      </c>
    </row>
    <row r="134" spans="1:18" x14ac:dyDescent="0.3">
      <c r="A134" s="2" t="s">
        <v>487</v>
      </c>
      <c r="B134" s="1">
        <v>45353</v>
      </c>
      <c r="C134" s="2" t="s">
        <v>488</v>
      </c>
      <c r="D134" s="2" t="s">
        <v>196</v>
      </c>
      <c r="E134" s="2" t="s">
        <v>340</v>
      </c>
      <c r="F134" s="2" t="s">
        <v>43</v>
      </c>
      <c r="G134" s="2" t="s">
        <v>57</v>
      </c>
      <c r="H134" s="3">
        <v>3</v>
      </c>
      <c r="I134" s="3">
        <v>497.74</v>
      </c>
      <c r="J134" s="2">
        <v>0</v>
      </c>
      <c r="K134" s="3">
        <v>179.19</v>
      </c>
      <c r="L134" s="3">
        <v>7.58</v>
      </c>
      <c r="M134" s="3">
        <v>1679.99</v>
      </c>
      <c r="N134" s="2" t="s">
        <v>58</v>
      </c>
      <c r="O134" s="2" t="s">
        <v>25</v>
      </c>
      <c r="P134" s="2" t="s">
        <v>117</v>
      </c>
      <c r="Q134" s="2" t="s">
        <v>118</v>
      </c>
      <c r="R134" s="2" t="s">
        <v>38</v>
      </c>
    </row>
    <row r="135" spans="1:18" x14ac:dyDescent="0.3">
      <c r="A135" s="5" t="s">
        <v>489</v>
      </c>
      <c r="B135" s="4">
        <v>44423</v>
      </c>
      <c r="C135" s="5" t="s">
        <v>490</v>
      </c>
      <c r="D135" s="5" t="s">
        <v>491</v>
      </c>
      <c r="E135" s="5" t="s">
        <v>392</v>
      </c>
      <c r="F135" s="5" t="s">
        <v>22</v>
      </c>
      <c r="G135" s="5" t="s">
        <v>34</v>
      </c>
      <c r="H135" s="6">
        <v>4</v>
      </c>
      <c r="I135" s="6">
        <v>384.81</v>
      </c>
      <c r="J135" s="5">
        <v>0</v>
      </c>
      <c r="K135" s="6">
        <v>184.71</v>
      </c>
      <c r="L135" s="6">
        <v>13.11</v>
      </c>
      <c r="M135" s="6">
        <v>1737.06</v>
      </c>
      <c r="N135" s="5" t="s">
        <v>58</v>
      </c>
      <c r="O135" s="5" t="s">
        <v>59</v>
      </c>
      <c r="P135" s="5" t="s">
        <v>150</v>
      </c>
      <c r="Q135" s="5" t="s">
        <v>69</v>
      </c>
      <c r="R135" s="5" t="s">
        <v>38</v>
      </c>
    </row>
    <row r="136" spans="1:18" x14ac:dyDescent="0.3">
      <c r="A136" s="2" t="s">
        <v>492</v>
      </c>
      <c r="B136" s="1">
        <v>44222</v>
      </c>
      <c r="C136" s="2" t="s">
        <v>493</v>
      </c>
      <c r="D136" s="2" t="s">
        <v>494</v>
      </c>
      <c r="E136" s="2" t="s">
        <v>160</v>
      </c>
      <c r="F136" s="2" t="s">
        <v>81</v>
      </c>
      <c r="G136" s="2" t="s">
        <v>100</v>
      </c>
      <c r="H136" s="3">
        <v>2</v>
      </c>
      <c r="I136" s="3">
        <v>321.45999999999998</v>
      </c>
      <c r="J136" s="2">
        <v>0.1</v>
      </c>
      <c r="K136" s="3">
        <v>69.44</v>
      </c>
      <c r="L136" s="3">
        <v>5.41</v>
      </c>
      <c r="M136" s="3">
        <v>653.48</v>
      </c>
      <c r="N136" s="2" t="s">
        <v>50</v>
      </c>
      <c r="O136" s="2" t="s">
        <v>25</v>
      </c>
      <c r="P136" s="2" t="s">
        <v>68</v>
      </c>
      <c r="Q136" s="2" t="s">
        <v>69</v>
      </c>
      <c r="R136" s="2" t="s">
        <v>28</v>
      </c>
    </row>
    <row r="137" spans="1:18" x14ac:dyDescent="0.3">
      <c r="A137" s="5" t="s">
        <v>495</v>
      </c>
      <c r="B137" s="4">
        <v>45529</v>
      </c>
      <c r="C137" s="5" t="s">
        <v>496</v>
      </c>
      <c r="D137" s="5" t="s">
        <v>497</v>
      </c>
      <c r="E137" s="5" t="s">
        <v>498</v>
      </c>
      <c r="F137" s="5" t="s">
        <v>81</v>
      </c>
      <c r="G137" s="5" t="s">
        <v>66</v>
      </c>
      <c r="H137" s="6">
        <v>5</v>
      </c>
      <c r="I137" s="6">
        <v>498.26</v>
      </c>
      <c r="J137" s="5">
        <v>0.05</v>
      </c>
      <c r="K137" s="6">
        <v>189.34</v>
      </c>
      <c r="L137" s="6">
        <v>3.64</v>
      </c>
      <c r="M137" s="6">
        <v>2559.7199999999998</v>
      </c>
      <c r="N137" s="5" t="s">
        <v>67</v>
      </c>
      <c r="O137" s="5" t="s">
        <v>107</v>
      </c>
      <c r="P137" s="5" t="s">
        <v>26</v>
      </c>
      <c r="Q137" s="5" t="s">
        <v>27</v>
      </c>
      <c r="R137" s="5" t="s">
        <v>183</v>
      </c>
    </row>
    <row r="138" spans="1:18" x14ac:dyDescent="0.3">
      <c r="A138" s="2" t="s">
        <v>499</v>
      </c>
      <c r="B138" s="1">
        <v>44249</v>
      </c>
      <c r="C138" s="2" t="s">
        <v>500</v>
      </c>
      <c r="D138" s="2" t="s">
        <v>501</v>
      </c>
      <c r="E138" s="2" t="s">
        <v>271</v>
      </c>
      <c r="F138" s="2" t="s">
        <v>22</v>
      </c>
      <c r="G138" s="2" t="s">
        <v>198</v>
      </c>
      <c r="H138" s="3">
        <v>5</v>
      </c>
      <c r="I138" s="3">
        <v>211.88</v>
      </c>
      <c r="J138" s="2">
        <v>0.1</v>
      </c>
      <c r="K138" s="3">
        <v>76.28</v>
      </c>
      <c r="L138" s="3">
        <v>9.75</v>
      </c>
      <c r="M138" s="3">
        <v>1039.49</v>
      </c>
      <c r="N138" s="2" t="s">
        <v>67</v>
      </c>
      <c r="O138" s="2" t="s">
        <v>25</v>
      </c>
      <c r="P138" s="2" t="s">
        <v>133</v>
      </c>
      <c r="Q138" s="2" t="s">
        <v>134</v>
      </c>
      <c r="R138" s="2" t="s">
        <v>38</v>
      </c>
    </row>
    <row r="139" spans="1:18" x14ac:dyDescent="0.3">
      <c r="A139" s="5" t="s">
        <v>502</v>
      </c>
      <c r="B139" s="4">
        <v>44119</v>
      </c>
      <c r="C139" s="5" t="s">
        <v>503</v>
      </c>
      <c r="D139" s="5" t="s">
        <v>504</v>
      </c>
      <c r="E139" s="5" t="s">
        <v>73</v>
      </c>
      <c r="F139" s="5" t="s">
        <v>43</v>
      </c>
      <c r="G139" s="5" t="s">
        <v>66</v>
      </c>
      <c r="H139" s="6">
        <v>2</v>
      </c>
      <c r="I139" s="6">
        <v>333.88</v>
      </c>
      <c r="J139" s="5">
        <v>0.05</v>
      </c>
      <c r="K139" s="6">
        <v>0</v>
      </c>
      <c r="L139" s="6">
        <v>10.61</v>
      </c>
      <c r="M139" s="6">
        <v>644.98</v>
      </c>
      <c r="N139" s="5" t="s">
        <v>58</v>
      </c>
      <c r="O139" s="5" t="s">
        <v>107</v>
      </c>
      <c r="P139" s="5" t="s">
        <v>101</v>
      </c>
      <c r="Q139" s="5" t="s">
        <v>102</v>
      </c>
      <c r="R139" s="5" t="s">
        <v>28</v>
      </c>
    </row>
    <row r="140" spans="1:18" x14ac:dyDescent="0.3">
      <c r="A140" s="2" t="s">
        <v>505</v>
      </c>
      <c r="B140" s="1">
        <v>44209</v>
      </c>
      <c r="C140" s="2" t="s">
        <v>506</v>
      </c>
      <c r="D140" s="2" t="s">
        <v>397</v>
      </c>
      <c r="E140" s="2" t="s">
        <v>220</v>
      </c>
      <c r="F140" s="2" t="s">
        <v>143</v>
      </c>
      <c r="G140" s="2" t="s">
        <v>100</v>
      </c>
      <c r="H140" s="3">
        <v>2</v>
      </c>
      <c r="I140" s="3">
        <v>522.65</v>
      </c>
      <c r="J140" s="2">
        <v>0.05</v>
      </c>
      <c r="K140" s="3">
        <v>79.44</v>
      </c>
      <c r="L140" s="3">
        <v>13.86</v>
      </c>
      <c r="M140" s="3">
        <v>1086.33</v>
      </c>
      <c r="N140" s="2" t="s">
        <v>58</v>
      </c>
      <c r="O140" s="2" t="s">
        <v>25</v>
      </c>
      <c r="P140" s="2" t="s">
        <v>36</v>
      </c>
      <c r="Q140" s="2" t="s">
        <v>37</v>
      </c>
      <c r="R140" s="2" t="s">
        <v>38</v>
      </c>
    </row>
    <row r="141" spans="1:18" x14ac:dyDescent="0.3">
      <c r="A141" s="5" t="s">
        <v>507</v>
      </c>
      <c r="B141" s="4">
        <v>45627</v>
      </c>
      <c r="C141" s="5" t="s">
        <v>508</v>
      </c>
      <c r="D141" s="5" t="s">
        <v>410</v>
      </c>
      <c r="E141" s="5" t="s">
        <v>283</v>
      </c>
      <c r="F141" s="5" t="s">
        <v>81</v>
      </c>
      <c r="G141" s="5" t="s">
        <v>34</v>
      </c>
      <c r="H141" s="6">
        <v>4</v>
      </c>
      <c r="I141" s="6">
        <v>67.78</v>
      </c>
      <c r="J141" s="5">
        <v>0.05</v>
      </c>
      <c r="K141" s="6">
        <v>20.61</v>
      </c>
      <c r="L141" s="6">
        <v>11.17</v>
      </c>
      <c r="M141" s="6">
        <v>289.33999999999997</v>
      </c>
      <c r="N141" s="5" t="s">
        <v>50</v>
      </c>
      <c r="O141" s="5" t="s">
        <v>25</v>
      </c>
      <c r="P141" s="5" t="s">
        <v>173</v>
      </c>
      <c r="Q141" s="5" t="s">
        <v>174</v>
      </c>
      <c r="R141" s="5" t="s">
        <v>38</v>
      </c>
    </row>
    <row r="142" spans="1:18" x14ac:dyDescent="0.3">
      <c r="A142" s="2" t="s">
        <v>509</v>
      </c>
      <c r="B142" s="1">
        <v>45344</v>
      </c>
      <c r="C142" s="2" t="s">
        <v>510</v>
      </c>
      <c r="D142" s="2" t="s">
        <v>511</v>
      </c>
      <c r="E142" s="2" t="s">
        <v>216</v>
      </c>
      <c r="F142" s="2" t="s">
        <v>22</v>
      </c>
      <c r="G142" s="2" t="s">
        <v>49</v>
      </c>
      <c r="H142" s="3">
        <v>5</v>
      </c>
      <c r="I142" s="3">
        <v>22.67</v>
      </c>
      <c r="J142" s="2">
        <v>0</v>
      </c>
      <c r="K142" s="3">
        <v>0</v>
      </c>
      <c r="L142" s="3">
        <v>13.16</v>
      </c>
      <c r="M142" s="3">
        <v>126.51</v>
      </c>
      <c r="N142" s="2" t="s">
        <v>24</v>
      </c>
      <c r="O142" s="2" t="s">
        <v>25</v>
      </c>
      <c r="P142" s="2" t="s">
        <v>117</v>
      </c>
      <c r="Q142" s="2" t="s">
        <v>118</v>
      </c>
      <c r="R142" s="2" t="s">
        <v>38</v>
      </c>
    </row>
    <row r="143" spans="1:18" x14ac:dyDescent="0.3">
      <c r="A143" s="5" t="s">
        <v>512</v>
      </c>
      <c r="B143" s="4">
        <v>44061</v>
      </c>
      <c r="C143" s="5" t="s">
        <v>513</v>
      </c>
      <c r="D143" s="5" t="s">
        <v>514</v>
      </c>
      <c r="E143" s="5" t="s">
        <v>365</v>
      </c>
      <c r="F143" s="5" t="s">
        <v>33</v>
      </c>
      <c r="G143" s="5" t="s">
        <v>34</v>
      </c>
      <c r="H143" s="6">
        <v>5</v>
      </c>
      <c r="I143" s="6">
        <v>544.52</v>
      </c>
      <c r="J143" s="5">
        <v>0.25</v>
      </c>
      <c r="K143" s="6">
        <v>245.03</v>
      </c>
      <c r="L143" s="6">
        <v>2.79</v>
      </c>
      <c r="M143" s="6">
        <v>2289.77</v>
      </c>
      <c r="N143" s="5" t="s">
        <v>50</v>
      </c>
      <c r="O143" s="5" t="s">
        <v>82</v>
      </c>
      <c r="P143" s="5" t="s">
        <v>60</v>
      </c>
      <c r="Q143" s="5" t="s">
        <v>37</v>
      </c>
      <c r="R143" s="5" t="s">
        <v>38</v>
      </c>
    </row>
    <row r="144" spans="1:18" x14ac:dyDescent="0.3">
      <c r="A144" s="2" t="s">
        <v>515</v>
      </c>
      <c r="B144" s="1">
        <v>44848</v>
      </c>
      <c r="C144" s="2" t="s">
        <v>516</v>
      </c>
      <c r="D144" s="2" t="s">
        <v>517</v>
      </c>
      <c r="E144" s="2" t="s">
        <v>99</v>
      </c>
      <c r="F144" s="2" t="s">
        <v>143</v>
      </c>
      <c r="G144" s="2" t="s">
        <v>203</v>
      </c>
      <c r="H144" s="3">
        <v>1</v>
      </c>
      <c r="I144" s="3">
        <v>431.01</v>
      </c>
      <c r="J144" s="2">
        <v>0</v>
      </c>
      <c r="K144" s="3">
        <v>0</v>
      </c>
      <c r="L144" s="3">
        <v>2.23</v>
      </c>
      <c r="M144" s="3">
        <v>433.24</v>
      </c>
      <c r="N144" s="2" t="s">
        <v>35</v>
      </c>
      <c r="O144" s="2" t="s">
        <v>107</v>
      </c>
      <c r="P144" s="2" t="s">
        <v>95</v>
      </c>
      <c r="Q144" s="2" t="s">
        <v>37</v>
      </c>
      <c r="R144" s="2" t="s">
        <v>38</v>
      </c>
    </row>
    <row r="145" spans="1:18" x14ac:dyDescent="0.3">
      <c r="A145" s="5" t="s">
        <v>518</v>
      </c>
      <c r="B145" s="4">
        <v>43871</v>
      </c>
      <c r="C145" s="5" t="s">
        <v>519</v>
      </c>
      <c r="D145" s="5" t="s">
        <v>520</v>
      </c>
      <c r="E145" s="5" t="s">
        <v>271</v>
      </c>
      <c r="F145" s="5" t="s">
        <v>22</v>
      </c>
      <c r="G145" s="5" t="s">
        <v>268</v>
      </c>
      <c r="H145" s="6">
        <v>3</v>
      </c>
      <c r="I145" s="6">
        <v>346.56</v>
      </c>
      <c r="J145" s="5">
        <v>0.15</v>
      </c>
      <c r="K145" s="6">
        <v>44.19</v>
      </c>
      <c r="L145" s="6">
        <v>1.85</v>
      </c>
      <c r="M145" s="6">
        <v>929.77</v>
      </c>
      <c r="N145" s="5" t="s">
        <v>58</v>
      </c>
      <c r="O145" s="5" t="s">
        <v>25</v>
      </c>
      <c r="P145" s="5" t="s">
        <v>133</v>
      </c>
      <c r="Q145" s="5" t="s">
        <v>134</v>
      </c>
      <c r="R145" s="5" t="s">
        <v>38</v>
      </c>
    </row>
    <row r="146" spans="1:18" x14ac:dyDescent="0.3">
      <c r="A146" s="2" t="s">
        <v>521</v>
      </c>
      <c r="B146" s="1">
        <v>44882</v>
      </c>
      <c r="C146" s="2" t="s">
        <v>522</v>
      </c>
      <c r="D146" s="2" t="s">
        <v>323</v>
      </c>
      <c r="E146" s="2" t="s">
        <v>138</v>
      </c>
      <c r="F146" s="2" t="s">
        <v>22</v>
      </c>
      <c r="G146" s="2" t="s">
        <v>23</v>
      </c>
      <c r="H146" s="3">
        <v>1</v>
      </c>
      <c r="I146" s="3">
        <v>87.79</v>
      </c>
      <c r="J146" s="2">
        <v>0</v>
      </c>
      <c r="K146" s="3">
        <v>15.8</v>
      </c>
      <c r="L146" s="3">
        <v>10.92</v>
      </c>
      <c r="M146" s="3">
        <v>114.51</v>
      </c>
      <c r="N146" s="2" t="s">
        <v>58</v>
      </c>
      <c r="O146" s="2" t="s">
        <v>25</v>
      </c>
      <c r="P146" s="2" t="s">
        <v>112</v>
      </c>
      <c r="Q146" s="2" t="s">
        <v>113</v>
      </c>
      <c r="R146" s="2" t="s">
        <v>183</v>
      </c>
    </row>
    <row r="147" spans="1:18" x14ac:dyDescent="0.3">
      <c r="A147" s="5" t="s">
        <v>523</v>
      </c>
      <c r="B147" s="4">
        <v>43965</v>
      </c>
      <c r="C147" s="5" t="s">
        <v>524</v>
      </c>
      <c r="D147" s="5" t="s">
        <v>525</v>
      </c>
      <c r="E147" s="5" t="s">
        <v>220</v>
      </c>
      <c r="F147" s="5" t="s">
        <v>33</v>
      </c>
      <c r="G147" s="5" t="s">
        <v>100</v>
      </c>
      <c r="H147" s="6">
        <v>4</v>
      </c>
      <c r="I147" s="6">
        <v>596.79999999999995</v>
      </c>
      <c r="J147" s="5">
        <v>0.05</v>
      </c>
      <c r="K147" s="6">
        <v>272.14</v>
      </c>
      <c r="L147" s="6">
        <v>2.1</v>
      </c>
      <c r="M147" s="6">
        <v>2542.08</v>
      </c>
      <c r="N147" s="5" t="s">
        <v>58</v>
      </c>
      <c r="O147" s="5" t="s">
        <v>25</v>
      </c>
      <c r="P147" s="5" t="s">
        <v>26</v>
      </c>
      <c r="Q147" s="5" t="s">
        <v>27</v>
      </c>
      <c r="R147" s="5" t="s">
        <v>28</v>
      </c>
    </row>
    <row r="148" spans="1:18" x14ac:dyDescent="0.3">
      <c r="A148" s="2" t="s">
        <v>526</v>
      </c>
      <c r="B148" s="1">
        <v>44031</v>
      </c>
      <c r="C148" s="2" t="s">
        <v>527</v>
      </c>
      <c r="D148" s="2" t="s">
        <v>528</v>
      </c>
      <c r="E148" s="2" t="s">
        <v>220</v>
      </c>
      <c r="F148" s="2" t="s">
        <v>143</v>
      </c>
      <c r="G148" s="2" t="s">
        <v>57</v>
      </c>
      <c r="H148" s="3">
        <v>1</v>
      </c>
      <c r="I148" s="3">
        <v>194.17</v>
      </c>
      <c r="J148" s="2">
        <v>0</v>
      </c>
      <c r="K148" s="3">
        <v>9.7100000000000009</v>
      </c>
      <c r="L148" s="3">
        <v>5.33</v>
      </c>
      <c r="M148" s="3">
        <v>209.21</v>
      </c>
      <c r="N148" s="2" t="s">
        <v>58</v>
      </c>
      <c r="O148" s="2" t="s">
        <v>25</v>
      </c>
      <c r="P148" s="2" t="s">
        <v>178</v>
      </c>
      <c r="Q148" s="2" t="s">
        <v>69</v>
      </c>
      <c r="R148" s="2" t="s">
        <v>28</v>
      </c>
    </row>
    <row r="149" spans="1:18" x14ac:dyDescent="0.3">
      <c r="A149" s="5" t="s">
        <v>529</v>
      </c>
      <c r="B149" s="4">
        <v>44610</v>
      </c>
      <c r="C149" s="5" t="s">
        <v>530</v>
      </c>
      <c r="D149" s="5" t="s">
        <v>531</v>
      </c>
      <c r="E149" s="5" t="s">
        <v>291</v>
      </c>
      <c r="F149" s="5" t="s">
        <v>43</v>
      </c>
      <c r="G149" s="5" t="s">
        <v>203</v>
      </c>
      <c r="H149" s="6">
        <v>2</v>
      </c>
      <c r="I149" s="6">
        <v>42.52</v>
      </c>
      <c r="J149" s="5">
        <v>0.05</v>
      </c>
      <c r="K149" s="6">
        <v>4.04</v>
      </c>
      <c r="L149" s="6">
        <v>11.11</v>
      </c>
      <c r="M149" s="6">
        <v>95.94</v>
      </c>
      <c r="N149" s="5" t="s">
        <v>58</v>
      </c>
      <c r="O149" s="5" t="s">
        <v>25</v>
      </c>
      <c r="P149" s="5" t="s">
        <v>74</v>
      </c>
      <c r="Q149" s="5" t="s">
        <v>75</v>
      </c>
      <c r="R149" s="5" t="s">
        <v>38</v>
      </c>
    </row>
    <row r="150" spans="1:18" x14ac:dyDescent="0.3">
      <c r="A150" s="2" t="s">
        <v>532</v>
      </c>
      <c r="B150" s="1">
        <v>44760</v>
      </c>
      <c r="C150" s="2" t="s">
        <v>533</v>
      </c>
      <c r="D150" s="2" t="s">
        <v>534</v>
      </c>
      <c r="E150" s="2" t="s">
        <v>216</v>
      </c>
      <c r="F150" s="2" t="s">
        <v>81</v>
      </c>
      <c r="G150" s="2" t="s">
        <v>90</v>
      </c>
      <c r="H150" s="3">
        <v>3</v>
      </c>
      <c r="I150" s="3">
        <v>262.02</v>
      </c>
      <c r="J150" s="2">
        <v>0.15</v>
      </c>
      <c r="K150" s="3">
        <v>120.27</v>
      </c>
      <c r="L150" s="3">
        <v>7.09</v>
      </c>
      <c r="M150" s="3">
        <v>795.51</v>
      </c>
      <c r="N150" s="2" t="s">
        <v>58</v>
      </c>
      <c r="O150" s="2" t="s">
        <v>144</v>
      </c>
      <c r="P150" s="2" t="s">
        <v>74</v>
      </c>
      <c r="Q150" s="2" t="s">
        <v>75</v>
      </c>
      <c r="R150" s="2" t="s">
        <v>38</v>
      </c>
    </row>
    <row r="151" spans="1:18" x14ac:dyDescent="0.3">
      <c r="A151" s="5" t="s">
        <v>535</v>
      </c>
      <c r="B151" s="4">
        <v>44887</v>
      </c>
      <c r="C151" s="5" t="s">
        <v>536</v>
      </c>
      <c r="D151" s="5" t="s">
        <v>400</v>
      </c>
      <c r="E151" s="5" t="s">
        <v>243</v>
      </c>
      <c r="F151" s="5" t="s">
        <v>81</v>
      </c>
      <c r="G151" s="5" t="s">
        <v>268</v>
      </c>
      <c r="H151" s="6">
        <v>3</v>
      </c>
      <c r="I151" s="6">
        <v>43.8</v>
      </c>
      <c r="J151" s="5">
        <v>0</v>
      </c>
      <c r="K151" s="6">
        <v>10.51</v>
      </c>
      <c r="L151" s="6">
        <v>6.23</v>
      </c>
      <c r="M151" s="6">
        <v>148.13999999999999</v>
      </c>
      <c r="N151" s="5" t="s">
        <v>50</v>
      </c>
      <c r="O151" s="5" t="s">
        <v>107</v>
      </c>
      <c r="P151" s="5" t="s">
        <v>173</v>
      </c>
      <c r="Q151" s="5" t="s">
        <v>174</v>
      </c>
      <c r="R151" s="5" t="s">
        <v>38</v>
      </c>
    </row>
    <row r="152" spans="1:18" x14ac:dyDescent="0.3">
      <c r="A152" s="2" t="s">
        <v>537</v>
      </c>
      <c r="B152" s="1">
        <v>44902</v>
      </c>
      <c r="C152" s="2" t="s">
        <v>538</v>
      </c>
      <c r="D152" s="2" t="s">
        <v>539</v>
      </c>
      <c r="E152" s="2" t="s">
        <v>220</v>
      </c>
      <c r="F152" s="2" t="s">
        <v>43</v>
      </c>
      <c r="G152" s="2" t="s">
        <v>66</v>
      </c>
      <c r="H152" s="3">
        <v>4</v>
      </c>
      <c r="I152" s="3">
        <v>306.01</v>
      </c>
      <c r="J152" s="2">
        <v>0.3</v>
      </c>
      <c r="K152" s="3">
        <v>42.84</v>
      </c>
      <c r="L152" s="3">
        <v>9.24</v>
      </c>
      <c r="M152" s="3">
        <v>908.91</v>
      </c>
      <c r="N152" s="2" t="s">
        <v>24</v>
      </c>
      <c r="O152" s="2" t="s">
        <v>25</v>
      </c>
      <c r="P152" s="2" t="s">
        <v>44</v>
      </c>
      <c r="Q152" s="2" t="s">
        <v>37</v>
      </c>
      <c r="R152" s="2" t="s">
        <v>183</v>
      </c>
    </row>
    <row r="153" spans="1:18" x14ac:dyDescent="0.3">
      <c r="A153" s="5" t="s">
        <v>540</v>
      </c>
      <c r="B153" s="4">
        <v>44333</v>
      </c>
      <c r="C153" s="5" t="s">
        <v>541</v>
      </c>
      <c r="D153" s="5" t="s">
        <v>528</v>
      </c>
      <c r="E153" s="5" t="s">
        <v>56</v>
      </c>
      <c r="F153" s="5" t="s">
        <v>89</v>
      </c>
      <c r="G153" s="5" t="s">
        <v>49</v>
      </c>
      <c r="H153" s="6">
        <v>4</v>
      </c>
      <c r="I153" s="6">
        <v>251.6</v>
      </c>
      <c r="J153" s="5">
        <v>0.1</v>
      </c>
      <c r="K153" s="6">
        <v>108.69</v>
      </c>
      <c r="L153" s="6">
        <v>13.75</v>
      </c>
      <c r="M153" s="6">
        <v>1028.2</v>
      </c>
      <c r="N153" s="5" t="s">
        <v>123</v>
      </c>
      <c r="O153" s="5" t="s">
        <v>25</v>
      </c>
      <c r="P153" s="5" t="s">
        <v>112</v>
      </c>
      <c r="Q153" s="5" t="s">
        <v>113</v>
      </c>
      <c r="R153" s="5" t="s">
        <v>183</v>
      </c>
    </row>
    <row r="154" spans="1:18" x14ac:dyDescent="0.3">
      <c r="A154" s="2" t="s">
        <v>542</v>
      </c>
      <c r="B154" s="1">
        <v>44237</v>
      </c>
      <c r="C154" s="2" t="s">
        <v>543</v>
      </c>
      <c r="D154" s="2" t="s">
        <v>290</v>
      </c>
      <c r="E154" s="2" t="s">
        <v>160</v>
      </c>
      <c r="F154" s="2" t="s">
        <v>143</v>
      </c>
      <c r="G154" s="2" t="s">
        <v>66</v>
      </c>
      <c r="H154" s="3">
        <v>3</v>
      </c>
      <c r="I154" s="3">
        <v>431.79</v>
      </c>
      <c r="J154" s="2">
        <v>0</v>
      </c>
      <c r="K154" s="3">
        <v>64.77</v>
      </c>
      <c r="L154" s="3">
        <v>11.24</v>
      </c>
      <c r="M154" s="3">
        <v>1371.38</v>
      </c>
      <c r="N154" s="2" t="s">
        <v>58</v>
      </c>
      <c r="O154" s="2" t="s">
        <v>25</v>
      </c>
      <c r="P154" s="2" t="s">
        <v>173</v>
      </c>
      <c r="Q154" s="2" t="s">
        <v>174</v>
      </c>
      <c r="R154" s="2" t="s">
        <v>38</v>
      </c>
    </row>
    <row r="155" spans="1:18" x14ac:dyDescent="0.3">
      <c r="A155" s="5" t="s">
        <v>544</v>
      </c>
      <c r="B155" s="4">
        <v>45428</v>
      </c>
      <c r="C155" s="5" t="s">
        <v>545</v>
      </c>
      <c r="D155" s="5" t="s">
        <v>397</v>
      </c>
      <c r="E155" s="5" t="s">
        <v>65</v>
      </c>
      <c r="F155" s="5" t="s">
        <v>22</v>
      </c>
      <c r="G155" s="5" t="s">
        <v>90</v>
      </c>
      <c r="H155" s="6">
        <v>4</v>
      </c>
      <c r="I155" s="6">
        <v>291.13</v>
      </c>
      <c r="J155" s="5">
        <v>0.15</v>
      </c>
      <c r="K155" s="6">
        <v>49.49</v>
      </c>
      <c r="L155" s="6">
        <v>2.52</v>
      </c>
      <c r="M155" s="6">
        <v>1041.8499999999999</v>
      </c>
      <c r="N155" s="5" t="s">
        <v>24</v>
      </c>
      <c r="O155" s="5" t="s">
        <v>25</v>
      </c>
      <c r="P155" s="5" t="s">
        <v>145</v>
      </c>
      <c r="Q155" s="5" t="s">
        <v>146</v>
      </c>
      <c r="R155" s="5" t="s">
        <v>183</v>
      </c>
    </row>
    <row r="156" spans="1:18" x14ac:dyDescent="0.3">
      <c r="A156" s="2" t="s">
        <v>546</v>
      </c>
      <c r="B156" s="1">
        <v>45582</v>
      </c>
      <c r="C156" s="2" t="s">
        <v>547</v>
      </c>
      <c r="D156" s="2" t="s">
        <v>128</v>
      </c>
      <c r="E156" s="2" t="s">
        <v>132</v>
      </c>
      <c r="F156" s="2" t="s">
        <v>43</v>
      </c>
      <c r="G156" s="2" t="s">
        <v>90</v>
      </c>
      <c r="H156" s="3">
        <v>3</v>
      </c>
      <c r="I156" s="3">
        <v>414.46</v>
      </c>
      <c r="J156" s="2">
        <v>0.25</v>
      </c>
      <c r="K156" s="3">
        <v>111.9</v>
      </c>
      <c r="L156" s="3">
        <v>4.6900000000000004</v>
      </c>
      <c r="M156" s="3">
        <v>1049.1199999999999</v>
      </c>
      <c r="N156" s="2" t="s">
        <v>35</v>
      </c>
      <c r="O156" s="2" t="s">
        <v>25</v>
      </c>
      <c r="P156" s="2" t="s">
        <v>133</v>
      </c>
      <c r="Q156" s="2" t="s">
        <v>134</v>
      </c>
      <c r="R156" s="2" t="s">
        <v>38</v>
      </c>
    </row>
    <row r="157" spans="1:18" x14ac:dyDescent="0.3">
      <c r="A157" s="5" t="s">
        <v>548</v>
      </c>
      <c r="B157" s="4">
        <v>44635</v>
      </c>
      <c r="C157" s="5" t="s">
        <v>549</v>
      </c>
      <c r="D157" s="5" t="s">
        <v>550</v>
      </c>
      <c r="E157" s="5" t="s">
        <v>340</v>
      </c>
      <c r="F157" s="5" t="s">
        <v>143</v>
      </c>
      <c r="G157" s="5" t="s">
        <v>23</v>
      </c>
      <c r="H157" s="6">
        <v>3</v>
      </c>
      <c r="I157" s="6">
        <v>180.87</v>
      </c>
      <c r="J157" s="5">
        <v>0</v>
      </c>
      <c r="K157" s="6">
        <v>27.13</v>
      </c>
      <c r="L157" s="6">
        <v>2.04</v>
      </c>
      <c r="M157" s="6">
        <v>571.78</v>
      </c>
      <c r="N157" s="5" t="s">
        <v>24</v>
      </c>
      <c r="O157" s="5" t="s">
        <v>25</v>
      </c>
      <c r="P157" s="5" t="s">
        <v>117</v>
      </c>
      <c r="Q157" s="5" t="s">
        <v>118</v>
      </c>
      <c r="R157" s="5" t="s">
        <v>38</v>
      </c>
    </row>
    <row r="158" spans="1:18" x14ac:dyDescent="0.3">
      <c r="A158" s="2" t="s">
        <v>551</v>
      </c>
      <c r="B158" s="1">
        <v>43929</v>
      </c>
      <c r="C158" s="2" t="s">
        <v>552</v>
      </c>
      <c r="D158" s="2" t="s">
        <v>415</v>
      </c>
      <c r="E158" s="2" t="s">
        <v>202</v>
      </c>
      <c r="F158" s="2" t="s">
        <v>89</v>
      </c>
      <c r="G158" s="2" t="s">
        <v>268</v>
      </c>
      <c r="H158" s="3">
        <v>5</v>
      </c>
      <c r="I158" s="3">
        <v>104.18</v>
      </c>
      <c r="J158" s="2">
        <v>0.1</v>
      </c>
      <c r="K158" s="3">
        <v>0</v>
      </c>
      <c r="L158" s="3">
        <v>8.69</v>
      </c>
      <c r="M158" s="3">
        <v>477.5</v>
      </c>
      <c r="N158" s="2" t="s">
        <v>58</v>
      </c>
      <c r="O158" s="2" t="s">
        <v>107</v>
      </c>
      <c r="P158" s="2" t="s">
        <v>145</v>
      </c>
      <c r="Q158" s="2" t="s">
        <v>146</v>
      </c>
      <c r="R158" s="2" t="s">
        <v>183</v>
      </c>
    </row>
    <row r="159" spans="1:18" x14ac:dyDescent="0.3">
      <c r="A159" s="5" t="s">
        <v>553</v>
      </c>
      <c r="B159" s="4">
        <v>44514</v>
      </c>
      <c r="C159" s="5" t="s">
        <v>554</v>
      </c>
      <c r="D159" s="5" t="s">
        <v>555</v>
      </c>
      <c r="E159" s="5" t="s">
        <v>190</v>
      </c>
      <c r="F159" s="5" t="s">
        <v>22</v>
      </c>
      <c r="G159" s="5" t="s">
        <v>268</v>
      </c>
      <c r="H159" s="6">
        <v>2</v>
      </c>
      <c r="I159" s="6">
        <v>400.69</v>
      </c>
      <c r="J159" s="5">
        <v>0.1</v>
      </c>
      <c r="K159" s="6">
        <v>57.7</v>
      </c>
      <c r="L159" s="6">
        <v>10.68</v>
      </c>
      <c r="M159" s="6">
        <v>789.62</v>
      </c>
      <c r="N159" s="5" t="s">
        <v>58</v>
      </c>
      <c r="O159" s="5" t="s">
        <v>82</v>
      </c>
      <c r="P159" s="5" t="s">
        <v>95</v>
      </c>
      <c r="Q159" s="5" t="s">
        <v>37</v>
      </c>
      <c r="R159" s="5" t="s">
        <v>61</v>
      </c>
    </row>
    <row r="160" spans="1:18" x14ac:dyDescent="0.3">
      <c r="A160" s="2" t="s">
        <v>556</v>
      </c>
      <c r="B160" s="1">
        <v>44556</v>
      </c>
      <c r="C160" s="2" t="s">
        <v>557</v>
      </c>
      <c r="D160" s="2" t="s">
        <v>558</v>
      </c>
      <c r="E160" s="2" t="s">
        <v>349</v>
      </c>
      <c r="F160" s="2" t="s">
        <v>33</v>
      </c>
      <c r="G160" s="2" t="s">
        <v>198</v>
      </c>
      <c r="H160" s="3">
        <v>3</v>
      </c>
      <c r="I160" s="3">
        <v>479.99</v>
      </c>
      <c r="J160" s="2">
        <v>0.25</v>
      </c>
      <c r="K160" s="3">
        <v>129.6</v>
      </c>
      <c r="L160" s="3">
        <v>8.69</v>
      </c>
      <c r="M160" s="3">
        <v>1218.27</v>
      </c>
      <c r="N160" s="2" t="s">
        <v>67</v>
      </c>
      <c r="O160" s="2" t="s">
        <v>25</v>
      </c>
      <c r="P160" s="2" t="s">
        <v>44</v>
      </c>
      <c r="Q160" s="2" t="s">
        <v>37</v>
      </c>
      <c r="R160" s="2" t="s">
        <v>38</v>
      </c>
    </row>
    <row r="161" spans="1:18" x14ac:dyDescent="0.3">
      <c r="A161" s="5" t="s">
        <v>559</v>
      </c>
      <c r="B161" s="4">
        <v>45401</v>
      </c>
      <c r="C161" s="5" t="s">
        <v>560</v>
      </c>
      <c r="D161" s="5" t="s">
        <v>137</v>
      </c>
      <c r="E161" s="5" t="s">
        <v>169</v>
      </c>
      <c r="F161" s="5" t="s">
        <v>89</v>
      </c>
      <c r="G161" s="5" t="s">
        <v>203</v>
      </c>
      <c r="H161" s="6">
        <v>1</v>
      </c>
      <c r="I161" s="6">
        <v>247.54</v>
      </c>
      <c r="J161" s="5">
        <v>0.05</v>
      </c>
      <c r="K161" s="6">
        <v>28.22</v>
      </c>
      <c r="L161" s="6">
        <v>2.0699999999999998</v>
      </c>
      <c r="M161" s="6">
        <v>265.45</v>
      </c>
      <c r="N161" s="5" t="s">
        <v>35</v>
      </c>
      <c r="O161" s="5" t="s">
        <v>25</v>
      </c>
      <c r="P161" s="5" t="s">
        <v>74</v>
      </c>
      <c r="Q161" s="5" t="s">
        <v>75</v>
      </c>
      <c r="R161" s="5" t="s">
        <v>38</v>
      </c>
    </row>
    <row r="162" spans="1:18" x14ac:dyDescent="0.3">
      <c r="A162" s="2" t="s">
        <v>561</v>
      </c>
      <c r="B162" s="1">
        <v>44791</v>
      </c>
      <c r="C162" s="2" t="s">
        <v>562</v>
      </c>
      <c r="D162" s="2" t="s">
        <v>563</v>
      </c>
      <c r="E162" s="2" t="s">
        <v>340</v>
      </c>
      <c r="F162" s="2" t="s">
        <v>81</v>
      </c>
      <c r="G162" s="2" t="s">
        <v>198</v>
      </c>
      <c r="H162" s="3">
        <v>3</v>
      </c>
      <c r="I162" s="3">
        <v>14.51</v>
      </c>
      <c r="J162" s="2">
        <v>0.05</v>
      </c>
      <c r="K162" s="3">
        <v>4.96</v>
      </c>
      <c r="L162" s="3">
        <v>0.82</v>
      </c>
      <c r="M162" s="3">
        <v>47.13</v>
      </c>
      <c r="N162" s="2" t="s">
        <v>58</v>
      </c>
      <c r="O162" s="2" t="s">
        <v>25</v>
      </c>
      <c r="P162" s="2" t="s">
        <v>117</v>
      </c>
      <c r="Q162" s="2" t="s">
        <v>118</v>
      </c>
      <c r="R162" s="2" t="s">
        <v>38</v>
      </c>
    </row>
    <row r="163" spans="1:18" x14ac:dyDescent="0.3">
      <c r="A163" s="5" t="s">
        <v>564</v>
      </c>
      <c r="B163" s="4">
        <v>45593</v>
      </c>
      <c r="C163" s="5" t="s">
        <v>565</v>
      </c>
      <c r="D163" s="5" t="s">
        <v>566</v>
      </c>
      <c r="E163" s="5" t="s">
        <v>111</v>
      </c>
      <c r="F163" s="5" t="s">
        <v>143</v>
      </c>
      <c r="G163" s="5" t="s">
        <v>268</v>
      </c>
      <c r="H163" s="6">
        <v>5</v>
      </c>
      <c r="I163" s="6">
        <v>216.33</v>
      </c>
      <c r="J163" s="5">
        <v>0.2</v>
      </c>
      <c r="K163" s="6">
        <v>0</v>
      </c>
      <c r="L163" s="6">
        <v>9.73</v>
      </c>
      <c r="M163" s="6">
        <v>875.05</v>
      </c>
      <c r="N163" s="5" t="s">
        <v>58</v>
      </c>
      <c r="O163" s="5" t="s">
        <v>25</v>
      </c>
      <c r="P163" s="5" t="s">
        <v>60</v>
      </c>
      <c r="Q163" s="5" t="s">
        <v>37</v>
      </c>
      <c r="R163" s="5" t="s">
        <v>38</v>
      </c>
    </row>
    <row r="164" spans="1:18" x14ac:dyDescent="0.3">
      <c r="A164" s="2" t="s">
        <v>567</v>
      </c>
      <c r="B164" s="1">
        <v>44443</v>
      </c>
      <c r="C164" s="2" t="s">
        <v>568</v>
      </c>
      <c r="D164" s="2" t="s">
        <v>569</v>
      </c>
      <c r="E164" s="2" t="s">
        <v>138</v>
      </c>
      <c r="F164" s="2" t="s">
        <v>33</v>
      </c>
      <c r="G164" s="2" t="s">
        <v>66</v>
      </c>
      <c r="H164" s="3">
        <v>3</v>
      </c>
      <c r="I164" s="3">
        <v>38.53</v>
      </c>
      <c r="J164" s="2">
        <v>0</v>
      </c>
      <c r="K164" s="3">
        <v>5.78</v>
      </c>
      <c r="L164" s="3">
        <v>8.4</v>
      </c>
      <c r="M164" s="3">
        <v>129.77000000000001</v>
      </c>
      <c r="N164" s="2" t="s">
        <v>24</v>
      </c>
      <c r="O164" s="2" t="s">
        <v>25</v>
      </c>
      <c r="P164" s="2" t="s">
        <v>60</v>
      </c>
      <c r="Q164" s="2" t="s">
        <v>37</v>
      </c>
      <c r="R164" s="2" t="s">
        <v>38</v>
      </c>
    </row>
    <row r="165" spans="1:18" x14ac:dyDescent="0.3">
      <c r="A165" s="5" t="s">
        <v>570</v>
      </c>
      <c r="B165" s="4">
        <v>45316</v>
      </c>
      <c r="C165" s="5" t="s">
        <v>571</v>
      </c>
      <c r="D165" s="5" t="s">
        <v>219</v>
      </c>
      <c r="E165" s="5" t="s">
        <v>287</v>
      </c>
      <c r="F165" s="5" t="s">
        <v>143</v>
      </c>
      <c r="G165" s="5" t="s">
        <v>268</v>
      </c>
      <c r="H165" s="6">
        <v>3</v>
      </c>
      <c r="I165" s="6">
        <v>465.66</v>
      </c>
      <c r="J165" s="5">
        <v>0.1</v>
      </c>
      <c r="K165" s="6">
        <v>62.86</v>
      </c>
      <c r="L165" s="6">
        <v>0.89</v>
      </c>
      <c r="M165" s="6">
        <v>1321.03</v>
      </c>
      <c r="N165" s="5" t="s">
        <v>35</v>
      </c>
      <c r="O165" s="5" t="s">
        <v>144</v>
      </c>
      <c r="P165" s="5" t="s">
        <v>165</v>
      </c>
      <c r="Q165" s="5" t="s">
        <v>37</v>
      </c>
      <c r="R165" s="5" t="s">
        <v>38</v>
      </c>
    </row>
    <row r="166" spans="1:18" x14ac:dyDescent="0.3">
      <c r="A166" s="2" t="s">
        <v>572</v>
      </c>
      <c r="B166" s="1">
        <v>44473</v>
      </c>
      <c r="C166" s="2" t="s">
        <v>573</v>
      </c>
      <c r="D166" s="2" t="s">
        <v>574</v>
      </c>
      <c r="E166" s="2" t="s">
        <v>220</v>
      </c>
      <c r="F166" s="2" t="s">
        <v>143</v>
      </c>
      <c r="G166" s="2" t="s">
        <v>23</v>
      </c>
      <c r="H166" s="3">
        <v>5</v>
      </c>
      <c r="I166" s="3">
        <v>35.270000000000003</v>
      </c>
      <c r="J166" s="2">
        <v>0</v>
      </c>
      <c r="K166" s="3">
        <v>21.16</v>
      </c>
      <c r="L166" s="3">
        <v>12.99</v>
      </c>
      <c r="M166" s="3">
        <v>210.5</v>
      </c>
      <c r="N166" s="2" t="s">
        <v>24</v>
      </c>
      <c r="O166" s="2" t="s">
        <v>25</v>
      </c>
      <c r="P166" s="2" t="s">
        <v>133</v>
      </c>
      <c r="Q166" s="2" t="s">
        <v>134</v>
      </c>
      <c r="R166" s="2" t="s">
        <v>38</v>
      </c>
    </row>
    <row r="167" spans="1:18" x14ac:dyDescent="0.3">
      <c r="A167" s="5" t="s">
        <v>575</v>
      </c>
      <c r="B167" s="4">
        <v>45623</v>
      </c>
      <c r="C167" s="5" t="s">
        <v>576</v>
      </c>
      <c r="D167" s="5" t="s">
        <v>333</v>
      </c>
      <c r="E167" s="5" t="s">
        <v>577</v>
      </c>
      <c r="F167" s="5" t="s">
        <v>33</v>
      </c>
      <c r="G167" s="5" t="s">
        <v>34</v>
      </c>
      <c r="H167" s="6">
        <v>2</v>
      </c>
      <c r="I167" s="6">
        <v>82.5</v>
      </c>
      <c r="J167" s="5">
        <v>0.05</v>
      </c>
      <c r="K167" s="6">
        <v>18.809999999999999</v>
      </c>
      <c r="L167" s="6">
        <v>13.79</v>
      </c>
      <c r="M167" s="6">
        <v>189.35</v>
      </c>
      <c r="N167" s="5" t="s">
        <v>58</v>
      </c>
      <c r="O167" s="5" t="s">
        <v>25</v>
      </c>
      <c r="P167" s="5" t="s">
        <v>178</v>
      </c>
      <c r="Q167" s="5" t="s">
        <v>69</v>
      </c>
      <c r="R167" s="5" t="s">
        <v>38</v>
      </c>
    </row>
    <row r="168" spans="1:18" x14ac:dyDescent="0.3">
      <c r="A168" s="2" t="s">
        <v>578</v>
      </c>
      <c r="B168" s="1">
        <v>44859</v>
      </c>
      <c r="C168" s="2" t="s">
        <v>579</v>
      </c>
      <c r="D168" s="2" t="s">
        <v>472</v>
      </c>
      <c r="E168" s="2" t="s">
        <v>122</v>
      </c>
      <c r="F168" s="2" t="s">
        <v>33</v>
      </c>
      <c r="G168" s="2" t="s">
        <v>57</v>
      </c>
      <c r="H168" s="3">
        <v>4</v>
      </c>
      <c r="I168" s="3">
        <v>298.95999999999998</v>
      </c>
      <c r="J168" s="2">
        <v>0.1</v>
      </c>
      <c r="K168" s="3">
        <v>86.1</v>
      </c>
      <c r="L168" s="3">
        <v>3.63</v>
      </c>
      <c r="M168" s="3">
        <v>1165.99</v>
      </c>
      <c r="N168" s="2" t="s">
        <v>35</v>
      </c>
      <c r="O168" s="2" t="s">
        <v>25</v>
      </c>
      <c r="P168" s="2" t="s">
        <v>101</v>
      </c>
      <c r="Q168" s="2" t="s">
        <v>102</v>
      </c>
      <c r="R168" s="2" t="s">
        <v>38</v>
      </c>
    </row>
    <row r="169" spans="1:18" x14ac:dyDescent="0.3">
      <c r="A169" s="5" t="s">
        <v>580</v>
      </c>
      <c r="B169" s="4">
        <v>45072</v>
      </c>
      <c r="C169" s="5" t="s">
        <v>581</v>
      </c>
      <c r="D169" s="5" t="s">
        <v>582</v>
      </c>
      <c r="E169" s="5" t="s">
        <v>220</v>
      </c>
      <c r="F169" s="5" t="s">
        <v>81</v>
      </c>
      <c r="G169" s="5" t="s">
        <v>268</v>
      </c>
      <c r="H169" s="6">
        <v>5</v>
      </c>
      <c r="I169" s="6">
        <v>232.62</v>
      </c>
      <c r="J169" s="5">
        <v>0.05</v>
      </c>
      <c r="K169" s="6">
        <v>88.4</v>
      </c>
      <c r="L169" s="6">
        <v>9.35</v>
      </c>
      <c r="M169" s="6">
        <v>1202.7</v>
      </c>
      <c r="N169" s="5" t="s">
        <v>58</v>
      </c>
      <c r="O169" s="5" t="s">
        <v>107</v>
      </c>
      <c r="P169" s="5" t="s">
        <v>44</v>
      </c>
      <c r="Q169" s="5" t="s">
        <v>37</v>
      </c>
      <c r="R169" s="5" t="s">
        <v>38</v>
      </c>
    </row>
    <row r="170" spans="1:18" x14ac:dyDescent="0.3">
      <c r="A170" s="2" t="s">
        <v>583</v>
      </c>
      <c r="B170" s="1">
        <v>44333</v>
      </c>
      <c r="C170" s="2" t="s">
        <v>584</v>
      </c>
      <c r="D170" s="2" t="s">
        <v>223</v>
      </c>
      <c r="E170" s="2" t="s">
        <v>324</v>
      </c>
      <c r="F170" s="2" t="s">
        <v>22</v>
      </c>
      <c r="G170" s="2" t="s">
        <v>90</v>
      </c>
      <c r="H170" s="3">
        <v>4</v>
      </c>
      <c r="I170" s="3">
        <v>493.2</v>
      </c>
      <c r="J170" s="2">
        <v>0.2</v>
      </c>
      <c r="K170" s="3">
        <v>189.39</v>
      </c>
      <c r="L170" s="3">
        <v>3.74</v>
      </c>
      <c r="M170" s="3">
        <v>1771.37</v>
      </c>
      <c r="N170" s="2" t="s">
        <v>123</v>
      </c>
      <c r="O170" s="2" t="s">
        <v>25</v>
      </c>
      <c r="P170" s="2" t="s">
        <v>165</v>
      </c>
      <c r="Q170" s="2" t="s">
        <v>37</v>
      </c>
      <c r="R170" s="2" t="s">
        <v>61</v>
      </c>
    </row>
    <row r="171" spans="1:18" x14ac:dyDescent="0.3">
      <c r="A171" s="5" t="s">
        <v>585</v>
      </c>
      <c r="B171" s="4">
        <v>44597</v>
      </c>
      <c r="C171" s="5" t="s">
        <v>586</v>
      </c>
      <c r="D171" s="5" t="s">
        <v>263</v>
      </c>
      <c r="E171" s="5" t="s">
        <v>392</v>
      </c>
      <c r="F171" s="5" t="s">
        <v>43</v>
      </c>
      <c r="G171" s="5" t="s">
        <v>23</v>
      </c>
      <c r="H171" s="6">
        <v>4</v>
      </c>
      <c r="I171" s="6">
        <v>497.42</v>
      </c>
      <c r="J171" s="5">
        <v>0.05</v>
      </c>
      <c r="K171" s="6">
        <v>226.82</v>
      </c>
      <c r="L171" s="6">
        <v>12.34</v>
      </c>
      <c r="M171" s="6">
        <v>2129.36</v>
      </c>
      <c r="N171" s="5" t="s">
        <v>24</v>
      </c>
      <c r="O171" s="5" t="s">
        <v>25</v>
      </c>
      <c r="P171" s="5" t="s">
        <v>101</v>
      </c>
      <c r="Q171" s="5" t="s">
        <v>102</v>
      </c>
      <c r="R171" s="5" t="s">
        <v>61</v>
      </c>
    </row>
    <row r="172" spans="1:18" x14ac:dyDescent="0.3">
      <c r="A172" s="2" t="s">
        <v>587</v>
      </c>
      <c r="B172" s="1">
        <v>44228</v>
      </c>
      <c r="C172" s="2" t="s">
        <v>588</v>
      </c>
      <c r="D172" s="2" t="s">
        <v>589</v>
      </c>
      <c r="E172" s="2" t="s">
        <v>267</v>
      </c>
      <c r="F172" s="2" t="s">
        <v>43</v>
      </c>
      <c r="G172" s="2" t="s">
        <v>57</v>
      </c>
      <c r="H172" s="3">
        <v>1</v>
      </c>
      <c r="I172" s="3">
        <v>154.24</v>
      </c>
      <c r="J172" s="2">
        <v>0.05</v>
      </c>
      <c r="K172" s="3">
        <v>17.579999999999998</v>
      </c>
      <c r="L172" s="3">
        <v>9.86</v>
      </c>
      <c r="M172" s="3">
        <v>173.97</v>
      </c>
      <c r="N172" s="2" t="s">
        <v>67</v>
      </c>
      <c r="O172" s="2" t="s">
        <v>25</v>
      </c>
      <c r="P172" s="2" t="s">
        <v>83</v>
      </c>
      <c r="Q172" s="2" t="s">
        <v>84</v>
      </c>
      <c r="R172" s="2" t="s">
        <v>38</v>
      </c>
    </row>
    <row r="173" spans="1:18" x14ac:dyDescent="0.3">
      <c r="A173" s="5" t="s">
        <v>590</v>
      </c>
      <c r="B173" s="4">
        <v>44701</v>
      </c>
      <c r="C173" s="5" t="s">
        <v>591</v>
      </c>
      <c r="D173" s="5" t="s">
        <v>93</v>
      </c>
      <c r="E173" s="5" t="s">
        <v>437</v>
      </c>
      <c r="F173" s="5" t="s">
        <v>89</v>
      </c>
      <c r="G173" s="5" t="s">
        <v>34</v>
      </c>
      <c r="H173" s="6">
        <v>3</v>
      </c>
      <c r="I173" s="6">
        <v>497.52</v>
      </c>
      <c r="J173" s="5">
        <v>0.15</v>
      </c>
      <c r="K173" s="6">
        <v>228.36</v>
      </c>
      <c r="L173" s="6">
        <v>0.91</v>
      </c>
      <c r="M173" s="6">
        <v>1497.95</v>
      </c>
      <c r="N173" s="5" t="s">
        <v>58</v>
      </c>
      <c r="O173" s="5" t="s">
        <v>25</v>
      </c>
      <c r="P173" s="5" t="s">
        <v>44</v>
      </c>
      <c r="Q173" s="5" t="s">
        <v>37</v>
      </c>
      <c r="R173" s="5" t="s">
        <v>38</v>
      </c>
    </row>
    <row r="174" spans="1:18" x14ac:dyDescent="0.3">
      <c r="A174" s="2" t="s">
        <v>592</v>
      </c>
      <c r="B174" s="1">
        <v>44625</v>
      </c>
      <c r="C174" s="2" t="s">
        <v>593</v>
      </c>
      <c r="D174" s="2" t="s">
        <v>189</v>
      </c>
      <c r="E174" s="2" t="s">
        <v>132</v>
      </c>
      <c r="F174" s="2" t="s">
        <v>22</v>
      </c>
      <c r="G174" s="2" t="s">
        <v>34</v>
      </c>
      <c r="H174" s="3">
        <v>4</v>
      </c>
      <c r="I174" s="3">
        <v>64.53</v>
      </c>
      <c r="J174" s="2">
        <v>0</v>
      </c>
      <c r="K174" s="3">
        <v>0</v>
      </c>
      <c r="L174" s="3">
        <v>13.67</v>
      </c>
      <c r="M174" s="3">
        <v>271.79000000000002</v>
      </c>
      <c r="N174" s="2" t="s">
        <v>35</v>
      </c>
      <c r="O174" s="2" t="s">
        <v>25</v>
      </c>
      <c r="P174" s="2" t="s">
        <v>112</v>
      </c>
      <c r="Q174" s="2" t="s">
        <v>113</v>
      </c>
      <c r="R174" s="2" t="s">
        <v>38</v>
      </c>
    </row>
    <row r="175" spans="1:18" x14ac:dyDescent="0.3">
      <c r="A175" s="5" t="s">
        <v>594</v>
      </c>
      <c r="B175" s="4">
        <v>44223</v>
      </c>
      <c r="C175" s="5" t="s">
        <v>595</v>
      </c>
      <c r="D175" s="5" t="s">
        <v>596</v>
      </c>
      <c r="E175" s="5" t="s">
        <v>597</v>
      </c>
      <c r="F175" s="5" t="s">
        <v>143</v>
      </c>
      <c r="G175" s="5" t="s">
        <v>198</v>
      </c>
      <c r="H175" s="6">
        <v>4</v>
      </c>
      <c r="I175" s="6">
        <v>331.21</v>
      </c>
      <c r="J175" s="5">
        <v>0</v>
      </c>
      <c r="K175" s="6">
        <v>66.239999999999995</v>
      </c>
      <c r="L175" s="6">
        <v>5.9</v>
      </c>
      <c r="M175" s="6">
        <v>1396.98</v>
      </c>
      <c r="N175" s="5" t="s">
        <v>123</v>
      </c>
      <c r="O175" s="5" t="s">
        <v>25</v>
      </c>
      <c r="P175" s="5" t="s">
        <v>257</v>
      </c>
      <c r="Q175" s="5" t="s">
        <v>69</v>
      </c>
      <c r="R175" s="5" t="s">
        <v>38</v>
      </c>
    </row>
    <row r="176" spans="1:18" x14ac:dyDescent="0.3">
      <c r="A176" s="2" t="s">
        <v>598</v>
      </c>
      <c r="B176" s="1">
        <v>44037</v>
      </c>
      <c r="C176" s="2" t="s">
        <v>599</v>
      </c>
      <c r="D176" s="2" t="s">
        <v>569</v>
      </c>
      <c r="E176" s="2" t="s">
        <v>220</v>
      </c>
      <c r="F176" s="2" t="s">
        <v>43</v>
      </c>
      <c r="G176" s="2" t="s">
        <v>268</v>
      </c>
      <c r="H176" s="3">
        <v>4</v>
      </c>
      <c r="I176" s="3">
        <v>155.87</v>
      </c>
      <c r="J176" s="2">
        <v>0.1</v>
      </c>
      <c r="K176" s="3">
        <v>28.06</v>
      </c>
      <c r="L176" s="3">
        <v>7.79</v>
      </c>
      <c r="M176" s="3">
        <v>596.98</v>
      </c>
      <c r="N176" s="2" t="s">
        <v>58</v>
      </c>
      <c r="O176" s="2" t="s">
        <v>25</v>
      </c>
      <c r="P176" s="2" t="s">
        <v>68</v>
      </c>
      <c r="Q176" s="2" t="s">
        <v>69</v>
      </c>
      <c r="R176" s="2" t="s">
        <v>38</v>
      </c>
    </row>
    <row r="177" spans="1:18" x14ac:dyDescent="0.3">
      <c r="A177" s="5" t="s">
        <v>600</v>
      </c>
      <c r="B177" s="4">
        <v>44869</v>
      </c>
      <c r="C177" s="5" t="s">
        <v>601</v>
      </c>
      <c r="D177" s="5" t="s">
        <v>421</v>
      </c>
      <c r="E177" s="5" t="s">
        <v>300</v>
      </c>
      <c r="F177" s="5" t="s">
        <v>43</v>
      </c>
      <c r="G177" s="5" t="s">
        <v>203</v>
      </c>
      <c r="H177" s="6">
        <v>1</v>
      </c>
      <c r="I177" s="6">
        <v>598.75</v>
      </c>
      <c r="J177" s="5">
        <v>0.1</v>
      </c>
      <c r="K177" s="6">
        <v>26.94</v>
      </c>
      <c r="L177" s="6">
        <v>3.35</v>
      </c>
      <c r="M177" s="6">
        <v>569.16999999999996</v>
      </c>
      <c r="N177" s="5" t="s">
        <v>58</v>
      </c>
      <c r="O177" s="5" t="s">
        <v>144</v>
      </c>
      <c r="P177" s="5" t="s">
        <v>83</v>
      </c>
      <c r="Q177" s="5" t="s">
        <v>84</v>
      </c>
      <c r="R177" s="5" t="s">
        <v>183</v>
      </c>
    </row>
    <row r="178" spans="1:18" x14ac:dyDescent="0.3">
      <c r="A178" s="2" t="s">
        <v>602</v>
      </c>
      <c r="B178" s="1">
        <v>45408</v>
      </c>
      <c r="C178" s="2" t="s">
        <v>603</v>
      </c>
      <c r="D178" s="2" t="s">
        <v>604</v>
      </c>
      <c r="E178" s="2" t="s">
        <v>177</v>
      </c>
      <c r="F178" s="2" t="s">
        <v>143</v>
      </c>
      <c r="G178" s="2" t="s">
        <v>100</v>
      </c>
      <c r="H178" s="3">
        <v>5</v>
      </c>
      <c r="I178" s="3">
        <v>489.41</v>
      </c>
      <c r="J178" s="2">
        <v>0.05</v>
      </c>
      <c r="K178" s="3">
        <v>278.95999999999998</v>
      </c>
      <c r="L178" s="3">
        <v>7.24</v>
      </c>
      <c r="M178" s="3">
        <v>2610.9</v>
      </c>
      <c r="N178" s="2" t="s">
        <v>35</v>
      </c>
      <c r="O178" s="2" t="s">
        <v>25</v>
      </c>
      <c r="P178" s="2" t="s">
        <v>74</v>
      </c>
      <c r="Q178" s="2" t="s">
        <v>75</v>
      </c>
      <c r="R178" s="2" t="s">
        <v>38</v>
      </c>
    </row>
    <row r="179" spans="1:18" x14ac:dyDescent="0.3">
      <c r="A179" s="5" t="s">
        <v>605</v>
      </c>
      <c r="B179" s="4">
        <v>44722</v>
      </c>
      <c r="C179" s="5" t="s">
        <v>606</v>
      </c>
      <c r="D179" s="5" t="s">
        <v>330</v>
      </c>
      <c r="E179" s="5" t="s">
        <v>197</v>
      </c>
      <c r="F179" s="5" t="s">
        <v>81</v>
      </c>
      <c r="G179" s="5" t="s">
        <v>49</v>
      </c>
      <c r="H179" s="6">
        <v>4</v>
      </c>
      <c r="I179" s="6">
        <v>131.22</v>
      </c>
      <c r="J179" s="5">
        <v>0.1</v>
      </c>
      <c r="K179" s="6">
        <v>0</v>
      </c>
      <c r="L179" s="6">
        <v>14.12</v>
      </c>
      <c r="M179" s="6">
        <v>486.51</v>
      </c>
      <c r="N179" s="5" t="s">
        <v>24</v>
      </c>
      <c r="O179" s="5" t="s">
        <v>25</v>
      </c>
      <c r="P179" s="5" t="s">
        <v>51</v>
      </c>
      <c r="Q179" s="5" t="s">
        <v>52</v>
      </c>
      <c r="R179" s="5" t="s">
        <v>28</v>
      </c>
    </row>
    <row r="180" spans="1:18" x14ac:dyDescent="0.3">
      <c r="A180" s="2" t="s">
        <v>607</v>
      </c>
      <c r="B180" s="1">
        <v>45315</v>
      </c>
      <c r="C180" s="2" t="s">
        <v>608</v>
      </c>
      <c r="D180" s="2" t="s">
        <v>246</v>
      </c>
      <c r="E180" s="2" t="s">
        <v>21</v>
      </c>
      <c r="F180" s="2" t="s">
        <v>81</v>
      </c>
      <c r="G180" s="2" t="s">
        <v>100</v>
      </c>
      <c r="H180" s="3">
        <v>2</v>
      </c>
      <c r="I180" s="3">
        <v>176.38</v>
      </c>
      <c r="J180" s="2">
        <v>0.05</v>
      </c>
      <c r="K180" s="3">
        <v>26.81</v>
      </c>
      <c r="L180" s="3">
        <v>11.05</v>
      </c>
      <c r="M180" s="3">
        <v>372.98</v>
      </c>
      <c r="N180" s="2" t="s">
        <v>123</v>
      </c>
      <c r="O180" s="2" t="s">
        <v>25</v>
      </c>
      <c r="P180" s="2" t="s">
        <v>68</v>
      </c>
      <c r="Q180" s="2" t="s">
        <v>69</v>
      </c>
      <c r="R180" s="2" t="s">
        <v>38</v>
      </c>
    </row>
    <row r="181" spans="1:18" x14ac:dyDescent="0.3">
      <c r="A181" s="5" t="s">
        <v>609</v>
      </c>
      <c r="B181" s="4">
        <v>45545</v>
      </c>
      <c r="C181" s="5" t="s">
        <v>610</v>
      </c>
      <c r="D181" s="5" t="s">
        <v>303</v>
      </c>
      <c r="E181" s="5" t="s">
        <v>94</v>
      </c>
      <c r="F181" s="5" t="s">
        <v>89</v>
      </c>
      <c r="G181" s="5" t="s">
        <v>203</v>
      </c>
      <c r="H181" s="6">
        <v>1</v>
      </c>
      <c r="I181" s="6">
        <v>418.7</v>
      </c>
      <c r="J181" s="5">
        <v>0.3</v>
      </c>
      <c r="K181" s="6">
        <v>23.45</v>
      </c>
      <c r="L181" s="6">
        <v>4.4800000000000004</v>
      </c>
      <c r="M181" s="6">
        <v>321.02</v>
      </c>
      <c r="N181" s="5" t="s">
        <v>67</v>
      </c>
      <c r="O181" s="5" t="s">
        <v>25</v>
      </c>
      <c r="P181" s="5" t="s">
        <v>101</v>
      </c>
      <c r="Q181" s="5" t="s">
        <v>102</v>
      </c>
      <c r="R181" s="5" t="s">
        <v>38</v>
      </c>
    </row>
    <row r="182" spans="1:18" x14ac:dyDescent="0.3">
      <c r="A182" s="2" t="s">
        <v>611</v>
      </c>
      <c r="B182" s="1">
        <v>45429</v>
      </c>
      <c r="C182" s="2" t="s">
        <v>612</v>
      </c>
      <c r="D182" s="2" t="s">
        <v>613</v>
      </c>
      <c r="E182" s="2" t="s">
        <v>156</v>
      </c>
      <c r="F182" s="2" t="s">
        <v>33</v>
      </c>
      <c r="G182" s="2" t="s">
        <v>66</v>
      </c>
      <c r="H182" s="3">
        <v>2</v>
      </c>
      <c r="I182" s="3">
        <v>531.4</v>
      </c>
      <c r="J182" s="2">
        <v>0</v>
      </c>
      <c r="K182" s="3">
        <v>127.54</v>
      </c>
      <c r="L182" s="3">
        <v>4.49</v>
      </c>
      <c r="M182" s="3">
        <v>1194.83</v>
      </c>
      <c r="N182" s="2" t="s">
        <v>50</v>
      </c>
      <c r="O182" s="2" t="s">
        <v>25</v>
      </c>
      <c r="P182" s="2" t="s">
        <v>165</v>
      </c>
      <c r="Q182" s="2" t="s">
        <v>37</v>
      </c>
      <c r="R182" s="2" t="s">
        <v>38</v>
      </c>
    </row>
    <row r="183" spans="1:18" x14ac:dyDescent="0.3">
      <c r="A183" s="5" t="s">
        <v>614</v>
      </c>
      <c r="B183" s="4">
        <v>44694</v>
      </c>
      <c r="C183" s="5" t="s">
        <v>615</v>
      </c>
      <c r="D183" s="5" t="s">
        <v>282</v>
      </c>
      <c r="E183" s="5" t="s">
        <v>267</v>
      </c>
      <c r="F183" s="5" t="s">
        <v>22</v>
      </c>
      <c r="G183" s="5" t="s">
        <v>203</v>
      </c>
      <c r="H183" s="6">
        <v>5</v>
      </c>
      <c r="I183" s="6">
        <v>341.7</v>
      </c>
      <c r="J183" s="5">
        <v>0.1</v>
      </c>
      <c r="K183" s="6">
        <v>276.77999999999997</v>
      </c>
      <c r="L183" s="6">
        <v>1.7</v>
      </c>
      <c r="M183" s="6">
        <v>1816.13</v>
      </c>
      <c r="N183" s="5" t="s">
        <v>35</v>
      </c>
      <c r="O183" s="5" t="s">
        <v>25</v>
      </c>
      <c r="P183" s="5" t="s">
        <v>112</v>
      </c>
      <c r="Q183" s="5" t="s">
        <v>113</v>
      </c>
      <c r="R183" s="5" t="s">
        <v>38</v>
      </c>
    </row>
    <row r="184" spans="1:18" x14ac:dyDescent="0.3">
      <c r="A184" s="2" t="s">
        <v>616</v>
      </c>
      <c r="B184" s="1">
        <v>44573</v>
      </c>
      <c r="C184" s="2" t="s">
        <v>617</v>
      </c>
      <c r="D184" s="2" t="s">
        <v>618</v>
      </c>
      <c r="E184" s="2" t="s">
        <v>287</v>
      </c>
      <c r="F184" s="2" t="s">
        <v>143</v>
      </c>
      <c r="G184" s="2" t="s">
        <v>66</v>
      </c>
      <c r="H184" s="3">
        <v>2</v>
      </c>
      <c r="I184" s="3">
        <v>375.82</v>
      </c>
      <c r="J184" s="2">
        <v>0.05</v>
      </c>
      <c r="K184" s="3">
        <v>35.700000000000003</v>
      </c>
      <c r="L184" s="3">
        <v>13.55</v>
      </c>
      <c r="M184" s="3">
        <v>763.31</v>
      </c>
      <c r="N184" s="2" t="s">
        <v>35</v>
      </c>
      <c r="O184" s="2" t="s">
        <v>144</v>
      </c>
      <c r="P184" s="2" t="s">
        <v>95</v>
      </c>
      <c r="Q184" s="2" t="s">
        <v>37</v>
      </c>
      <c r="R184" s="2" t="s">
        <v>76</v>
      </c>
    </row>
    <row r="185" spans="1:18" x14ac:dyDescent="0.3">
      <c r="A185" s="5" t="s">
        <v>619</v>
      </c>
      <c r="B185" s="4">
        <v>45095</v>
      </c>
      <c r="C185" s="5" t="s">
        <v>620</v>
      </c>
      <c r="D185" s="5" t="s">
        <v>511</v>
      </c>
      <c r="E185" s="5" t="s">
        <v>132</v>
      </c>
      <c r="F185" s="5" t="s">
        <v>33</v>
      </c>
      <c r="G185" s="5" t="s">
        <v>198</v>
      </c>
      <c r="H185" s="6">
        <v>3</v>
      </c>
      <c r="I185" s="6">
        <v>99.26</v>
      </c>
      <c r="J185" s="5">
        <v>0</v>
      </c>
      <c r="K185" s="6">
        <v>23.82</v>
      </c>
      <c r="L185" s="6">
        <v>5.19</v>
      </c>
      <c r="M185" s="6">
        <v>326.79000000000002</v>
      </c>
      <c r="N185" s="5" t="s">
        <v>67</v>
      </c>
      <c r="O185" s="5" t="s">
        <v>107</v>
      </c>
      <c r="P185" s="5" t="s">
        <v>36</v>
      </c>
      <c r="Q185" s="5" t="s">
        <v>37</v>
      </c>
      <c r="R185" s="5" t="s">
        <v>38</v>
      </c>
    </row>
    <row r="186" spans="1:18" x14ac:dyDescent="0.3">
      <c r="A186" s="2" t="s">
        <v>621</v>
      </c>
      <c r="B186" s="1">
        <v>44394</v>
      </c>
      <c r="C186" s="2" t="s">
        <v>622</v>
      </c>
      <c r="D186" s="2" t="s">
        <v>623</v>
      </c>
      <c r="E186" s="2" t="s">
        <v>340</v>
      </c>
      <c r="F186" s="2" t="s">
        <v>33</v>
      </c>
      <c r="G186" s="2" t="s">
        <v>49</v>
      </c>
      <c r="H186" s="3">
        <v>2</v>
      </c>
      <c r="I186" s="3">
        <v>572.09</v>
      </c>
      <c r="J186" s="2">
        <v>0</v>
      </c>
      <c r="K186" s="3">
        <v>91.53</v>
      </c>
      <c r="L186" s="3">
        <v>2.64</v>
      </c>
      <c r="M186" s="3">
        <v>1238.3499999999999</v>
      </c>
      <c r="N186" s="2" t="s">
        <v>58</v>
      </c>
      <c r="O186" s="2" t="s">
        <v>107</v>
      </c>
      <c r="P186" s="2" t="s">
        <v>74</v>
      </c>
      <c r="Q186" s="2" t="s">
        <v>75</v>
      </c>
      <c r="R186" s="2" t="s">
        <v>38</v>
      </c>
    </row>
    <row r="187" spans="1:18" x14ac:dyDescent="0.3">
      <c r="A187" s="5" t="s">
        <v>624</v>
      </c>
      <c r="B187" s="4">
        <v>44851</v>
      </c>
      <c r="C187" s="5" t="s">
        <v>625</v>
      </c>
      <c r="D187" s="5" t="s">
        <v>255</v>
      </c>
      <c r="E187" s="5" t="s">
        <v>106</v>
      </c>
      <c r="F187" s="5" t="s">
        <v>81</v>
      </c>
      <c r="G187" s="5" t="s">
        <v>34</v>
      </c>
      <c r="H187" s="6">
        <v>2</v>
      </c>
      <c r="I187" s="6">
        <v>495.32</v>
      </c>
      <c r="J187" s="5">
        <v>0</v>
      </c>
      <c r="K187" s="6">
        <v>49.53</v>
      </c>
      <c r="L187" s="6">
        <v>10.01</v>
      </c>
      <c r="M187" s="6">
        <v>1050.18</v>
      </c>
      <c r="N187" s="5" t="s">
        <v>58</v>
      </c>
      <c r="O187" s="5" t="s">
        <v>82</v>
      </c>
      <c r="P187" s="5" t="s">
        <v>145</v>
      </c>
      <c r="Q187" s="5" t="s">
        <v>146</v>
      </c>
      <c r="R187" s="5" t="s">
        <v>38</v>
      </c>
    </row>
    <row r="188" spans="1:18" x14ac:dyDescent="0.3">
      <c r="A188" s="2" t="s">
        <v>626</v>
      </c>
      <c r="B188" s="1">
        <v>43926</v>
      </c>
      <c r="C188" s="2" t="s">
        <v>627</v>
      </c>
      <c r="D188" s="2" t="s">
        <v>159</v>
      </c>
      <c r="E188" s="2" t="s">
        <v>271</v>
      </c>
      <c r="F188" s="2" t="s">
        <v>89</v>
      </c>
      <c r="G188" s="2" t="s">
        <v>49</v>
      </c>
      <c r="H188" s="3">
        <v>2</v>
      </c>
      <c r="I188" s="3">
        <v>190.82</v>
      </c>
      <c r="J188" s="2">
        <v>0.2</v>
      </c>
      <c r="K188" s="3">
        <v>15.27</v>
      </c>
      <c r="L188" s="3">
        <v>7.58</v>
      </c>
      <c r="M188" s="3">
        <v>328.16</v>
      </c>
      <c r="N188" s="2" t="s">
        <v>24</v>
      </c>
      <c r="O188" s="2" t="s">
        <v>25</v>
      </c>
      <c r="P188" s="2" t="s">
        <v>150</v>
      </c>
      <c r="Q188" s="2" t="s">
        <v>69</v>
      </c>
      <c r="R188" s="2" t="s">
        <v>61</v>
      </c>
    </row>
    <row r="189" spans="1:18" x14ac:dyDescent="0.3">
      <c r="A189" s="5" t="s">
        <v>628</v>
      </c>
      <c r="B189" s="4">
        <v>45588</v>
      </c>
      <c r="C189" s="5" t="s">
        <v>629</v>
      </c>
      <c r="D189" s="5" t="s">
        <v>494</v>
      </c>
      <c r="E189" s="5" t="s">
        <v>300</v>
      </c>
      <c r="F189" s="5" t="s">
        <v>33</v>
      </c>
      <c r="G189" s="5" t="s">
        <v>23</v>
      </c>
      <c r="H189" s="6">
        <v>1</v>
      </c>
      <c r="I189" s="6">
        <v>50.92</v>
      </c>
      <c r="J189" s="5">
        <v>0.2</v>
      </c>
      <c r="K189" s="6">
        <v>3.26</v>
      </c>
      <c r="L189" s="6">
        <v>1.3</v>
      </c>
      <c r="M189" s="6">
        <v>45.3</v>
      </c>
      <c r="N189" s="5" t="s">
        <v>123</v>
      </c>
      <c r="O189" s="5" t="s">
        <v>25</v>
      </c>
      <c r="P189" s="5" t="s">
        <v>133</v>
      </c>
      <c r="Q189" s="5" t="s">
        <v>134</v>
      </c>
      <c r="R189" s="5" t="s">
        <v>38</v>
      </c>
    </row>
    <row r="190" spans="1:18" x14ac:dyDescent="0.3">
      <c r="A190" s="2" t="s">
        <v>630</v>
      </c>
      <c r="B190" s="1">
        <v>44315</v>
      </c>
      <c r="C190" s="2" t="s">
        <v>631</v>
      </c>
      <c r="D190" s="2" t="s">
        <v>72</v>
      </c>
      <c r="E190" s="2" t="s">
        <v>142</v>
      </c>
      <c r="F190" s="2" t="s">
        <v>81</v>
      </c>
      <c r="G190" s="2" t="s">
        <v>198</v>
      </c>
      <c r="H190" s="3">
        <v>5</v>
      </c>
      <c r="I190" s="3">
        <v>129.25</v>
      </c>
      <c r="J190" s="2">
        <v>0.15</v>
      </c>
      <c r="K190" s="3">
        <v>43.94</v>
      </c>
      <c r="L190" s="3">
        <v>6.24</v>
      </c>
      <c r="M190" s="3">
        <v>599.49</v>
      </c>
      <c r="N190" s="2" t="s">
        <v>58</v>
      </c>
      <c r="O190" s="2" t="s">
        <v>107</v>
      </c>
      <c r="P190" s="2" t="s">
        <v>51</v>
      </c>
      <c r="Q190" s="2" t="s">
        <v>52</v>
      </c>
      <c r="R190" s="2" t="s">
        <v>38</v>
      </c>
    </row>
    <row r="191" spans="1:18" x14ac:dyDescent="0.3">
      <c r="A191" s="5" t="s">
        <v>632</v>
      </c>
      <c r="B191" s="4">
        <v>45261</v>
      </c>
      <c r="C191" s="5" t="s">
        <v>633</v>
      </c>
      <c r="D191" s="5" t="s">
        <v>634</v>
      </c>
      <c r="E191" s="5" t="s">
        <v>99</v>
      </c>
      <c r="F191" s="5" t="s">
        <v>89</v>
      </c>
      <c r="G191" s="5" t="s">
        <v>49</v>
      </c>
      <c r="H191" s="6">
        <v>3</v>
      </c>
      <c r="I191" s="6">
        <v>416.84</v>
      </c>
      <c r="J191" s="5">
        <v>0.15</v>
      </c>
      <c r="K191" s="6">
        <v>85.04</v>
      </c>
      <c r="L191" s="6">
        <v>14.4</v>
      </c>
      <c r="M191" s="6">
        <v>1162.3800000000001</v>
      </c>
      <c r="N191" s="5" t="s">
        <v>24</v>
      </c>
      <c r="O191" s="5" t="s">
        <v>25</v>
      </c>
      <c r="P191" s="5" t="s">
        <v>145</v>
      </c>
      <c r="Q191" s="5" t="s">
        <v>146</v>
      </c>
      <c r="R191" s="5" t="s">
        <v>38</v>
      </c>
    </row>
    <row r="192" spans="1:18" x14ac:dyDescent="0.3">
      <c r="A192" s="2" t="s">
        <v>635</v>
      </c>
      <c r="B192" s="1">
        <v>44061</v>
      </c>
      <c r="C192" s="2" t="s">
        <v>636</v>
      </c>
      <c r="D192" s="2" t="s">
        <v>469</v>
      </c>
      <c r="E192" s="2" t="s">
        <v>73</v>
      </c>
      <c r="F192" s="2" t="s">
        <v>89</v>
      </c>
      <c r="G192" s="2" t="s">
        <v>57</v>
      </c>
      <c r="H192" s="3">
        <v>5</v>
      </c>
      <c r="I192" s="3">
        <v>319.27999999999997</v>
      </c>
      <c r="J192" s="2">
        <v>0.05</v>
      </c>
      <c r="K192" s="3">
        <v>75.83</v>
      </c>
      <c r="L192" s="3">
        <v>12.39</v>
      </c>
      <c r="M192" s="3">
        <v>1604.8</v>
      </c>
      <c r="N192" s="2" t="s">
        <v>35</v>
      </c>
      <c r="O192" s="2" t="s">
        <v>25</v>
      </c>
      <c r="P192" s="2" t="s">
        <v>150</v>
      </c>
      <c r="Q192" s="2" t="s">
        <v>69</v>
      </c>
      <c r="R192" s="2" t="s">
        <v>38</v>
      </c>
    </row>
    <row r="193" spans="1:18" x14ac:dyDescent="0.3">
      <c r="A193" s="5" t="s">
        <v>637</v>
      </c>
      <c r="B193" s="4">
        <v>44579</v>
      </c>
      <c r="C193" s="5" t="s">
        <v>638</v>
      </c>
      <c r="D193" s="5" t="s">
        <v>153</v>
      </c>
      <c r="E193" s="5" t="s">
        <v>32</v>
      </c>
      <c r="F193" s="5" t="s">
        <v>22</v>
      </c>
      <c r="G193" s="5" t="s">
        <v>49</v>
      </c>
      <c r="H193" s="6">
        <v>2</v>
      </c>
      <c r="I193" s="6">
        <v>67.540000000000006</v>
      </c>
      <c r="J193" s="5">
        <v>0.05</v>
      </c>
      <c r="K193" s="6">
        <v>10.27</v>
      </c>
      <c r="L193" s="6">
        <v>1.64</v>
      </c>
      <c r="M193" s="6">
        <v>140.24</v>
      </c>
      <c r="N193" s="5" t="s">
        <v>35</v>
      </c>
      <c r="O193" s="5" t="s">
        <v>25</v>
      </c>
      <c r="P193" s="5" t="s">
        <v>60</v>
      </c>
      <c r="Q193" s="5" t="s">
        <v>37</v>
      </c>
      <c r="R193" s="5" t="s">
        <v>61</v>
      </c>
    </row>
    <row r="194" spans="1:18" x14ac:dyDescent="0.3">
      <c r="A194" s="2" t="s">
        <v>639</v>
      </c>
      <c r="B194" s="1">
        <v>45509</v>
      </c>
      <c r="C194" s="2" t="s">
        <v>640</v>
      </c>
      <c r="D194" s="2" t="s">
        <v>421</v>
      </c>
      <c r="E194" s="2" t="s">
        <v>256</v>
      </c>
      <c r="F194" s="2" t="s">
        <v>81</v>
      </c>
      <c r="G194" s="2" t="s">
        <v>66</v>
      </c>
      <c r="H194" s="3">
        <v>2</v>
      </c>
      <c r="I194" s="3">
        <v>289.23</v>
      </c>
      <c r="J194" s="2">
        <v>0.1</v>
      </c>
      <c r="K194" s="3">
        <v>0</v>
      </c>
      <c r="L194" s="3">
        <v>13.08</v>
      </c>
      <c r="M194" s="3">
        <v>533.69000000000005</v>
      </c>
      <c r="N194" s="2" t="s">
        <v>35</v>
      </c>
      <c r="O194" s="2" t="s">
        <v>25</v>
      </c>
      <c r="P194" s="2" t="s">
        <v>124</v>
      </c>
      <c r="Q194" s="2" t="s">
        <v>125</v>
      </c>
      <c r="R194" s="2" t="s">
        <v>38</v>
      </c>
    </row>
    <row r="195" spans="1:18" x14ac:dyDescent="0.3">
      <c r="A195" s="5" t="s">
        <v>641</v>
      </c>
      <c r="B195" s="4">
        <v>45025</v>
      </c>
      <c r="C195" s="5" t="s">
        <v>642</v>
      </c>
      <c r="D195" s="5" t="s">
        <v>457</v>
      </c>
      <c r="E195" s="5" t="s">
        <v>182</v>
      </c>
      <c r="F195" s="5" t="s">
        <v>33</v>
      </c>
      <c r="G195" s="5" t="s">
        <v>66</v>
      </c>
      <c r="H195" s="6">
        <v>2</v>
      </c>
      <c r="I195" s="6">
        <v>373.58</v>
      </c>
      <c r="J195" s="5">
        <v>0.2</v>
      </c>
      <c r="K195" s="6">
        <v>47.82</v>
      </c>
      <c r="L195" s="6">
        <v>8.74</v>
      </c>
      <c r="M195" s="6">
        <v>654.29</v>
      </c>
      <c r="N195" s="5" t="s">
        <v>58</v>
      </c>
      <c r="O195" s="5" t="s">
        <v>25</v>
      </c>
      <c r="P195" s="5" t="s">
        <v>257</v>
      </c>
      <c r="Q195" s="5" t="s">
        <v>69</v>
      </c>
      <c r="R195" s="5" t="s">
        <v>38</v>
      </c>
    </row>
    <row r="196" spans="1:18" x14ac:dyDescent="0.3">
      <c r="A196" s="2" t="s">
        <v>643</v>
      </c>
      <c r="B196" s="1">
        <v>44371</v>
      </c>
      <c r="C196" s="2" t="s">
        <v>644</v>
      </c>
      <c r="D196" s="2" t="s">
        <v>645</v>
      </c>
      <c r="E196" s="2" t="s">
        <v>243</v>
      </c>
      <c r="F196" s="2" t="s">
        <v>89</v>
      </c>
      <c r="G196" s="2" t="s">
        <v>49</v>
      </c>
      <c r="H196" s="3">
        <v>4</v>
      </c>
      <c r="I196" s="3">
        <v>359.89</v>
      </c>
      <c r="J196" s="2">
        <v>0.05</v>
      </c>
      <c r="K196" s="3">
        <v>68.38</v>
      </c>
      <c r="L196" s="3">
        <v>13.15</v>
      </c>
      <c r="M196" s="3">
        <v>1449.11</v>
      </c>
      <c r="N196" s="2" t="s">
        <v>58</v>
      </c>
      <c r="O196" s="2" t="s">
        <v>25</v>
      </c>
      <c r="P196" s="2" t="s">
        <v>26</v>
      </c>
      <c r="Q196" s="2" t="s">
        <v>27</v>
      </c>
      <c r="R196" s="2" t="s">
        <v>38</v>
      </c>
    </row>
    <row r="197" spans="1:18" x14ac:dyDescent="0.3">
      <c r="A197" s="5" t="s">
        <v>646</v>
      </c>
      <c r="B197" s="4">
        <v>44890</v>
      </c>
      <c r="C197" s="5" t="s">
        <v>647</v>
      </c>
      <c r="D197" s="5" t="s">
        <v>648</v>
      </c>
      <c r="E197" s="5" t="s">
        <v>340</v>
      </c>
      <c r="F197" s="5" t="s">
        <v>81</v>
      </c>
      <c r="G197" s="5" t="s">
        <v>268</v>
      </c>
      <c r="H197" s="6">
        <v>5</v>
      </c>
      <c r="I197" s="6">
        <v>449.1</v>
      </c>
      <c r="J197" s="5">
        <v>0.1</v>
      </c>
      <c r="K197" s="6">
        <v>101.05</v>
      </c>
      <c r="L197" s="6">
        <v>7.48</v>
      </c>
      <c r="M197" s="6">
        <v>2129.48</v>
      </c>
      <c r="N197" s="5" t="s">
        <v>123</v>
      </c>
      <c r="O197" s="5" t="s">
        <v>25</v>
      </c>
      <c r="P197" s="5" t="s">
        <v>150</v>
      </c>
      <c r="Q197" s="5" t="s">
        <v>69</v>
      </c>
      <c r="R197" s="5" t="s">
        <v>38</v>
      </c>
    </row>
    <row r="198" spans="1:18" x14ac:dyDescent="0.3">
      <c r="A198" s="2" t="s">
        <v>649</v>
      </c>
      <c r="B198" s="1">
        <v>44355</v>
      </c>
      <c r="C198" s="2" t="s">
        <v>650</v>
      </c>
      <c r="D198" s="2" t="s">
        <v>209</v>
      </c>
      <c r="E198" s="2" t="s">
        <v>220</v>
      </c>
      <c r="F198" s="2" t="s">
        <v>143</v>
      </c>
      <c r="G198" s="2" t="s">
        <v>66</v>
      </c>
      <c r="H198" s="3">
        <v>3</v>
      </c>
      <c r="I198" s="3">
        <v>270.41000000000003</v>
      </c>
      <c r="J198" s="2">
        <v>0.1</v>
      </c>
      <c r="K198" s="3">
        <v>36.51</v>
      </c>
      <c r="L198" s="3">
        <v>3.91</v>
      </c>
      <c r="M198" s="3">
        <v>770.53</v>
      </c>
      <c r="N198" s="2" t="s">
        <v>35</v>
      </c>
      <c r="O198" s="2" t="s">
        <v>25</v>
      </c>
      <c r="P198" s="2" t="s">
        <v>95</v>
      </c>
      <c r="Q198" s="2" t="s">
        <v>37</v>
      </c>
      <c r="R198" s="2" t="s">
        <v>38</v>
      </c>
    </row>
    <row r="199" spans="1:18" x14ac:dyDescent="0.3">
      <c r="A199" s="5" t="s">
        <v>651</v>
      </c>
      <c r="B199" s="4">
        <v>45014</v>
      </c>
      <c r="C199" s="5" t="s">
        <v>652</v>
      </c>
      <c r="D199" s="5" t="s">
        <v>193</v>
      </c>
      <c r="E199" s="5" t="s">
        <v>182</v>
      </c>
      <c r="F199" s="5" t="s">
        <v>33</v>
      </c>
      <c r="G199" s="5" t="s">
        <v>203</v>
      </c>
      <c r="H199" s="6">
        <v>2</v>
      </c>
      <c r="I199" s="6">
        <v>387.31</v>
      </c>
      <c r="J199" s="5">
        <v>0</v>
      </c>
      <c r="K199" s="6">
        <v>92.95</v>
      </c>
      <c r="L199" s="6">
        <v>7.12</v>
      </c>
      <c r="M199" s="6">
        <v>874.69</v>
      </c>
      <c r="N199" s="5" t="s">
        <v>24</v>
      </c>
      <c r="O199" s="5" t="s">
        <v>25</v>
      </c>
      <c r="P199" s="5" t="s">
        <v>178</v>
      </c>
      <c r="Q199" s="5" t="s">
        <v>69</v>
      </c>
      <c r="R199" s="5" t="s">
        <v>38</v>
      </c>
    </row>
    <row r="200" spans="1:18" x14ac:dyDescent="0.3">
      <c r="A200" s="2" t="s">
        <v>653</v>
      </c>
      <c r="B200" s="1">
        <v>45553</v>
      </c>
      <c r="C200" s="2" t="s">
        <v>654</v>
      </c>
      <c r="D200" s="2" t="s">
        <v>655</v>
      </c>
      <c r="E200" s="2" t="s">
        <v>386</v>
      </c>
      <c r="F200" s="2" t="s">
        <v>22</v>
      </c>
      <c r="G200" s="2" t="s">
        <v>90</v>
      </c>
      <c r="H200" s="3">
        <v>3</v>
      </c>
      <c r="I200" s="3">
        <v>272.14</v>
      </c>
      <c r="J200" s="2">
        <v>0</v>
      </c>
      <c r="K200" s="3">
        <v>97.97</v>
      </c>
      <c r="L200" s="3">
        <v>11.16</v>
      </c>
      <c r="M200" s="3">
        <v>925.55</v>
      </c>
      <c r="N200" s="2" t="s">
        <v>67</v>
      </c>
      <c r="O200" s="2" t="s">
        <v>25</v>
      </c>
      <c r="P200" s="2" t="s">
        <v>257</v>
      </c>
      <c r="Q200" s="2" t="s">
        <v>69</v>
      </c>
      <c r="R200" s="2" t="s">
        <v>61</v>
      </c>
    </row>
    <row r="201" spans="1:18" x14ac:dyDescent="0.3">
      <c r="A201" s="5" t="s">
        <v>656</v>
      </c>
      <c r="B201" s="4">
        <v>45097</v>
      </c>
      <c r="C201" s="5" t="s">
        <v>657</v>
      </c>
      <c r="D201" s="5" t="s">
        <v>290</v>
      </c>
      <c r="E201" s="5" t="s">
        <v>425</v>
      </c>
      <c r="F201" s="5" t="s">
        <v>33</v>
      </c>
      <c r="G201" s="5" t="s">
        <v>198</v>
      </c>
      <c r="H201" s="6">
        <v>1</v>
      </c>
      <c r="I201" s="6">
        <v>420.62</v>
      </c>
      <c r="J201" s="5">
        <v>0</v>
      </c>
      <c r="K201" s="6">
        <v>21.03</v>
      </c>
      <c r="L201" s="6">
        <v>5.69</v>
      </c>
      <c r="M201" s="6">
        <v>447.34</v>
      </c>
      <c r="N201" s="5" t="s">
        <v>35</v>
      </c>
      <c r="O201" s="5" t="s">
        <v>107</v>
      </c>
      <c r="P201" s="5" t="s">
        <v>165</v>
      </c>
      <c r="Q201" s="5" t="s">
        <v>37</v>
      </c>
      <c r="R201" s="5" t="s">
        <v>38</v>
      </c>
    </row>
    <row r="202" spans="1:18" x14ac:dyDescent="0.3">
      <c r="A202" s="2" t="s">
        <v>658</v>
      </c>
      <c r="B202" s="1">
        <v>44940</v>
      </c>
      <c r="C202" s="2" t="s">
        <v>659</v>
      </c>
      <c r="D202" s="2" t="s">
        <v>131</v>
      </c>
      <c r="E202" s="2" t="s">
        <v>88</v>
      </c>
      <c r="F202" s="2" t="s">
        <v>43</v>
      </c>
      <c r="G202" s="2" t="s">
        <v>100</v>
      </c>
      <c r="H202" s="3">
        <v>4</v>
      </c>
      <c r="I202" s="3">
        <v>575.92999999999995</v>
      </c>
      <c r="J202" s="2">
        <v>0</v>
      </c>
      <c r="K202" s="3">
        <v>0</v>
      </c>
      <c r="L202" s="3">
        <v>14.5</v>
      </c>
      <c r="M202" s="3">
        <v>2318.2199999999998</v>
      </c>
      <c r="N202" s="2" t="s">
        <v>58</v>
      </c>
      <c r="O202" s="2" t="s">
        <v>25</v>
      </c>
      <c r="P202" s="2" t="s">
        <v>165</v>
      </c>
      <c r="Q202" s="2" t="s">
        <v>37</v>
      </c>
      <c r="R202" s="2" t="s">
        <v>28</v>
      </c>
    </row>
    <row r="203" spans="1:18" x14ac:dyDescent="0.3">
      <c r="A203" s="5" t="s">
        <v>660</v>
      </c>
      <c r="B203" s="4">
        <v>45650</v>
      </c>
      <c r="C203" s="5" t="s">
        <v>661</v>
      </c>
      <c r="D203" s="5" t="s">
        <v>662</v>
      </c>
      <c r="E203" s="5" t="s">
        <v>182</v>
      </c>
      <c r="F203" s="5" t="s">
        <v>81</v>
      </c>
      <c r="G203" s="5" t="s">
        <v>23</v>
      </c>
      <c r="H203" s="6">
        <v>5</v>
      </c>
      <c r="I203" s="6">
        <v>167.97</v>
      </c>
      <c r="J203" s="5">
        <v>0</v>
      </c>
      <c r="K203" s="6">
        <v>0</v>
      </c>
      <c r="L203" s="6">
        <v>8.35</v>
      </c>
      <c r="M203" s="6">
        <v>848.2</v>
      </c>
      <c r="N203" s="5" t="s">
        <v>67</v>
      </c>
      <c r="O203" s="5" t="s">
        <v>25</v>
      </c>
      <c r="P203" s="5" t="s">
        <v>165</v>
      </c>
      <c r="Q203" s="5" t="s">
        <v>37</v>
      </c>
      <c r="R203" s="5" t="s">
        <v>38</v>
      </c>
    </row>
    <row r="204" spans="1:18" x14ac:dyDescent="0.3">
      <c r="A204" s="2" t="s">
        <v>663</v>
      </c>
      <c r="B204" s="1">
        <v>44408</v>
      </c>
      <c r="C204" s="2" t="s">
        <v>664</v>
      </c>
      <c r="D204" s="2" t="s">
        <v>64</v>
      </c>
      <c r="E204" s="2" t="s">
        <v>169</v>
      </c>
      <c r="F204" s="2" t="s">
        <v>81</v>
      </c>
      <c r="G204" s="2" t="s">
        <v>34</v>
      </c>
      <c r="H204" s="3">
        <v>5</v>
      </c>
      <c r="I204" s="3">
        <v>471.14</v>
      </c>
      <c r="J204" s="2">
        <v>0</v>
      </c>
      <c r="K204" s="3">
        <v>188.46</v>
      </c>
      <c r="L204" s="3">
        <v>4.18</v>
      </c>
      <c r="M204" s="3">
        <v>2548.34</v>
      </c>
      <c r="N204" s="2" t="s">
        <v>35</v>
      </c>
      <c r="O204" s="2" t="s">
        <v>25</v>
      </c>
      <c r="P204" s="2" t="s">
        <v>83</v>
      </c>
      <c r="Q204" s="2" t="s">
        <v>84</v>
      </c>
      <c r="R204" s="2" t="s">
        <v>61</v>
      </c>
    </row>
    <row r="205" spans="1:18" x14ac:dyDescent="0.3">
      <c r="A205" s="5" t="s">
        <v>665</v>
      </c>
      <c r="B205" s="4">
        <v>44512</v>
      </c>
      <c r="C205" s="5" t="s">
        <v>666</v>
      </c>
      <c r="D205" s="5" t="s">
        <v>206</v>
      </c>
      <c r="E205" s="5" t="s">
        <v>48</v>
      </c>
      <c r="F205" s="5" t="s">
        <v>81</v>
      </c>
      <c r="G205" s="5" t="s">
        <v>34</v>
      </c>
      <c r="H205" s="6">
        <v>3</v>
      </c>
      <c r="I205" s="6">
        <v>461.7</v>
      </c>
      <c r="J205" s="5">
        <v>0.05</v>
      </c>
      <c r="K205" s="6">
        <v>65.790000000000006</v>
      </c>
      <c r="L205" s="6">
        <v>13.58</v>
      </c>
      <c r="M205" s="6">
        <v>1395.21</v>
      </c>
      <c r="N205" s="5" t="s">
        <v>58</v>
      </c>
      <c r="O205" s="5" t="s">
        <v>144</v>
      </c>
      <c r="P205" s="5" t="s">
        <v>36</v>
      </c>
      <c r="Q205" s="5" t="s">
        <v>37</v>
      </c>
      <c r="R205" s="5" t="s">
        <v>28</v>
      </c>
    </row>
    <row r="206" spans="1:18" x14ac:dyDescent="0.3">
      <c r="A206" s="2" t="s">
        <v>667</v>
      </c>
      <c r="B206" s="1">
        <v>44387</v>
      </c>
      <c r="C206" s="2" t="s">
        <v>668</v>
      </c>
      <c r="D206" s="2" t="s">
        <v>105</v>
      </c>
      <c r="E206" s="2" t="s">
        <v>177</v>
      </c>
      <c r="F206" s="2" t="s">
        <v>89</v>
      </c>
      <c r="G206" s="2" t="s">
        <v>198</v>
      </c>
      <c r="H206" s="3">
        <v>2</v>
      </c>
      <c r="I206" s="3">
        <v>303.77</v>
      </c>
      <c r="J206" s="2">
        <v>0.25</v>
      </c>
      <c r="K206" s="3">
        <v>22.78</v>
      </c>
      <c r="L206" s="3">
        <v>11.47</v>
      </c>
      <c r="M206" s="3">
        <v>489.9</v>
      </c>
      <c r="N206" s="2" t="s">
        <v>67</v>
      </c>
      <c r="O206" s="2" t="s">
        <v>25</v>
      </c>
      <c r="P206" s="2" t="s">
        <v>173</v>
      </c>
      <c r="Q206" s="2" t="s">
        <v>174</v>
      </c>
      <c r="R206" s="2" t="s">
        <v>76</v>
      </c>
    </row>
    <row r="207" spans="1:18" x14ac:dyDescent="0.3">
      <c r="A207" s="5" t="s">
        <v>669</v>
      </c>
      <c r="B207" s="4">
        <v>45428</v>
      </c>
      <c r="C207" s="5" t="s">
        <v>670</v>
      </c>
      <c r="D207" s="5" t="s">
        <v>255</v>
      </c>
      <c r="E207" s="5" t="s">
        <v>365</v>
      </c>
      <c r="F207" s="5" t="s">
        <v>143</v>
      </c>
      <c r="G207" s="5" t="s">
        <v>268</v>
      </c>
      <c r="H207" s="6">
        <v>4</v>
      </c>
      <c r="I207" s="6">
        <v>312.36</v>
      </c>
      <c r="J207" s="5">
        <v>0.1</v>
      </c>
      <c r="K207" s="6">
        <v>0</v>
      </c>
      <c r="L207" s="6">
        <v>2.52</v>
      </c>
      <c r="M207" s="6">
        <v>1127.02</v>
      </c>
      <c r="N207" s="5" t="s">
        <v>58</v>
      </c>
      <c r="O207" s="5" t="s">
        <v>25</v>
      </c>
      <c r="P207" s="5" t="s">
        <v>173</v>
      </c>
      <c r="Q207" s="5" t="s">
        <v>174</v>
      </c>
      <c r="R207" s="5" t="s">
        <v>38</v>
      </c>
    </row>
    <row r="208" spans="1:18" x14ac:dyDescent="0.3">
      <c r="A208" s="2" t="s">
        <v>671</v>
      </c>
      <c r="B208" s="1">
        <v>44843</v>
      </c>
      <c r="C208" s="2" t="s">
        <v>672</v>
      </c>
      <c r="D208" s="2" t="s">
        <v>163</v>
      </c>
      <c r="E208" s="2" t="s">
        <v>99</v>
      </c>
      <c r="F208" s="2" t="s">
        <v>22</v>
      </c>
      <c r="G208" s="2" t="s">
        <v>49</v>
      </c>
      <c r="H208" s="3">
        <v>3</v>
      </c>
      <c r="I208" s="3">
        <v>59.09</v>
      </c>
      <c r="J208" s="2">
        <v>0.15</v>
      </c>
      <c r="K208" s="3">
        <v>0</v>
      </c>
      <c r="L208" s="3">
        <v>14.12</v>
      </c>
      <c r="M208" s="3">
        <v>164.8</v>
      </c>
      <c r="N208" s="2" t="s">
        <v>123</v>
      </c>
      <c r="O208" s="2" t="s">
        <v>25</v>
      </c>
      <c r="P208" s="2" t="s">
        <v>74</v>
      </c>
      <c r="Q208" s="2" t="s">
        <v>75</v>
      </c>
      <c r="R208" s="2" t="s">
        <v>28</v>
      </c>
    </row>
    <row r="209" spans="1:18" x14ac:dyDescent="0.3">
      <c r="A209" s="5" t="s">
        <v>673</v>
      </c>
      <c r="B209" s="4">
        <v>44476</v>
      </c>
      <c r="C209" s="5" t="s">
        <v>674</v>
      </c>
      <c r="D209" s="5" t="s">
        <v>675</v>
      </c>
      <c r="E209" s="5" t="s">
        <v>231</v>
      </c>
      <c r="F209" s="5" t="s">
        <v>22</v>
      </c>
      <c r="G209" s="5" t="s">
        <v>66</v>
      </c>
      <c r="H209" s="6">
        <v>1</v>
      </c>
      <c r="I209" s="6">
        <v>266.91000000000003</v>
      </c>
      <c r="J209" s="5">
        <v>0.05</v>
      </c>
      <c r="K209" s="6">
        <v>20.29</v>
      </c>
      <c r="L209" s="6">
        <v>7.33</v>
      </c>
      <c r="M209" s="6">
        <v>281.18</v>
      </c>
      <c r="N209" s="5" t="s">
        <v>35</v>
      </c>
      <c r="O209" s="5" t="s">
        <v>25</v>
      </c>
      <c r="P209" s="5" t="s">
        <v>145</v>
      </c>
      <c r="Q209" s="5" t="s">
        <v>146</v>
      </c>
      <c r="R209" s="5" t="s">
        <v>28</v>
      </c>
    </row>
    <row r="210" spans="1:18" x14ac:dyDescent="0.3">
      <c r="A210" s="2" t="s">
        <v>676</v>
      </c>
      <c r="B210" s="1">
        <v>44626</v>
      </c>
      <c r="C210" s="2" t="s">
        <v>677</v>
      </c>
      <c r="D210" s="2" t="s">
        <v>450</v>
      </c>
      <c r="E210" s="2" t="s">
        <v>88</v>
      </c>
      <c r="F210" s="2" t="s">
        <v>143</v>
      </c>
      <c r="G210" s="2" t="s">
        <v>57</v>
      </c>
      <c r="H210" s="3">
        <v>3</v>
      </c>
      <c r="I210" s="3">
        <v>568.01</v>
      </c>
      <c r="J210" s="2">
        <v>0</v>
      </c>
      <c r="K210" s="3">
        <v>0</v>
      </c>
      <c r="L210" s="3">
        <v>12.94</v>
      </c>
      <c r="M210" s="3">
        <v>1716.97</v>
      </c>
      <c r="N210" s="2" t="s">
        <v>58</v>
      </c>
      <c r="O210" s="2" t="s">
        <v>25</v>
      </c>
      <c r="P210" s="2" t="s">
        <v>257</v>
      </c>
      <c r="Q210" s="2" t="s">
        <v>69</v>
      </c>
      <c r="R210" s="2" t="s">
        <v>183</v>
      </c>
    </row>
    <row r="211" spans="1:18" x14ac:dyDescent="0.3">
      <c r="A211" s="5" t="s">
        <v>678</v>
      </c>
      <c r="B211" s="4">
        <v>44882</v>
      </c>
      <c r="C211" s="5" t="s">
        <v>679</v>
      </c>
      <c r="D211" s="5" t="s">
        <v>201</v>
      </c>
      <c r="E211" s="5" t="s">
        <v>271</v>
      </c>
      <c r="F211" s="5" t="s">
        <v>22</v>
      </c>
      <c r="G211" s="5" t="s">
        <v>34</v>
      </c>
      <c r="H211" s="6">
        <v>2</v>
      </c>
      <c r="I211" s="6">
        <v>454.72</v>
      </c>
      <c r="J211" s="5">
        <v>0.05</v>
      </c>
      <c r="K211" s="6">
        <v>69.12</v>
      </c>
      <c r="L211" s="6">
        <v>0.31</v>
      </c>
      <c r="M211" s="6">
        <v>933.4</v>
      </c>
      <c r="N211" s="5" t="s">
        <v>123</v>
      </c>
      <c r="O211" s="5" t="s">
        <v>107</v>
      </c>
      <c r="P211" s="5" t="s">
        <v>68</v>
      </c>
      <c r="Q211" s="5" t="s">
        <v>69</v>
      </c>
      <c r="R211" s="5" t="s">
        <v>28</v>
      </c>
    </row>
    <row r="212" spans="1:18" x14ac:dyDescent="0.3">
      <c r="A212" s="2" t="s">
        <v>680</v>
      </c>
      <c r="B212" s="1">
        <v>45474</v>
      </c>
      <c r="C212" s="2" t="s">
        <v>681</v>
      </c>
      <c r="D212" s="2" t="s">
        <v>352</v>
      </c>
      <c r="E212" s="2" t="s">
        <v>122</v>
      </c>
      <c r="F212" s="2" t="s">
        <v>22</v>
      </c>
      <c r="G212" s="2" t="s">
        <v>23</v>
      </c>
      <c r="H212" s="3">
        <v>3</v>
      </c>
      <c r="I212" s="3">
        <v>189.12</v>
      </c>
      <c r="J212" s="2">
        <v>0.2</v>
      </c>
      <c r="K212" s="3">
        <v>36.31</v>
      </c>
      <c r="L212" s="3">
        <v>3.6</v>
      </c>
      <c r="M212" s="3">
        <v>493.8</v>
      </c>
      <c r="N212" s="2" t="s">
        <v>24</v>
      </c>
      <c r="O212" s="2" t="s">
        <v>25</v>
      </c>
      <c r="P212" s="2" t="s">
        <v>112</v>
      </c>
      <c r="Q212" s="2" t="s">
        <v>113</v>
      </c>
      <c r="R212" s="2" t="s">
        <v>183</v>
      </c>
    </row>
    <row r="213" spans="1:18" x14ac:dyDescent="0.3">
      <c r="A213" s="5" t="s">
        <v>682</v>
      </c>
      <c r="B213" s="4">
        <v>45410</v>
      </c>
      <c r="C213" s="5" t="s">
        <v>683</v>
      </c>
      <c r="D213" s="5" t="s">
        <v>234</v>
      </c>
      <c r="E213" s="5" t="s">
        <v>216</v>
      </c>
      <c r="F213" s="5" t="s">
        <v>33</v>
      </c>
      <c r="G213" s="5" t="s">
        <v>23</v>
      </c>
      <c r="H213" s="6">
        <v>5</v>
      </c>
      <c r="I213" s="6">
        <v>104.68</v>
      </c>
      <c r="J213" s="5">
        <v>0.15</v>
      </c>
      <c r="K213" s="6">
        <v>35.590000000000003</v>
      </c>
      <c r="L213" s="6">
        <v>2.38</v>
      </c>
      <c r="M213" s="6">
        <v>482.86</v>
      </c>
      <c r="N213" s="5" t="s">
        <v>67</v>
      </c>
      <c r="O213" s="5" t="s">
        <v>25</v>
      </c>
      <c r="P213" s="5" t="s">
        <v>26</v>
      </c>
      <c r="Q213" s="5" t="s">
        <v>27</v>
      </c>
      <c r="R213" s="5" t="s">
        <v>38</v>
      </c>
    </row>
    <row r="214" spans="1:18" x14ac:dyDescent="0.3">
      <c r="A214" s="2" t="s">
        <v>684</v>
      </c>
      <c r="B214" s="1">
        <v>45194</v>
      </c>
      <c r="C214" s="2" t="s">
        <v>685</v>
      </c>
      <c r="D214" s="2" t="s">
        <v>480</v>
      </c>
      <c r="E214" s="2" t="s">
        <v>271</v>
      </c>
      <c r="F214" s="2" t="s">
        <v>89</v>
      </c>
      <c r="G214" s="2" t="s">
        <v>23</v>
      </c>
      <c r="H214" s="3">
        <v>2</v>
      </c>
      <c r="I214" s="3">
        <v>116.03</v>
      </c>
      <c r="J214" s="2">
        <v>0.2</v>
      </c>
      <c r="K214" s="3">
        <v>14.85</v>
      </c>
      <c r="L214" s="3">
        <v>5.54</v>
      </c>
      <c r="M214" s="3">
        <v>206.04</v>
      </c>
      <c r="N214" s="2" t="s">
        <v>50</v>
      </c>
      <c r="O214" s="2" t="s">
        <v>25</v>
      </c>
      <c r="P214" s="2" t="s">
        <v>173</v>
      </c>
      <c r="Q214" s="2" t="s">
        <v>174</v>
      </c>
      <c r="R214" s="2" t="s">
        <v>28</v>
      </c>
    </row>
    <row r="215" spans="1:18" x14ac:dyDescent="0.3">
      <c r="A215" s="5" t="s">
        <v>686</v>
      </c>
      <c r="B215" s="4">
        <v>45652</v>
      </c>
      <c r="C215" s="5" t="s">
        <v>687</v>
      </c>
      <c r="D215" s="5" t="s">
        <v>128</v>
      </c>
      <c r="E215" s="5" t="s">
        <v>365</v>
      </c>
      <c r="F215" s="5" t="s">
        <v>43</v>
      </c>
      <c r="G215" s="5" t="s">
        <v>90</v>
      </c>
      <c r="H215" s="6">
        <v>3</v>
      </c>
      <c r="I215" s="6">
        <v>83.31</v>
      </c>
      <c r="J215" s="5">
        <v>0</v>
      </c>
      <c r="K215" s="6">
        <v>19.989999999999998</v>
      </c>
      <c r="L215" s="6">
        <v>3.48</v>
      </c>
      <c r="M215" s="6">
        <v>273.39999999999998</v>
      </c>
      <c r="N215" s="5" t="s">
        <v>67</v>
      </c>
      <c r="O215" s="5" t="s">
        <v>25</v>
      </c>
      <c r="P215" s="5" t="s">
        <v>36</v>
      </c>
      <c r="Q215" s="5" t="s">
        <v>37</v>
      </c>
      <c r="R215" s="5" t="s">
        <v>38</v>
      </c>
    </row>
    <row r="216" spans="1:18" x14ac:dyDescent="0.3">
      <c r="A216" s="2" t="s">
        <v>688</v>
      </c>
      <c r="B216" s="1">
        <v>45185</v>
      </c>
      <c r="C216" s="2" t="s">
        <v>689</v>
      </c>
      <c r="D216" s="2" t="s">
        <v>690</v>
      </c>
      <c r="E216" s="2" t="s">
        <v>691</v>
      </c>
      <c r="F216" s="2" t="s">
        <v>143</v>
      </c>
      <c r="G216" s="2" t="s">
        <v>57</v>
      </c>
      <c r="H216" s="3">
        <v>3</v>
      </c>
      <c r="I216" s="3">
        <v>556.67999999999995</v>
      </c>
      <c r="J216" s="2">
        <v>0</v>
      </c>
      <c r="K216" s="3">
        <v>83.5</v>
      </c>
      <c r="L216" s="3">
        <v>1.06</v>
      </c>
      <c r="M216" s="3">
        <v>1754.6</v>
      </c>
      <c r="N216" s="2" t="s">
        <v>24</v>
      </c>
      <c r="O216" s="2" t="s">
        <v>25</v>
      </c>
      <c r="P216" s="2" t="s">
        <v>36</v>
      </c>
      <c r="Q216" s="2" t="s">
        <v>37</v>
      </c>
      <c r="R216" s="2" t="s">
        <v>61</v>
      </c>
    </row>
    <row r="217" spans="1:18" x14ac:dyDescent="0.3">
      <c r="A217" s="5" t="s">
        <v>692</v>
      </c>
      <c r="B217" s="4">
        <v>45494</v>
      </c>
      <c r="C217" s="5" t="s">
        <v>693</v>
      </c>
      <c r="D217" s="5" t="s">
        <v>655</v>
      </c>
      <c r="E217" s="5" t="s">
        <v>287</v>
      </c>
      <c r="F217" s="5" t="s">
        <v>33</v>
      </c>
      <c r="G217" s="5" t="s">
        <v>100</v>
      </c>
      <c r="H217" s="6">
        <v>3</v>
      </c>
      <c r="I217" s="6">
        <v>404.76</v>
      </c>
      <c r="J217" s="5">
        <v>0</v>
      </c>
      <c r="K217" s="6">
        <v>218.57</v>
      </c>
      <c r="L217" s="6">
        <v>10.5</v>
      </c>
      <c r="M217" s="6">
        <v>1443.35</v>
      </c>
      <c r="N217" s="5" t="s">
        <v>24</v>
      </c>
      <c r="O217" s="5" t="s">
        <v>25</v>
      </c>
      <c r="P217" s="5" t="s">
        <v>101</v>
      </c>
      <c r="Q217" s="5" t="s">
        <v>102</v>
      </c>
      <c r="R217" s="5" t="s">
        <v>38</v>
      </c>
    </row>
    <row r="218" spans="1:18" x14ac:dyDescent="0.3">
      <c r="A218" s="2" t="s">
        <v>694</v>
      </c>
      <c r="B218" s="1">
        <v>45360</v>
      </c>
      <c r="C218" s="2" t="s">
        <v>695</v>
      </c>
      <c r="D218" s="2" t="s">
        <v>696</v>
      </c>
      <c r="E218" s="2" t="s">
        <v>283</v>
      </c>
      <c r="F218" s="2" t="s">
        <v>81</v>
      </c>
      <c r="G218" s="2" t="s">
        <v>198</v>
      </c>
      <c r="H218" s="3">
        <v>5</v>
      </c>
      <c r="I218" s="3">
        <v>470.82</v>
      </c>
      <c r="J218" s="2">
        <v>0.1</v>
      </c>
      <c r="K218" s="3">
        <v>169.5</v>
      </c>
      <c r="L218" s="3">
        <v>12.39</v>
      </c>
      <c r="M218" s="3">
        <v>2300.58</v>
      </c>
      <c r="N218" s="2" t="s">
        <v>24</v>
      </c>
      <c r="O218" s="2" t="s">
        <v>25</v>
      </c>
      <c r="P218" s="2" t="s">
        <v>83</v>
      </c>
      <c r="Q218" s="2" t="s">
        <v>84</v>
      </c>
      <c r="R218" s="2" t="s">
        <v>38</v>
      </c>
    </row>
    <row r="219" spans="1:18" x14ac:dyDescent="0.3">
      <c r="A219" s="5" t="s">
        <v>697</v>
      </c>
      <c r="B219" s="4">
        <v>45202</v>
      </c>
      <c r="C219" s="5" t="s">
        <v>698</v>
      </c>
      <c r="D219" s="5" t="s">
        <v>230</v>
      </c>
      <c r="E219" s="5" t="s">
        <v>160</v>
      </c>
      <c r="F219" s="5" t="s">
        <v>33</v>
      </c>
      <c r="G219" s="5" t="s">
        <v>49</v>
      </c>
      <c r="H219" s="6">
        <v>5</v>
      </c>
      <c r="I219" s="6">
        <v>88.24</v>
      </c>
      <c r="J219" s="5">
        <v>0</v>
      </c>
      <c r="K219" s="6">
        <v>35.299999999999997</v>
      </c>
      <c r="L219" s="6">
        <v>13.44</v>
      </c>
      <c r="M219" s="6">
        <v>489.94</v>
      </c>
      <c r="N219" s="5" t="s">
        <v>24</v>
      </c>
      <c r="O219" s="5" t="s">
        <v>25</v>
      </c>
      <c r="P219" s="5" t="s">
        <v>95</v>
      </c>
      <c r="Q219" s="5" t="s">
        <v>37</v>
      </c>
      <c r="R219" s="5" t="s">
        <v>28</v>
      </c>
    </row>
    <row r="220" spans="1:18" x14ac:dyDescent="0.3">
      <c r="A220" s="2" t="s">
        <v>699</v>
      </c>
      <c r="B220" s="1">
        <v>45327</v>
      </c>
      <c r="C220" s="2" t="s">
        <v>700</v>
      </c>
      <c r="D220" s="2" t="s">
        <v>701</v>
      </c>
      <c r="E220" s="2" t="s">
        <v>164</v>
      </c>
      <c r="F220" s="2" t="s">
        <v>33</v>
      </c>
      <c r="G220" s="2" t="s">
        <v>90</v>
      </c>
      <c r="H220" s="3">
        <v>3</v>
      </c>
      <c r="I220" s="3">
        <v>410.9</v>
      </c>
      <c r="J220" s="2">
        <v>0</v>
      </c>
      <c r="K220" s="3">
        <v>98.62</v>
      </c>
      <c r="L220" s="3">
        <v>0.56999999999999995</v>
      </c>
      <c r="M220" s="3">
        <v>1331.89</v>
      </c>
      <c r="N220" s="2" t="s">
        <v>58</v>
      </c>
      <c r="O220" s="2" t="s">
        <v>25</v>
      </c>
      <c r="P220" s="2" t="s">
        <v>150</v>
      </c>
      <c r="Q220" s="2" t="s">
        <v>69</v>
      </c>
      <c r="R220" s="2" t="s">
        <v>28</v>
      </c>
    </row>
    <row r="221" spans="1:18" x14ac:dyDescent="0.3">
      <c r="A221" s="5" t="s">
        <v>702</v>
      </c>
      <c r="B221" s="4">
        <v>45085</v>
      </c>
      <c r="C221" s="5" t="s">
        <v>703</v>
      </c>
      <c r="D221" s="5" t="s">
        <v>704</v>
      </c>
      <c r="E221" s="5" t="s">
        <v>132</v>
      </c>
      <c r="F221" s="5" t="s">
        <v>43</v>
      </c>
      <c r="G221" s="5" t="s">
        <v>268</v>
      </c>
      <c r="H221" s="6">
        <v>4</v>
      </c>
      <c r="I221" s="6">
        <v>485.32</v>
      </c>
      <c r="J221" s="5">
        <v>0.15</v>
      </c>
      <c r="K221" s="6">
        <v>132.01</v>
      </c>
      <c r="L221" s="6">
        <v>8.34</v>
      </c>
      <c r="M221" s="6">
        <v>1790.44</v>
      </c>
      <c r="N221" s="5" t="s">
        <v>35</v>
      </c>
      <c r="O221" s="5" t="s">
        <v>25</v>
      </c>
      <c r="P221" s="5" t="s">
        <v>165</v>
      </c>
      <c r="Q221" s="5" t="s">
        <v>37</v>
      </c>
      <c r="R221" s="5" t="s">
        <v>38</v>
      </c>
    </row>
    <row r="222" spans="1:18" x14ac:dyDescent="0.3">
      <c r="A222" s="2" t="s">
        <v>705</v>
      </c>
      <c r="B222" s="1">
        <v>44020</v>
      </c>
      <c r="C222" s="2" t="s">
        <v>706</v>
      </c>
      <c r="D222" s="2" t="s">
        <v>116</v>
      </c>
      <c r="E222" s="2" t="s">
        <v>80</v>
      </c>
      <c r="F222" s="2" t="s">
        <v>43</v>
      </c>
      <c r="G222" s="2" t="s">
        <v>90</v>
      </c>
      <c r="H222" s="3">
        <v>1</v>
      </c>
      <c r="I222" s="3">
        <v>49.31</v>
      </c>
      <c r="J222" s="2">
        <v>0</v>
      </c>
      <c r="K222" s="3">
        <v>2.4700000000000002</v>
      </c>
      <c r="L222" s="3">
        <v>0.69</v>
      </c>
      <c r="M222" s="3">
        <v>52.47</v>
      </c>
      <c r="N222" s="2" t="s">
        <v>24</v>
      </c>
      <c r="O222" s="2" t="s">
        <v>25</v>
      </c>
      <c r="P222" s="2" t="s">
        <v>51</v>
      </c>
      <c r="Q222" s="2" t="s">
        <v>52</v>
      </c>
      <c r="R222" s="2" t="s">
        <v>38</v>
      </c>
    </row>
    <row r="223" spans="1:18" x14ac:dyDescent="0.3">
      <c r="A223" s="5" t="s">
        <v>707</v>
      </c>
      <c r="B223" s="4">
        <v>45079</v>
      </c>
      <c r="C223" s="5" t="s">
        <v>708</v>
      </c>
      <c r="D223" s="5" t="s">
        <v>534</v>
      </c>
      <c r="E223" s="5" t="s">
        <v>365</v>
      </c>
      <c r="F223" s="5" t="s">
        <v>89</v>
      </c>
      <c r="G223" s="5" t="s">
        <v>203</v>
      </c>
      <c r="H223" s="6">
        <v>4</v>
      </c>
      <c r="I223" s="6">
        <v>389.67</v>
      </c>
      <c r="J223" s="5">
        <v>0.05</v>
      </c>
      <c r="K223" s="6">
        <v>118.46</v>
      </c>
      <c r="L223" s="6">
        <v>3.29</v>
      </c>
      <c r="M223" s="6">
        <v>1602.5</v>
      </c>
      <c r="N223" s="5" t="s">
        <v>58</v>
      </c>
      <c r="O223" s="5" t="s">
        <v>25</v>
      </c>
      <c r="P223" s="5" t="s">
        <v>150</v>
      </c>
      <c r="Q223" s="5" t="s">
        <v>69</v>
      </c>
      <c r="R223" s="5" t="s">
        <v>38</v>
      </c>
    </row>
    <row r="224" spans="1:18" x14ac:dyDescent="0.3">
      <c r="A224" s="2" t="s">
        <v>709</v>
      </c>
      <c r="B224" s="1">
        <v>45239</v>
      </c>
      <c r="C224" s="2" t="s">
        <v>710</v>
      </c>
      <c r="D224" s="2" t="s">
        <v>711</v>
      </c>
      <c r="E224" s="2" t="s">
        <v>294</v>
      </c>
      <c r="F224" s="2" t="s">
        <v>33</v>
      </c>
      <c r="G224" s="2" t="s">
        <v>198</v>
      </c>
      <c r="H224" s="3">
        <v>1</v>
      </c>
      <c r="I224" s="3">
        <v>450.05</v>
      </c>
      <c r="J224" s="2">
        <v>0</v>
      </c>
      <c r="K224" s="3">
        <v>22.5</v>
      </c>
      <c r="L224" s="3">
        <v>1.2</v>
      </c>
      <c r="M224" s="3">
        <v>473.75</v>
      </c>
      <c r="N224" s="2" t="s">
        <v>123</v>
      </c>
      <c r="O224" s="2" t="s">
        <v>107</v>
      </c>
      <c r="P224" s="2" t="s">
        <v>44</v>
      </c>
      <c r="Q224" s="2" t="s">
        <v>37</v>
      </c>
      <c r="R224" s="2" t="s">
        <v>38</v>
      </c>
    </row>
    <row r="225" spans="1:18" x14ac:dyDescent="0.3">
      <c r="A225" s="5" t="s">
        <v>712</v>
      </c>
      <c r="B225" s="4">
        <v>45231</v>
      </c>
      <c r="C225" s="5" t="s">
        <v>713</v>
      </c>
      <c r="D225" s="5" t="s">
        <v>237</v>
      </c>
      <c r="E225" s="5" t="s">
        <v>111</v>
      </c>
      <c r="F225" s="5" t="s">
        <v>33</v>
      </c>
      <c r="G225" s="5" t="s">
        <v>66</v>
      </c>
      <c r="H225" s="6">
        <v>3</v>
      </c>
      <c r="I225" s="6">
        <v>137.33000000000001</v>
      </c>
      <c r="J225" s="5">
        <v>0.1</v>
      </c>
      <c r="K225" s="6">
        <v>29.66</v>
      </c>
      <c r="L225" s="6">
        <v>13.56</v>
      </c>
      <c r="M225" s="6">
        <v>414.01</v>
      </c>
      <c r="N225" s="5" t="s">
        <v>58</v>
      </c>
      <c r="O225" s="5" t="s">
        <v>25</v>
      </c>
      <c r="P225" s="5" t="s">
        <v>60</v>
      </c>
      <c r="Q225" s="5" t="s">
        <v>37</v>
      </c>
      <c r="R225" s="5" t="s">
        <v>28</v>
      </c>
    </row>
    <row r="226" spans="1:18" x14ac:dyDescent="0.3">
      <c r="A226" s="2" t="s">
        <v>714</v>
      </c>
      <c r="B226" s="1">
        <v>45137</v>
      </c>
      <c r="C226" s="2" t="s">
        <v>715</v>
      </c>
      <c r="D226" s="2" t="s">
        <v>589</v>
      </c>
      <c r="E226" s="2" t="s">
        <v>386</v>
      </c>
      <c r="F226" s="2" t="s">
        <v>33</v>
      </c>
      <c r="G226" s="2" t="s">
        <v>23</v>
      </c>
      <c r="H226" s="3">
        <v>2</v>
      </c>
      <c r="I226" s="3">
        <v>114.61</v>
      </c>
      <c r="J226" s="2">
        <v>0</v>
      </c>
      <c r="K226" s="3">
        <v>18.34</v>
      </c>
      <c r="L226" s="3">
        <v>0.91</v>
      </c>
      <c r="M226" s="3">
        <v>248.47</v>
      </c>
      <c r="N226" s="2" t="s">
        <v>123</v>
      </c>
      <c r="O226" s="2" t="s">
        <v>25</v>
      </c>
      <c r="P226" s="2" t="s">
        <v>145</v>
      </c>
      <c r="Q226" s="2" t="s">
        <v>146</v>
      </c>
      <c r="R226" s="2" t="s">
        <v>38</v>
      </c>
    </row>
    <row r="227" spans="1:18" x14ac:dyDescent="0.3">
      <c r="A227" s="5" t="s">
        <v>716</v>
      </c>
      <c r="B227" s="4">
        <v>44463</v>
      </c>
      <c r="C227" s="5" t="s">
        <v>717</v>
      </c>
      <c r="D227" s="5" t="s">
        <v>163</v>
      </c>
      <c r="E227" s="5" t="s">
        <v>340</v>
      </c>
      <c r="F227" s="5" t="s">
        <v>143</v>
      </c>
      <c r="G227" s="5" t="s">
        <v>203</v>
      </c>
      <c r="H227" s="6">
        <v>5</v>
      </c>
      <c r="I227" s="6">
        <v>303.23</v>
      </c>
      <c r="J227" s="5">
        <v>0</v>
      </c>
      <c r="K227" s="6">
        <v>181.94</v>
      </c>
      <c r="L227" s="6">
        <v>9.58</v>
      </c>
      <c r="M227" s="6">
        <v>1707.67</v>
      </c>
      <c r="N227" s="5" t="s">
        <v>58</v>
      </c>
      <c r="O227" s="5" t="s">
        <v>25</v>
      </c>
      <c r="P227" s="5" t="s">
        <v>178</v>
      </c>
      <c r="Q227" s="5" t="s">
        <v>69</v>
      </c>
      <c r="R227" s="5" t="s">
        <v>38</v>
      </c>
    </row>
    <row r="228" spans="1:18" x14ac:dyDescent="0.3">
      <c r="A228" s="2" t="s">
        <v>718</v>
      </c>
      <c r="B228" s="1">
        <v>44458</v>
      </c>
      <c r="C228" s="2" t="s">
        <v>719</v>
      </c>
      <c r="D228" s="2" t="s">
        <v>720</v>
      </c>
      <c r="E228" s="2" t="s">
        <v>65</v>
      </c>
      <c r="F228" s="2" t="s">
        <v>81</v>
      </c>
      <c r="G228" s="2" t="s">
        <v>100</v>
      </c>
      <c r="H228" s="3">
        <v>4</v>
      </c>
      <c r="I228" s="3">
        <v>377.77</v>
      </c>
      <c r="J228" s="2">
        <v>0.1</v>
      </c>
      <c r="K228" s="3">
        <v>163.19999999999999</v>
      </c>
      <c r="L228" s="3">
        <v>11.35</v>
      </c>
      <c r="M228" s="3">
        <v>1534.52</v>
      </c>
      <c r="N228" s="2" t="s">
        <v>35</v>
      </c>
      <c r="O228" s="2" t="s">
        <v>25</v>
      </c>
      <c r="P228" s="2" t="s">
        <v>26</v>
      </c>
      <c r="Q228" s="2" t="s">
        <v>27</v>
      </c>
      <c r="R228" s="2" t="s">
        <v>38</v>
      </c>
    </row>
    <row r="229" spans="1:18" x14ac:dyDescent="0.3">
      <c r="A229" s="5" t="s">
        <v>721</v>
      </c>
      <c r="B229" s="4">
        <v>44803</v>
      </c>
      <c r="C229" s="5" t="s">
        <v>722</v>
      </c>
      <c r="D229" s="5" t="s">
        <v>116</v>
      </c>
      <c r="E229" s="5" t="s">
        <v>597</v>
      </c>
      <c r="F229" s="5" t="s">
        <v>143</v>
      </c>
      <c r="G229" s="5" t="s">
        <v>23</v>
      </c>
      <c r="H229" s="6">
        <v>5</v>
      </c>
      <c r="I229" s="6">
        <v>165.72</v>
      </c>
      <c r="J229" s="5">
        <v>0.05</v>
      </c>
      <c r="K229" s="6">
        <v>62.97</v>
      </c>
      <c r="L229" s="6">
        <v>4.46</v>
      </c>
      <c r="M229" s="6">
        <v>854.6</v>
      </c>
      <c r="N229" s="5" t="s">
        <v>58</v>
      </c>
      <c r="O229" s="5" t="s">
        <v>25</v>
      </c>
      <c r="P229" s="5" t="s">
        <v>74</v>
      </c>
      <c r="Q229" s="5" t="s">
        <v>75</v>
      </c>
      <c r="R229" s="5" t="s">
        <v>28</v>
      </c>
    </row>
    <row r="230" spans="1:18" x14ac:dyDescent="0.3">
      <c r="A230" s="2" t="s">
        <v>723</v>
      </c>
      <c r="B230" s="1">
        <v>45599</v>
      </c>
      <c r="C230" s="2" t="s">
        <v>724</v>
      </c>
      <c r="D230" s="2" t="s">
        <v>64</v>
      </c>
      <c r="E230" s="2" t="s">
        <v>386</v>
      </c>
      <c r="F230" s="2" t="s">
        <v>143</v>
      </c>
      <c r="G230" s="2" t="s">
        <v>90</v>
      </c>
      <c r="H230" s="3">
        <v>5</v>
      </c>
      <c r="I230" s="3">
        <v>404.33</v>
      </c>
      <c r="J230" s="2">
        <v>0</v>
      </c>
      <c r="K230" s="3">
        <v>161.72999999999999</v>
      </c>
      <c r="L230" s="3">
        <v>4.75</v>
      </c>
      <c r="M230" s="3">
        <v>2188.13</v>
      </c>
      <c r="N230" s="2" t="s">
        <v>58</v>
      </c>
      <c r="O230" s="2" t="s">
        <v>107</v>
      </c>
      <c r="P230" s="2" t="s">
        <v>83</v>
      </c>
      <c r="Q230" s="2" t="s">
        <v>84</v>
      </c>
      <c r="R230" s="2" t="s">
        <v>183</v>
      </c>
    </row>
    <row r="231" spans="1:18" x14ac:dyDescent="0.3">
      <c r="A231" s="5" t="s">
        <v>725</v>
      </c>
      <c r="B231" s="4">
        <v>45113</v>
      </c>
      <c r="C231" s="5" t="s">
        <v>726</v>
      </c>
      <c r="D231" s="5" t="s">
        <v>517</v>
      </c>
      <c r="E231" s="5" t="s">
        <v>142</v>
      </c>
      <c r="F231" s="5" t="s">
        <v>81</v>
      </c>
      <c r="G231" s="5" t="s">
        <v>34</v>
      </c>
      <c r="H231" s="6">
        <v>5</v>
      </c>
      <c r="I231" s="6">
        <v>493.81</v>
      </c>
      <c r="J231" s="5">
        <v>0.3</v>
      </c>
      <c r="K231" s="6">
        <v>138.27000000000001</v>
      </c>
      <c r="L231" s="6">
        <v>14.7</v>
      </c>
      <c r="M231" s="6">
        <v>1881.3</v>
      </c>
      <c r="N231" s="5" t="s">
        <v>35</v>
      </c>
      <c r="O231" s="5" t="s">
        <v>82</v>
      </c>
      <c r="P231" s="5" t="s">
        <v>83</v>
      </c>
      <c r="Q231" s="5" t="s">
        <v>84</v>
      </c>
      <c r="R231" s="5" t="s">
        <v>38</v>
      </c>
    </row>
    <row r="232" spans="1:18" x14ac:dyDescent="0.3">
      <c r="A232" s="2" t="s">
        <v>727</v>
      </c>
      <c r="B232" s="1">
        <v>45213</v>
      </c>
      <c r="C232" s="2" t="s">
        <v>728</v>
      </c>
      <c r="D232" s="2" t="s">
        <v>550</v>
      </c>
      <c r="E232" s="2" t="s">
        <v>156</v>
      </c>
      <c r="F232" s="2" t="s">
        <v>33</v>
      </c>
      <c r="G232" s="2" t="s">
        <v>203</v>
      </c>
      <c r="H232" s="3">
        <v>1</v>
      </c>
      <c r="I232" s="3">
        <v>590.16999999999996</v>
      </c>
      <c r="J232" s="2">
        <v>0.15</v>
      </c>
      <c r="K232" s="3">
        <v>25.08</v>
      </c>
      <c r="L232" s="3">
        <v>3.79</v>
      </c>
      <c r="M232" s="3">
        <v>530.51</v>
      </c>
      <c r="N232" s="2" t="s">
        <v>58</v>
      </c>
      <c r="O232" s="2" t="s">
        <v>107</v>
      </c>
      <c r="P232" s="2" t="s">
        <v>83</v>
      </c>
      <c r="Q232" s="2" t="s">
        <v>84</v>
      </c>
      <c r="R232" s="2" t="s">
        <v>38</v>
      </c>
    </row>
    <row r="233" spans="1:18" x14ac:dyDescent="0.3">
      <c r="A233" s="5" t="s">
        <v>729</v>
      </c>
      <c r="B233" s="4">
        <v>44540</v>
      </c>
      <c r="C233" s="5" t="s">
        <v>730</v>
      </c>
      <c r="D233" s="5" t="s">
        <v>731</v>
      </c>
      <c r="E233" s="5" t="s">
        <v>340</v>
      </c>
      <c r="F233" s="5" t="s">
        <v>81</v>
      </c>
      <c r="G233" s="5" t="s">
        <v>198</v>
      </c>
      <c r="H233" s="6">
        <v>2</v>
      </c>
      <c r="I233" s="6">
        <v>426.66</v>
      </c>
      <c r="J233" s="5">
        <v>0.15</v>
      </c>
      <c r="K233" s="6">
        <v>87.04</v>
      </c>
      <c r="L233" s="6">
        <v>11.68</v>
      </c>
      <c r="M233" s="6">
        <v>824.04</v>
      </c>
      <c r="N233" s="5" t="s">
        <v>35</v>
      </c>
      <c r="O233" s="5" t="s">
        <v>25</v>
      </c>
      <c r="P233" s="5" t="s">
        <v>101</v>
      </c>
      <c r="Q233" s="5" t="s">
        <v>102</v>
      </c>
      <c r="R233" s="5" t="s">
        <v>38</v>
      </c>
    </row>
    <row r="234" spans="1:18" x14ac:dyDescent="0.3">
      <c r="A234" s="2" t="s">
        <v>732</v>
      </c>
      <c r="B234" s="1">
        <v>45310</v>
      </c>
      <c r="C234" s="2" t="s">
        <v>733</v>
      </c>
      <c r="D234" s="2" t="s">
        <v>734</v>
      </c>
      <c r="E234" s="2" t="s">
        <v>283</v>
      </c>
      <c r="F234" s="2" t="s">
        <v>33</v>
      </c>
      <c r="G234" s="2" t="s">
        <v>34</v>
      </c>
      <c r="H234" s="3">
        <v>3</v>
      </c>
      <c r="I234" s="3">
        <v>512.13</v>
      </c>
      <c r="J234" s="2">
        <v>0</v>
      </c>
      <c r="K234" s="3">
        <v>122.91</v>
      </c>
      <c r="L234" s="3">
        <v>14.93</v>
      </c>
      <c r="M234" s="3">
        <v>1674.23</v>
      </c>
      <c r="N234" s="2" t="s">
        <v>123</v>
      </c>
      <c r="O234" s="2" t="s">
        <v>25</v>
      </c>
      <c r="P234" s="2" t="s">
        <v>74</v>
      </c>
      <c r="Q234" s="2" t="s">
        <v>75</v>
      </c>
      <c r="R234" s="2" t="s">
        <v>38</v>
      </c>
    </row>
    <row r="235" spans="1:18" x14ac:dyDescent="0.3">
      <c r="A235" s="5" t="s">
        <v>735</v>
      </c>
      <c r="B235" s="4">
        <v>45265</v>
      </c>
      <c r="C235" s="5" t="s">
        <v>736</v>
      </c>
      <c r="D235" s="5" t="s">
        <v>137</v>
      </c>
      <c r="E235" s="5" t="s">
        <v>256</v>
      </c>
      <c r="F235" s="5" t="s">
        <v>81</v>
      </c>
      <c r="G235" s="5" t="s">
        <v>198</v>
      </c>
      <c r="H235" s="6">
        <v>4</v>
      </c>
      <c r="I235" s="6">
        <v>139.59</v>
      </c>
      <c r="J235" s="5">
        <v>0.05</v>
      </c>
      <c r="K235" s="6">
        <v>26.52</v>
      </c>
      <c r="L235" s="6">
        <v>0.4</v>
      </c>
      <c r="M235" s="6">
        <v>557.36</v>
      </c>
      <c r="N235" s="5" t="s">
        <v>24</v>
      </c>
      <c r="O235" s="5" t="s">
        <v>107</v>
      </c>
      <c r="P235" s="5" t="s">
        <v>36</v>
      </c>
      <c r="Q235" s="5" t="s">
        <v>37</v>
      </c>
      <c r="R235" s="5" t="s">
        <v>38</v>
      </c>
    </row>
    <row r="236" spans="1:18" x14ac:dyDescent="0.3">
      <c r="A236" s="2" t="s">
        <v>737</v>
      </c>
      <c r="B236" s="1">
        <v>44479</v>
      </c>
      <c r="C236" s="2" t="s">
        <v>738</v>
      </c>
      <c r="D236" s="2" t="s">
        <v>327</v>
      </c>
      <c r="E236" s="2" t="s">
        <v>425</v>
      </c>
      <c r="F236" s="2" t="s">
        <v>43</v>
      </c>
      <c r="G236" s="2" t="s">
        <v>49</v>
      </c>
      <c r="H236" s="3">
        <v>2</v>
      </c>
      <c r="I236" s="3">
        <v>130.46</v>
      </c>
      <c r="J236" s="2">
        <v>0.1</v>
      </c>
      <c r="K236" s="3">
        <v>18.79</v>
      </c>
      <c r="L236" s="3">
        <v>0.38</v>
      </c>
      <c r="M236" s="3">
        <v>254</v>
      </c>
      <c r="N236" s="2" t="s">
        <v>24</v>
      </c>
      <c r="O236" s="2" t="s">
        <v>25</v>
      </c>
      <c r="P236" s="2" t="s">
        <v>83</v>
      </c>
      <c r="Q236" s="2" t="s">
        <v>84</v>
      </c>
      <c r="R236" s="2" t="s">
        <v>38</v>
      </c>
    </row>
    <row r="237" spans="1:18" x14ac:dyDescent="0.3">
      <c r="A237" s="5" t="s">
        <v>739</v>
      </c>
      <c r="B237" s="4">
        <v>44148</v>
      </c>
      <c r="C237" s="5" t="s">
        <v>740</v>
      </c>
      <c r="D237" s="5" t="s">
        <v>312</v>
      </c>
      <c r="E237" s="5" t="s">
        <v>73</v>
      </c>
      <c r="F237" s="5" t="s">
        <v>143</v>
      </c>
      <c r="G237" s="5" t="s">
        <v>90</v>
      </c>
      <c r="H237" s="6">
        <v>5</v>
      </c>
      <c r="I237" s="6">
        <v>574.24</v>
      </c>
      <c r="J237" s="5">
        <v>0</v>
      </c>
      <c r="K237" s="6">
        <v>143.56</v>
      </c>
      <c r="L237" s="6">
        <v>13.09</v>
      </c>
      <c r="M237" s="6">
        <v>3027.85</v>
      </c>
      <c r="N237" s="5" t="s">
        <v>58</v>
      </c>
      <c r="O237" s="5" t="s">
        <v>107</v>
      </c>
      <c r="P237" s="5" t="s">
        <v>74</v>
      </c>
      <c r="Q237" s="5" t="s">
        <v>75</v>
      </c>
      <c r="R237" s="5" t="s">
        <v>38</v>
      </c>
    </row>
    <row r="238" spans="1:18" x14ac:dyDescent="0.3">
      <c r="A238" s="2" t="s">
        <v>741</v>
      </c>
      <c r="B238" s="1">
        <v>45531</v>
      </c>
      <c r="C238" s="2" t="s">
        <v>742</v>
      </c>
      <c r="D238" s="2" t="s">
        <v>237</v>
      </c>
      <c r="E238" s="2" t="s">
        <v>202</v>
      </c>
      <c r="F238" s="2" t="s">
        <v>43</v>
      </c>
      <c r="G238" s="2" t="s">
        <v>57</v>
      </c>
      <c r="H238" s="3">
        <v>1</v>
      </c>
      <c r="I238" s="3">
        <v>432.72</v>
      </c>
      <c r="J238" s="2">
        <v>0.2</v>
      </c>
      <c r="K238" s="3">
        <v>62.31</v>
      </c>
      <c r="L238" s="3">
        <v>14.85</v>
      </c>
      <c r="M238" s="3">
        <v>423.34</v>
      </c>
      <c r="N238" s="2" t="s">
        <v>50</v>
      </c>
      <c r="O238" s="2" t="s">
        <v>25</v>
      </c>
      <c r="P238" s="2" t="s">
        <v>68</v>
      </c>
      <c r="Q238" s="2" t="s">
        <v>69</v>
      </c>
      <c r="R238" s="2" t="s">
        <v>28</v>
      </c>
    </row>
    <row r="239" spans="1:18" x14ac:dyDescent="0.3">
      <c r="A239" s="5" t="s">
        <v>743</v>
      </c>
      <c r="B239" s="4">
        <v>45079</v>
      </c>
      <c r="C239" s="5" t="s">
        <v>744</v>
      </c>
      <c r="D239" s="5" t="s">
        <v>327</v>
      </c>
      <c r="E239" s="5" t="s">
        <v>164</v>
      </c>
      <c r="F239" s="5" t="s">
        <v>143</v>
      </c>
      <c r="G239" s="5" t="s">
        <v>203</v>
      </c>
      <c r="H239" s="6">
        <v>5</v>
      </c>
      <c r="I239" s="6">
        <v>73.55</v>
      </c>
      <c r="J239" s="5">
        <v>0.15</v>
      </c>
      <c r="K239" s="6">
        <v>0</v>
      </c>
      <c r="L239" s="6">
        <v>9.0299999999999994</v>
      </c>
      <c r="M239" s="6">
        <v>321.62</v>
      </c>
      <c r="N239" s="5" t="s">
        <v>24</v>
      </c>
      <c r="O239" s="5" t="s">
        <v>25</v>
      </c>
      <c r="P239" s="5" t="s">
        <v>124</v>
      </c>
      <c r="Q239" s="5" t="s">
        <v>125</v>
      </c>
      <c r="R239" s="5" t="s">
        <v>38</v>
      </c>
    </row>
    <row r="240" spans="1:18" x14ac:dyDescent="0.3">
      <c r="A240" s="2" t="s">
        <v>745</v>
      </c>
      <c r="B240" s="1">
        <v>45088</v>
      </c>
      <c r="C240" s="2" t="s">
        <v>746</v>
      </c>
      <c r="D240" s="2" t="s">
        <v>131</v>
      </c>
      <c r="E240" s="2" t="s">
        <v>231</v>
      </c>
      <c r="F240" s="2" t="s">
        <v>143</v>
      </c>
      <c r="G240" s="2" t="s">
        <v>57</v>
      </c>
      <c r="H240" s="3">
        <v>1</v>
      </c>
      <c r="I240" s="3">
        <v>257.51</v>
      </c>
      <c r="J240" s="2">
        <v>0.1</v>
      </c>
      <c r="K240" s="3">
        <v>41.72</v>
      </c>
      <c r="L240" s="3">
        <v>5.25</v>
      </c>
      <c r="M240" s="3">
        <v>278.73</v>
      </c>
      <c r="N240" s="2" t="s">
        <v>58</v>
      </c>
      <c r="O240" s="2" t="s">
        <v>25</v>
      </c>
      <c r="P240" s="2" t="s">
        <v>68</v>
      </c>
      <c r="Q240" s="2" t="s">
        <v>69</v>
      </c>
      <c r="R240" s="2" t="s">
        <v>38</v>
      </c>
    </row>
    <row r="241" spans="1:18" x14ac:dyDescent="0.3">
      <c r="A241" s="5" t="s">
        <v>747</v>
      </c>
      <c r="B241" s="4">
        <v>44514</v>
      </c>
      <c r="C241" s="5" t="s">
        <v>748</v>
      </c>
      <c r="D241" s="5" t="s">
        <v>749</v>
      </c>
      <c r="E241" s="5" t="s">
        <v>267</v>
      </c>
      <c r="F241" s="5" t="s">
        <v>43</v>
      </c>
      <c r="G241" s="5" t="s">
        <v>198</v>
      </c>
      <c r="H241" s="6">
        <v>5</v>
      </c>
      <c r="I241" s="6">
        <v>338.76</v>
      </c>
      <c r="J241" s="5">
        <v>0.05</v>
      </c>
      <c r="K241" s="6">
        <v>193.09</v>
      </c>
      <c r="L241" s="6">
        <v>12.46</v>
      </c>
      <c r="M241" s="6">
        <v>1814.66</v>
      </c>
      <c r="N241" s="5" t="s">
        <v>67</v>
      </c>
      <c r="O241" s="5" t="s">
        <v>25</v>
      </c>
      <c r="P241" s="5" t="s">
        <v>36</v>
      </c>
      <c r="Q241" s="5" t="s">
        <v>37</v>
      </c>
      <c r="R241" s="5" t="s">
        <v>28</v>
      </c>
    </row>
    <row r="242" spans="1:18" x14ac:dyDescent="0.3">
      <c r="A242" s="2" t="s">
        <v>750</v>
      </c>
      <c r="B242" s="1">
        <v>44494</v>
      </c>
      <c r="C242" s="2" t="s">
        <v>751</v>
      </c>
      <c r="D242" s="2" t="s">
        <v>704</v>
      </c>
      <c r="E242" s="2" t="s">
        <v>122</v>
      </c>
      <c r="F242" s="2" t="s">
        <v>143</v>
      </c>
      <c r="G242" s="2" t="s">
        <v>203</v>
      </c>
      <c r="H242" s="3">
        <v>2</v>
      </c>
      <c r="I242" s="3">
        <v>139.97</v>
      </c>
      <c r="J242" s="2">
        <v>0</v>
      </c>
      <c r="K242" s="3">
        <v>22.4</v>
      </c>
      <c r="L242" s="3">
        <v>14.9</v>
      </c>
      <c r="M242" s="3">
        <v>317.24</v>
      </c>
      <c r="N242" s="2" t="s">
        <v>67</v>
      </c>
      <c r="O242" s="2" t="s">
        <v>25</v>
      </c>
      <c r="P242" s="2" t="s">
        <v>112</v>
      </c>
      <c r="Q242" s="2" t="s">
        <v>113</v>
      </c>
      <c r="R242" s="2" t="s">
        <v>76</v>
      </c>
    </row>
    <row r="243" spans="1:18" x14ac:dyDescent="0.3">
      <c r="A243" s="5" t="s">
        <v>752</v>
      </c>
      <c r="B243" s="4">
        <v>45228</v>
      </c>
      <c r="C243" s="5" t="s">
        <v>753</v>
      </c>
      <c r="D243" s="5" t="s">
        <v>754</v>
      </c>
      <c r="E243" s="5" t="s">
        <v>80</v>
      </c>
      <c r="F243" s="5" t="s">
        <v>143</v>
      </c>
      <c r="G243" s="5" t="s">
        <v>57</v>
      </c>
      <c r="H243" s="6">
        <v>4</v>
      </c>
      <c r="I243" s="6">
        <v>202.98</v>
      </c>
      <c r="J243" s="5">
        <v>0.1</v>
      </c>
      <c r="K243" s="6">
        <v>58.46</v>
      </c>
      <c r="L243" s="6">
        <v>0.09</v>
      </c>
      <c r="M243" s="6">
        <v>789.28</v>
      </c>
      <c r="N243" s="5" t="s">
        <v>50</v>
      </c>
      <c r="O243" s="5" t="s">
        <v>25</v>
      </c>
      <c r="P243" s="5" t="s">
        <v>117</v>
      </c>
      <c r="Q243" s="5" t="s">
        <v>118</v>
      </c>
      <c r="R243" s="5" t="s">
        <v>61</v>
      </c>
    </row>
    <row r="244" spans="1:18" x14ac:dyDescent="0.3">
      <c r="A244" s="2" t="s">
        <v>755</v>
      </c>
      <c r="B244" s="1">
        <v>45526</v>
      </c>
      <c r="C244" s="2" t="s">
        <v>756</v>
      </c>
      <c r="D244" s="2" t="s">
        <v>696</v>
      </c>
      <c r="E244" s="2" t="s">
        <v>32</v>
      </c>
      <c r="F244" s="2" t="s">
        <v>33</v>
      </c>
      <c r="G244" s="2" t="s">
        <v>57</v>
      </c>
      <c r="H244" s="3">
        <v>4</v>
      </c>
      <c r="I244" s="3">
        <v>319.11</v>
      </c>
      <c r="J244" s="2">
        <v>0</v>
      </c>
      <c r="K244" s="3">
        <v>63.82</v>
      </c>
      <c r="L244" s="3">
        <v>4.1500000000000004</v>
      </c>
      <c r="M244" s="3">
        <v>1344.41</v>
      </c>
      <c r="N244" s="2" t="s">
        <v>50</v>
      </c>
      <c r="O244" s="2" t="s">
        <v>25</v>
      </c>
      <c r="P244" s="2" t="s">
        <v>60</v>
      </c>
      <c r="Q244" s="2" t="s">
        <v>37</v>
      </c>
      <c r="R244" s="2" t="s">
        <v>38</v>
      </c>
    </row>
    <row r="245" spans="1:18" x14ac:dyDescent="0.3">
      <c r="A245" s="5" t="s">
        <v>757</v>
      </c>
      <c r="B245" s="4">
        <v>45462</v>
      </c>
      <c r="C245" s="5" t="s">
        <v>758</v>
      </c>
      <c r="D245" s="5" t="s">
        <v>317</v>
      </c>
      <c r="E245" s="5" t="s">
        <v>21</v>
      </c>
      <c r="F245" s="5" t="s">
        <v>33</v>
      </c>
      <c r="G245" s="5" t="s">
        <v>49</v>
      </c>
      <c r="H245" s="6">
        <v>1</v>
      </c>
      <c r="I245" s="6">
        <v>370.47</v>
      </c>
      <c r="J245" s="5">
        <v>0.15</v>
      </c>
      <c r="K245" s="6">
        <v>37.79</v>
      </c>
      <c r="L245" s="6">
        <v>0.89</v>
      </c>
      <c r="M245" s="6">
        <v>353.58</v>
      </c>
      <c r="N245" s="5" t="s">
        <v>35</v>
      </c>
      <c r="O245" s="5" t="s">
        <v>25</v>
      </c>
      <c r="P245" s="5" t="s">
        <v>173</v>
      </c>
      <c r="Q245" s="5" t="s">
        <v>174</v>
      </c>
      <c r="R245" s="5" t="s">
        <v>38</v>
      </c>
    </row>
    <row r="246" spans="1:18" x14ac:dyDescent="0.3">
      <c r="A246" s="2" t="s">
        <v>759</v>
      </c>
      <c r="B246" s="1">
        <v>45326</v>
      </c>
      <c r="C246" s="2" t="s">
        <v>760</v>
      </c>
      <c r="D246" s="2" t="s">
        <v>352</v>
      </c>
      <c r="E246" s="2" t="s">
        <v>300</v>
      </c>
      <c r="F246" s="2" t="s">
        <v>43</v>
      </c>
      <c r="G246" s="2" t="s">
        <v>23</v>
      </c>
      <c r="H246" s="3">
        <v>5</v>
      </c>
      <c r="I246" s="3">
        <v>45.49</v>
      </c>
      <c r="J246" s="2">
        <v>0.2</v>
      </c>
      <c r="K246" s="3">
        <v>32.75</v>
      </c>
      <c r="L246" s="3">
        <v>0.02</v>
      </c>
      <c r="M246" s="3">
        <v>214.73</v>
      </c>
      <c r="N246" s="2" t="s">
        <v>24</v>
      </c>
      <c r="O246" s="2" t="s">
        <v>25</v>
      </c>
      <c r="P246" s="2" t="s">
        <v>117</v>
      </c>
      <c r="Q246" s="2" t="s">
        <v>118</v>
      </c>
      <c r="R246" s="2" t="s">
        <v>28</v>
      </c>
    </row>
    <row r="247" spans="1:18" x14ac:dyDescent="0.3">
      <c r="A247" s="5" t="s">
        <v>761</v>
      </c>
      <c r="B247" s="4">
        <v>45087</v>
      </c>
      <c r="C247" s="5" t="s">
        <v>762</v>
      </c>
      <c r="D247" s="5" t="s">
        <v>290</v>
      </c>
      <c r="E247" s="5" t="s">
        <v>21</v>
      </c>
      <c r="F247" s="5" t="s">
        <v>43</v>
      </c>
      <c r="G247" s="5" t="s">
        <v>90</v>
      </c>
      <c r="H247" s="6">
        <v>3</v>
      </c>
      <c r="I247" s="6">
        <v>116.12</v>
      </c>
      <c r="J247" s="5">
        <v>0</v>
      </c>
      <c r="K247" s="6">
        <v>62.7</v>
      </c>
      <c r="L247" s="6">
        <v>5.45</v>
      </c>
      <c r="M247" s="6">
        <v>416.51</v>
      </c>
      <c r="N247" s="5" t="s">
        <v>58</v>
      </c>
      <c r="O247" s="5" t="s">
        <v>25</v>
      </c>
      <c r="P247" s="5" t="s">
        <v>117</v>
      </c>
      <c r="Q247" s="5" t="s">
        <v>118</v>
      </c>
      <c r="R247" s="5" t="s">
        <v>28</v>
      </c>
    </row>
    <row r="248" spans="1:18" x14ac:dyDescent="0.3">
      <c r="A248" s="2" t="s">
        <v>763</v>
      </c>
      <c r="B248" s="1">
        <v>45546</v>
      </c>
      <c r="C248" s="2" t="s">
        <v>764</v>
      </c>
      <c r="D248" s="2" t="s">
        <v>343</v>
      </c>
      <c r="E248" s="2" t="s">
        <v>498</v>
      </c>
      <c r="F248" s="2" t="s">
        <v>143</v>
      </c>
      <c r="G248" s="2" t="s">
        <v>23</v>
      </c>
      <c r="H248" s="3">
        <v>3</v>
      </c>
      <c r="I248" s="3">
        <v>297.86</v>
      </c>
      <c r="J248" s="2">
        <v>0.2</v>
      </c>
      <c r="K248" s="3">
        <v>85.78</v>
      </c>
      <c r="L248" s="3">
        <v>7.14</v>
      </c>
      <c r="M248" s="3">
        <v>807.78</v>
      </c>
      <c r="N248" s="2" t="s">
        <v>58</v>
      </c>
      <c r="O248" s="2" t="s">
        <v>107</v>
      </c>
      <c r="P248" s="2" t="s">
        <v>145</v>
      </c>
      <c r="Q248" s="2" t="s">
        <v>146</v>
      </c>
      <c r="R248" s="2" t="s">
        <v>38</v>
      </c>
    </row>
    <row r="249" spans="1:18" x14ac:dyDescent="0.3">
      <c r="A249" s="5" t="s">
        <v>765</v>
      </c>
      <c r="B249" s="4">
        <v>44967</v>
      </c>
      <c r="C249" s="5" t="s">
        <v>766</v>
      </c>
      <c r="D249" s="5" t="s">
        <v>767</v>
      </c>
      <c r="E249" s="5" t="s">
        <v>21</v>
      </c>
      <c r="F249" s="5" t="s">
        <v>81</v>
      </c>
      <c r="G249" s="5" t="s">
        <v>198</v>
      </c>
      <c r="H249" s="6">
        <v>5</v>
      </c>
      <c r="I249" s="6">
        <v>89.26</v>
      </c>
      <c r="J249" s="5">
        <v>0</v>
      </c>
      <c r="K249" s="6">
        <v>35.700000000000003</v>
      </c>
      <c r="L249" s="6">
        <v>2.92</v>
      </c>
      <c r="M249" s="6">
        <v>484.92</v>
      </c>
      <c r="N249" s="5" t="s">
        <v>24</v>
      </c>
      <c r="O249" s="5" t="s">
        <v>25</v>
      </c>
      <c r="P249" s="5" t="s">
        <v>178</v>
      </c>
      <c r="Q249" s="5" t="s">
        <v>69</v>
      </c>
      <c r="R249" s="5" t="s">
        <v>38</v>
      </c>
    </row>
    <row r="250" spans="1:18" x14ac:dyDescent="0.3">
      <c r="A250" s="2" t="s">
        <v>768</v>
      </c>
      <c r="B250" s="1">
        <v>45351</v>
      </c>
      <c r="C250" s="2" t="s">
        <v>769</v>
      </c>
      <c r="D250" s="2" t="s">
        <v>770</v>
      </c>
      <c r="E250" s="2" t="s">
        <v>324</v>
      </c>
      <c r="F250" s="2" t="s">
        <v>143</v>
      </c>
      <c r="G250" s="2" t="s">
        <v>198</v>
      </c>
      <c r="H250" s="3">
        <v>4</v>
      </c>
      <c r="I250" s="3">
        <v>73.540000000000006</v>
      </c>
      <c r="J250" s="2">
        <v>0.2</v>
      </c>
      <c r="K250" s="3">
        <v>18.829999999999998</v>
      </c>
      <c r="L250" s="3">
        <v>11.23</v>
      </c>
      <c r="M250" s="3">
        <v>265.39</v>
      </c>
      <c r="N250" s="2" t="s">
        <v>24</v>
      </c>
      <c r="O250" s="2" t="s">
        <v>25</v>
      </c>
      <c r="P250" s="2" t="s">
        <v>51</v>
      </c>
      <c r="Q250" s="2" t="s">
        <v>52</v>
      </c>
      <c r="R250" s="2" t="s">
        <v>38</v>
      </c>
    </row>
    <row r="251" spans="1:18" x14ac:dyDescent="0.3">
      <c r="A251" s="5" t="s">
        <v>771</v>
      </c>
      <c r="B251" s="4">
        <v>44272</v>
      </c>
      <c r="C251" s="5" t="s">
        <v>772</v>
      </c>
      <c r="D251" s="5" t="s">
        <v>385</v>
      </c>
      <c r="E251" s="5" t="s">
        <v>177</v>
      </c>
      <c r="F251" s="5" t="s">
        <v>33</v>
      </c>
      <c r="G251" s="5" t="s">
        <v>203</v>
      </c>
      <c r="H251" s="6">
        <v>4</v>
      </c>
      <c r="I251" s="6">
        <v>214.42</v>
      </c>
      <c r="J251" s="5">
        <v>0</v>
      </c>
      <c r="K251" s="6">
        <v>102.92</v>
      </c>
      <c r="L251" s="6">
        <v>9.31</v>
      </c>
      <c r="M251" s="6">
        <v>969.91</v>
      </c>
      <c r="N251" s="5" t="s">
        <v>58</v>
      </c>
      <c r="O251" s="5" t="s">
        <v>25</v>
      </c>
      <c r="P251" s="5" t="s">
        <v>133</v>
      </c>
      <c r="Q251" s="5" t="s">
        <v>134</v>
      </c>
      <c r="R251" s="5" t="s">
        <v>38</v>
      </c>
    </row>
    <row r="252" spans="1:18" x14ac:dyDescent="0.3">
      <c r="A252" s="2" t="s">
        <v>773</v>
      </c>
      <c r="B252" s="1">
        <v>44394</v>
      </c>
      <c r="C252" s="2" t="s">
        <v>774</v>
      </c>
      <c r="D252" s="2" t="s">
        <v>525</v>
      </c>
      <c r="E252" s="2" t="s">
        <v>138</v>
      </c>
      <c r="F252" s="2" t="s">
        <v>33</v>
      </c>
      <c r="G252" s="2" t="s">
        <v>203</v>
      </c>
      <c r="H252" s="3">
        <v>4</v>
      </c>
      <c r="I252" s="3">
        <v>234.78</v>
      </c>
      <c r="J252" s="2">
        <v>0.1</v>
      </c>
      <c r="K252" s="3">
        <v>101.42</v>
      </c>
      <c r="L252" s="3">
        <v>0.79</v>
      </c>
      <c r="M252" s="3">
        <v>947.42</v>
      </c>
      <c r="N252" s="2" t="s">
        <v>58</v>
      </c>
      <c r="O252" s="2" t="s">
        <v>25</v>
      </c>
      <c r="P252" s="2" t="s">
        <v>74</v>
      </c>
      <c r="Q252" s="2" t="s">
        <v>75</v>
      </c>
      <c r="R252" s="2" t="s">
        <v>38</v>
      </c>
    </row>
    <row r="253" spans="1:18" x14ac:dyDescent="0.3">
      <c r="A253" s="5" t="s">
        <v>775</v>
      </c>
      <c r="B253" s="4">
        <v>45122</v>
      </c>
      <c r="C253" s="5" t="s">
        <v>776</v>
      </c>
      <c r="D253" s="5" t="s">
        <v>327</v>
      </c>
      <c r="E253" s="5" t="s">
        <v>21</v>
      </c>
      <c r="F253" s="5" t="s">
        <v>43</v>
      </c>
      <c r="G253" s="5" t="s">
        <v>90</v>
      </c>
      <c r="H253" s="6">
        <v>5</v>
      </c>
      <c r="I253" s="6">
        <v>274.55</v>
      </c>
      <c r="J253" s="5">
        <v>0.3</v>
      </c>
      <c r="K253" s="6">
        <v>48.05</v>
      </c>
      <c r="L253" s="6">
        <v>5.27</v>
      </c>
      <c r="M253" s="6">
        <v>1014.24</v>
      </c>
      <c r="N253" s="5" t="s">
        <v>24</v>
      </c>
      <c r="O253" s="5" t="s">
        <v>82</v>
      </c>
      <c r="P253" s="5" t="s">
        <v>26</v>
      </c>
      <c r="Q253" s="5" t="s">
        <v>27</v>
      </c>
      <c r="R253" s="5" t="s">
        <v>38</v>
      </c>
    </row>
    <row r="254" spans="1:18" x14ac:dyDescent="0.3">
      <c r="A254" s="2" t="s">
        <v>777</v>
      </c>
      <c r="B254" s="1">
        <v>45364</v>
      </c>
      <c r="C254" s="2" t="s">
        <v>778</v>
      </c>
      <c r="D254" s="2" t="s">
        <v>343</v>
      </c>
      <c r="E254" s="2" t="s">
        <v>691</v>
      </c>
      <c r="F254" s="2" t="s">
        <v>143</v>
      </c>
      <c r="G254" s="2" t="s">
        <v>90</v>
      </c>
      <c r="H254" s="3">
        <v>5</v>
      </c>
      <c r="I254" s="3">
        <v>187.41</v>
      </c>
      <c r="J254" s="2">
        <v>0.25</v>
      </c>
      <c r="K254" s="3">
        <v>35.14</v>
      </c>
      <c r="L254" s="3">
        <v>13.38</v>
      </c>
      <c r="M254" s="3">
        <v>751.31</v>
      </c>
      <c r="N254" s="2" t="s">
        <v>123</v>
      </c>
      <c r="O254" s="2" t="s">
        <v>107</v>
      </c>
      <c r="P254" s="2" t="s">
        <v>44</v>
      </c>
      <c r="Q254" s="2" t="s">
        <v>37</v>
      </c>
      <c r="R254" s="2" t="s">
        <v>61</v>
      </c>
    </row>
    <row r="255" spans="1:18" x14ac:dyDescent="0.3">
      <c r="A255" s="5" t="s">
        <v>779</v>
      </c>
      <c r="B255" s="4">
        <v>45240</v>
      </c>
      <c r="C255" s="5" t="s">
        <v>780</v>
      </c>
      <c r="D255" s="5" t="s">
        <v>472</v>
      </c>
      <c r="E255" s="5" t="s">
        <v>88</v>
      </c>
      <c r="F255" s="5" t="s">
        <v>22</v>
      </c>
      <c r="G255" s="5" t="s">
        <v>23</v>
      </c>
      <c r="H255" s="6">
        <v>4</v>
      </c>
      <c r="I255" s="6">
        <v>230.36</v>
      </c>
      <c r="J255" s="5">
        <v>0.15</v>
      </c>
      <c r="K255" s="6">
        <v>39.159999999999997</v>
      </c>
      <c r="L255" s="6">
        <v>2</v>
      </c>
      <c r="M255" s="6">
        <v>824.38</v>
      </c>
      <c r="N255" s="5" t="s">
        <v>35</v>
      </c>
      <c r="O255" s="5" t="s">
        <v>25</v>
      </c>
      <c r="P255" s="5" t="s">
        <v>74</v>
      </c>
      <c r="Q255" s="5" t="s">
        <v>75</v>
      </c>
      <c r="R255" s="5" t="s">
        <v>28</v>
      </c>
    </row>
    <row r="256" spans="1:18" x14ac:dyDescent="0.3">
      <c r="A256" s="2" t="s">
        <v>781</v>
      </c>
      <c r="B256" s="1">
        <v>45241</v>
      </c>
      <c r="C256" s="2" t="s">
        <v>782</v>
      </c>
      <c r="D256" s="2" t="s">
        <v>352</v>
      </c>
      <c r="E256" s="2" t="s">
        <v>80</v>
      </c>
      <c r="F256" s="2" t="s">
        <v>143</v>
      </c>
      <c r="G256" s="2" t="s">
        <v>66</v>
      </c>
      <c r="H256" s="3">
        <v>5</v>
      </c>
      <c r="I256" s="3">
        <v>259.57</v>
      </c>
      <c r="J256" s="2">
        <v>0.05</v>
      </c>
      <c r="K256" s="3">
        <v>0</v>
      </c>
      <c r="L256" s="3">
        <v>7.79</v>
      </c>
      <c r="M256" s="3">
        <v>1240.75</v>
      </c>
      <c r="N256" s="2" t="s">
        <v>67</v>
      </c>
      <c r="O256" s="2" t="s">
        <v>82</v>
      </c>
      <c r="P256" s="2" t="s">
        <v>165</v>
      </c>
      <c r="Q256" s="2" t="s">
        <v>37</v>
      </c>
      <c r="R256" s="2" t="s">
        <v>38</v>
      </c>
    </row>
    <row r="257" spans="1:18" x14ac:dyDescent="0.3">
      <c r="A257" s="5" t="s">
        <v>783</v>
      </c>
      <c r="B257" s="4">
        <v>44967</v>
      </c>
      <c r="C257" s="5" t="s">
        <v>784</v>
      </c>
      <c r="D257" s="5" t="s">
        <v>785</v>
      </c>
      <c r="E257" s="5" t="s">
        <v>132</v>
      </c>
      <c r="F257" s="5" t="s">
        <v>143</v>
      </c>
      <c r="G257" s="5" t="s">
        <v>49</v>
      </c>
      <c r="H257" s="6">
        <v>4</v>
      </c>
      <c r="I257" s="6">
        <v>428.27</v>
      </c>
      <c r="J257" s="5">
        <v>0.25</v>
      </c>
      <c r="K257" s="6">
        <v>154.18</v>
      </c>
      <c r="L257" s="6">
        <v>12.7</v>
      </c>
      <c r="M257" s="6">
        <v>1451.69</v>
      </c>
      <c r="N257" s="5" t="s">
        <v>50</v>
      </c>
      <c r="O257" s="5" t="s">
        <v>25</v>
      </c>
      <c r="P257" s="5" t="s">
        <v>26</v>
      </c>
      <c r="Q257" s="5" t="s">
        <v>27</v>
      </c>
      <c r="R257" s="5" t="s">
        <v>28</v>
      </c>
    </row>
    <row r="258" spans="1:18" x14ac:dyDescent="0.3">
      <c r="A258" s="2" t="s">
        <v>786</v>
      </c>
      <c r="B258" s="1">
        <v>45467</v>
      </c>
      <c r="C258" s="2" t="s">
        <v>787</v>
      </c>
      <c r="D258" s="2" t="s">
        <v>788</v>
      </c>
      <c r="E258" s="2" t="s">
        <v>324</v>
      </c>
      <c r="F258" s="2" t="s">
        <v>22</v>
      </c>
      <c r="G258" s="2" t="s">
        <v>203</v>
      </c>
      <c r="H258" s="3">
        <v>5</v>
      </c>
      <c r="I258" s="3">
        <v>428.5</v>
      </c>
      <c r="J258" s="2">
        <v>0</v>
      </c>
      <c r="K258" s="3">
        <v>171.4</v>
      </c>
      <c r="L258" s="3">
        <v>0.81</v>
      </c>
      <c r="M258" s="3">
        <v>2314.71</v>
      </c>
      <c r="N258" s="2" t="s">
        <v>35</v>
      </c>
      <c r="O258" s="2" t="s">
        <v>25</v>
      </c>
      <c r="P258" s="2" t="s">
        <v>51</v>
      </c>
      <c r="Q258" s="2" t="s">
        <v>52</v>
      </c>
      <c r="R258" s="2" t="s">
        <v>38</v>
      </c>
    </row>
    <row r="259" spans="1:18" x14ac:dyDescent="0.3">
      <c r="A259" s="5" t="s">
        <v>789</v>
      </c>
      <c r="B259" s="4">
        <v>45479</v>
      </c>
      <c r="C259" s="5" t="s">
        <v>790</v>
      </c>
      <c r="D259" s="5" t="s">
        <v>791</v>
      </c>
      <c r="E259" s="5" t="s">
        <v>65</v>
      </c>
      <c r="F259" s="5" t="s">
        <v>43</v>
      </c>
      <c r="G259" s="5" t="s">
        <v>49</v>
      </c>
      <c r="H259" s="6">
        <v>5</v>
      </c>
      <c r="I259" s="6">
        <v>101.42</v>
      </c>
      <c r="J259" s="5">
        <v>0</v>
      </c>
      <c r="K259" s="6">
        <v>60.85</v>
      </c>
      <c r="L259" s="6">
        <v>0.03</v>
      </c>
      <c r="M259" s="6">
        <v>567.98</v>
      </c>
      <c r="N259" s="5" t="s">
        <v>24</v>
      </c>
      <c r="O259" s="5" t="s">
        <v>25</v>
      </c>
      <c r="P259" s="5" t="s">
        <v>257</v>
      </c>
      <c r="Q259" s="5" t="s">
        <v>69</v>
      </c>
      <c r="R259" s="5" t="s">
        <v>28</v>
      </c>
    </row>
    <row r="260" spans="1:18" x14ac:dyDescent="0.3">
      <c r="A260" s="2" t="s">
        <v>792</v>
      </c>
      <c r="B260" s="1">
        <v>44782</v>
      </c>
      <c r="C260" s="2" t="s">
        <v>793</v>
      </c>
      <c r="D260" s="2" t="s">
        <v>528</v>
      </c>
      <c r="E260" s="2" t="s">
        <v>99</v>
      </c>
      <c r="F260" s="2" t="s">
        <v>89</v>
      </c>
      <c r="G260" s="2" t="s">
        <v>34</v>
      </c>
      <c r="H260" s="3">
        <v>2</v>
      </c>
      <c r="I260" s="3">
        <v>177.35</v>
      </c>
      <c r="J260" s="2">
        <v>0.05</v>
      </c>
      <c r="K260" s="3">
        <v>26.96</v>
      </c>
      <c r="L260" s="3">
        <v>14.57</v>
      </c>
      <c r="M260" s="3">
        <v>378.49</v>
      </c>
      <c r="N260" s="2" t="s">
        <v>24</v>
      </c>
      <c r="O260" s="2" t="s">
        <v>25</v>
      </c>
      <c r="P260" s="2" t="s">
        <v>178</v>
      </c>
      <c r="Q260" s="2" t="s">
        <v>69</v>
      </c>
      <c r="R260" s="2" t="s">
        <v>38</v>
      </c>
    </row>
    <row r="261" spans="1:18" x14ac:dyDescent="0.3">
      <c r="A261" s="5" t="s">
        <v>794</v>
      </c>
      <c r="B261" s="4">
        <v>44935</v>
      </c>
      <c r="C261" s="5" t="s">
        <v>795</v>
      </c>
      <c r="D261" s="5" t="s">
        <v>796</v>
      </c>
      <c r="E261" s="5" t="s">
        <v>691</v>
      </c>
      <c r="F261" s="5" t="s">
        <v>89</v>
      </c>
      <c r="G261" s="5" t="s">
        <v>90</v>
      </c>
      <c r="H261" s="6">
        <v>5</v>
      </c>
      <c r="I261" s="6">
        <v>276.27</v>
      </c>
      <c r="J261" s="5">
        <v>0</v>
      </c>
      <c r="K261" s="6">
        <v>110.51</v>
      </c>
      <c r="L261" s="6">
        <v>9.92</v>
      </c>
      <c r="M261" s="6">
        <v>1501.78</v>
      </c>
      <c r="N261" s="5" t="s">
        <v>123</v>
      </c>
      <c r="O261" s="5" t="s">
        <v>25</v>
      </c>
      <c r="P261" s="5" t="s">
        <v>145</v>
      </c>
      <c r="Q261" s="5" t="s">
        <v>146</v>
      </c>
      <c r="R261" s="5" t="s">
        <v>38</v>
      </c>
    </row>
    <row r="262" spans="1:18" x14ac:dyDescent="0.3">
      <c r="A262" s="2" t="s">
        <v>797</v>
      </c>
      <c r="B262" s="1">
        <v>44529</v>
      </c>
      <c r="C262" s="2" t="s">
        <v>798</v>
      </c>
      <c r="D262" s="2" t="s">
        <v>720</v>
      </c>
      <c r="E262" s="2" t="s">
        <v>197</v>
      </c>
      <c r="F262" s="2" t="s">
        <v>143</v>
      </c>
      <c r="G262" s="2" t="s">
        <v>203</v>
      </c>
      <c r="H262" s="3">
        <v>2</v>
      </c>
      <c r="I262" s="3">
        <v>220.49</v>
      </c>
      <c r="J262" s="2">
        <v>0.25</v>
      </c>
      <c r="K262" s="3">
        <v>39.69</v>
      </c>
      <c r="L262" s="3">
        <v>11.42</v>
      </c>
      <c r="M262" s="3">
        <v>381.84</v>
      </c>
      <c r="N262" s="2" t="s">
        <v>24</v>
      </c>
      <c r="O262" s="2" t="s">
        <v>25</v>
      </c>
      <c r="P262" s="2" t="s">
        <v>95</v>
      </c>
      <c r="Q262" s="2" t="s">
        <v>37</v>
      </c>
      <c r="R262" s="2" t="s">
        <v>38</v>
      </c>
    </row>
    <row r="263" spans="1:18" x14ac:dyDescent="0.3">
      <c r="A263" s="5" t="s">
        <v>799</v>
      </c>
      <c r="B263" s="4">
        <v>43943</v>
      </c>
      <c r="C263" s="5" t="s">
        <v>800</v>
      </c>
      <c r="D263" s="5" t="s">
        <v>801</v>
      </c>
      <c r="E263" s="5" t="s">
        <v>220</v>
      </c>
      <c r="F263" s="5" t="s">
        <v>22</v>
      </c>
      <c r="G263" s="5" t="s">
        <v>268</v>
      </c>
      <c r="H263" s="6">
        <v>5</v>
      </c>
      <c r="I263" s="6">
        <v>55.8</v>
      </c>
      <c r="J263" s="5">
        <v>0.15</v>
      </c>
      <c r="K263" s="6">
        <v>11.86</v>
      </c>
      <c r="L263" s="6">
        <v>1.6</v>
      </c>
      <c r="M263" s="6">
        <v>250.61</v>
      </c>
      <c r="N263" s="5" t="s">
        <v>58</v>
      </c>
      <c r="O263" s="5" t="s">
        <v>25</v>
      </c>
      <c r="P263" s="5" t="s">
        <v>133</v>
      </c>
      <c r="Q263" s="5" t="s">
        <v>134</v>
      </c>
      <c r="R263" s="5" t="s">
        <v>38</v>
      </c>
    </row>
    <row r="264" spans="1:18" x14ac:dyDescent="0.3">
      <c r="A264" s="2" t="s">
        <v>802</v>
      </c>
      <c r="B264" s="1">
        <v>43832</v>
      </c>
      <c r="C264" s="2" t="s">
        <v>803</v>
      </c>
      <c r="D264" s="2" t="s">
        <v>804</v>
      </c>
      <c r="E264" s="2" t="s">
        <v>243</v>
      </c>
      <c r="F264" s="2" t="s">
        <v>33</v>
      </c>
      <c r="G264" s="2" t="s">
        <v>49</v>
      </c>
      <c r="H264" s="3">
        <v>3</v>
      </c>
      <c r="I264" s="3">
        <v>520.47</v>
      </c>
      <c r="J264" s="2">
        <v>0.05</v>
      </c>
      <c r="K264" s="3">
        <v>267</v>
      </c>
      <c r="L264" s="3">
        <v>0.93</v>
      </c>
      <c r="M264" s="3">
        <v>1751.27</v>
      </c>
      <c r="N264" s="2" t="s">
        <v>24</v>
      </c>
      <c r="O264" s="2" t="s">
        <v>25</v>
      </c>
      <c r="P264" s="2" t="s">
        <v>145</v>
      </c>
      <c r="Q264" s="2" t="s">
        <v>146</v>
      </c>
      <c r="R264" s="2" t="s">
        <v>28</v>
      </c>
    </row>
    <row r="265" spans="1:18" x14ac:dyDescent="0.3">
      <c r="A265" s="5" t="s">
        <v>805</v>
      </c>
      <c r="B265" s="4">
        <v>44472</v>
      </c>
      <c r="C265" s="5" t="s">
        <v>806</v>
      </c>
      <c r="D265" s="5" t="s">
        <v>807</v>
      </c>
      <c r="E265" s="5" t="s">
        <v>267</v>
      </c>
      <c r="F265" s="5" t="s">
        <v>33</v>
      </c>
      <c r="G265" s="5" t="s">
        <v>49</v>
      </c>
      <c r="H265" s="6">
        <v>5</v>
      </c>
      <c r="I265" s="6">
        <v>567.72</v>
      </c>
      <c r="J265" s="5">
        <v>0.05</v>
      </c>
      <c r="K265" s="6">
        <v>323.60000000000002</v>
      </c>
      <c r="L265" s="6">
        <v>10.53</v>
      </c>
      <c r="M265" s="6">
        <v>3030.8</v>
      </c>
      <c r="N265" s="5" t="s">
        <v>58</v>
      </c>
      <c r="O265" s="5" t="s">
        <v>25</v>
      </c>
      <c r="P265" s="5" t="s">
        <v>36</v>
      </c>
      <c r="Q265" s="5" t="s">
        <v>37</v>
      </c>
      <c r="R265" s="5" t="s">
        <v>38</v>
      </c>
    </row>
    <row r="266" spans="1:18" x14ac:dyDescent="0.3">
      <c r="A266" s="2" t="s">
        <v>808</v>
      </c>
      <c r="B266" s="1">
        <v>44050</v>
      </c>
      <c r="C266" s="2" t="s">
        <v>809</v>
      </c>
      <c r="D266" s="2" t="s">
        <v>163</v>
      </c>
      <c r="E266" s="2" t="s">
        <v>48</v>
      </c>
      <c r="F266" s="2" t="s">
        <v>81</v>
      </c>
      <c r="G266" s="2" t="s">
        <v>49</v>
      </c>
      <c r="H266" s="3">
        <v>3</v>
      </c>
      <c r="I266" s="3">
        <v>451.53</v>
      </c>
      <c r="J266" s="2">
        <v>0.1</v>
      </c>
      <c r="K266" s="3">
        <v>146.30000000000001</v>
      </c>
      <c r="L266" s="3">
        <v>14.32</v>
      </c>
      <c r="M266" s="3">
        <v>1379.75</v>
      </c>
      <c r="N266" s="2" t="s">
        <v>35</v>
      </c>
      <c r="O266" s="2" t="s">
        <v>25</v>
      </c>
      <c r="P266" s="2" t="s">
        <v>173</v>
      </c>
      <c r="Q266" s="2" t="s">
        <v>174</v>
      </c>
      <c r="R266" s="2" t="s">
        <v>38</v>
      </c>
    </row>
    <row r="267" spans="1:18" x14ac:dyDescent="0.3">
      <c r="A267" s="5" t="s">
        <v>810</v>
      </c>
      <c r="B267" s="4">
        <v>45420</v>
      </c>
      <c r="C267" s="5" t="s">
        <v>811</v>
      </c>
      <c r="D267" s="5" t="s">
        <v>41</v>
      </c>
      <c r="E267" s="5" t="s">
        <v>177</v>
      </c>
      <c r="F267" s="5" t="s">
        <v>143</v>
      </c>
      <c r="G267" s="5" t="s">
        <v>23</v>
      </c>
      <c r="H267" s="6">
        <v>5</v>
      </c>
      <c r="I267" s="6">
        <v>594.86</v>
      </c>
      <c r="J267" s="5">
        <v>0</v>
      </c>
      <c r="K267" s="6">
        <v>237.94</v>
      </c>
      <c r="L267" s="6">
        <v>2.37</v>
      </c>
      <c r="M267" s="6">
        <v>3214.61</v>
      </c>
      <c r="N267" s="5" t="s">
        <v>24</v>
      </c>
      <c r="O267" s="5" t="s">
        <v>25</v>
      </c>
      <c r="P267" s="5" t="s">
        <v>117</v>
      </c>
      <c r="Q267" s="5" t="s">
        <v>118</v>
      </c>
      <c r="R267" s="5" t="s">
        <v>38</v>
      </c>
    </row>
    <row r="268" spans="1:18" x14ac:dyDescent="0.3">
      <c r="A268" s="2" t="s">
        <v>812</v>
      </c>
      <c r="B268" s="1">
        <v>44685</v>
      </c>
      <c r="C268" s="2" t="s">
        <v>813</v>
      </c>
      <c r="D268" s="2" t="s">
        <v>385</v>
      </c>
      <c r="E268" s="2" t="s">
        <v>156</v>
      </c>
      <c r="F268" s="2" t="s">
        <v>81</v>
      </c>
      <c r="G268" s="2" t="s">
        <v>90</v>
      </c>
      <c r="H268" s="3">
        <v>2</v>
      </c>
      <c r="I268" s="3">
        <v>349.96</v>
      </c>
      <c r="J268" s="2">
        <v>0</v>
      </c>
      <c r="K268" s="3">
        <v>35</v>
      </c>
      <c r="L268" s="3">
        <v>6.25</v>
      </c>
      <c r="M268" s="3">
        <v>741.17</v>
      </c>
      <c r="N268" s="2" t="s">
        <v>50</v>
      </c>
      <c r="O268" s="2" t="s">
        <v>25</v>
      </c>
      <c r="P268" s="2" t="s">
        <v>101</v>
      </c>
      <c r="Q268" s="2" t="s">
        <v>102</v>
      </c>
      <c r="R268" s="2" t="s">
        <v>38</v>
      </c>
    </row>
    <row r="269" spans="1:18" x14ac:dyDescent="0.3">
      <c r="A269" s="5" t="s">
        <v>814</v>
      </c>
      <c r="B269" s="4">
        <v>45590</v>
      </c>
      <c r="C269" s="5" t="s">
        <v>815</v>
      </c>
      <c r="D269" s="5" t="s">
        <v>816</v>
      </c>
      <c r="E269" s="5" t="s">
        <v>111</v>
      </c>
      <c r="F269" s="5" t="s">
        <v>33</v>
      </c>
      <c r="G269" s="5" t="s">
        <v>49</v>
      </c>
      <c r="H269" s="6">
        <v>5</v>
      </c>
      <c r="I269" s="6">
        <v>492.27</v>
      </c>
      <c r="J269" s="5">
        <v>0.1</v>
      </c>
      <c r="K269" s="6">
        <v>110.76</v>
      </c>
      <c r="L269" s="6">
        <v>7.62</v>
      </c>
      <c r="M269" s="6">
        <v>2333.6</v>
      </c>
      <c r="N269" s="5" t="s">
        <v>67</v>
      </c>
      <c r="O269" s="5" t="s">
        <v>25</v>
      </c>
      <c r="P269" s="5" t="s">
        <v>60</v>
      </c>
      <c r="Q269" s="5" t="s">
        <v>37</v>
      </c>
      <c r="R269" s="5" t="s">
        <v>76</v>
      </c>
    </row>
    <row r="270" spans="1:18" x14ac:dyDescent="0.3">
      <c r="A270" s="2" t="s">
        <v>817</v>
      </c>
      <c r="B270" s="1">
        <v>45079</v>
      </c>
      <c r="C270" s="2" t="s">
        <v>818</v>
      </c>
      <c r="D270" s="2" t="s">
        <v>193</v>
      </c>
      <c r="E270" s="2" t="s">
        <v>138</v>
      </c>
      <c r="F270" s="2" t="s">
        <v>89</v>
      </c>
      <c r="G270" s="2" t="s">
        <v>90</v>
      </c>
      <c r="H270" s="3">
        <v>1</v>
      </c>
      <c r="I270" s="3">
        <v>94.16</v>
      </c>
      <c r="J270" s="2">
        <v>0.05</v>
      </c>
      <c r="K270" s="3">
        <v>7.16</v>
      </c>
      <c r="L270" s="3">
        <v>0.9</v>
      </c>
      <c r="M270" s="3">
        <v>97.51</v>
      </c>
      <c r="N270" s="2" t="s">
        <v>58</v>
      </c>
      <c r="O270" s="2" t="s">
        <v>25</v>
      </c>
      <c r="P270" s="2" t="s">
        <v>101</v>
      </c>
      <c r="Q270" s="2" t="s">
        <v>102</v>
      </c>
      <c r="R270" s="2" t="s">
        <v>38</v>
      </c>
    </row>
    <row r="271" spans="1:18" x14ac:dyDescent="0.3">
      <c r="A271" s="5" t="s">
        <v>819</v>
      </c>
      <c r="B271" s="4">
        <v>44215</v>
      </c>
      <c r="C271" s="5" t="s">
        <v>820</v>
      </c>
      <c r="D271" s="5" t="s">
        <v>252</v>
      </c>
      <c r="E271" s="5" t="s">
        <v>122</v>
      </c>
      <c r="F271" s="5" t="s">
        <v>22</v>
      </c>
      <c r="G271" s="5" t="s">
        <v>198</v>
      </c>
      <c r="H271" s="6">
        <v>1</v>
      </c>
      <c r="I271" s="6">
        <v>348.88</v>
      </c>
      <c r="J271" s="5">
        <v>0.1</v>
      </c>
      <c r="K271" s="6">
        <v>37.68</v>
      </c>
      <c r="L271" s="6">
        <v>5.52</v>
      </c>
      <c r="M271" s="6">
        <v>357.19</v>
      </c>
      <c r="N271" s="5" t="s">
        <v>58</v>
      </c>
      <c r="O271" s="5" t="s">
        <v>25</v>
      </c>
      <c r="P271" s="5" t="s">
        <v>95</v>
      </c>
      <c r="Q271" s="5" t="s">
        <v>37</v>
      </c>
      <c r="R271" s="5" t="s">
        <v>38</v>
      </c>
    </row>
    <row r="272" spans="1:18" x14ac:dyDescent="0.3">
      <c r="A272" s="2" t="s">
        <v>821</v>
      </c>
      <c r="B272" s="1">
        <v>45257</v>
      </c>
      <c r="C272" s="2" t="s">
        <v>822</v>
      </c>
      <c r="D272" s="2" t="s">
        <v>159</v>
      </c>
      <c r="E272" s="2" t="s">
        <v>216</v>
      </c>
      <c r="F272" s="2" t="s">
        <v>89</v>
      </c>
      <c r="G272" s="2" t="s">
        <v>34</v>
      </c>
      <c r="H272" s="3">
        <v>1</v>
      </c>
      <c r="I272" s="3">
        <v>85.61</v>
      </c>
      <c r="J272" s="2">
        <v>0</v>
      </c>
      <c r="K272" s="3">
        <v>6.85</v>
      </c>
      <c r="L272" s="3">
        <v>10.64</v>
      </c>
      <c r="M272" s="3">
        <v>103.1</v>
      </c>
      <c r="N272" s="2" t="s">
        <v>67</v>
      </c>
      <c r="O272" s="2" t="s">
        <v>25</v>
      </c>
      <c r="P272" s="2" t="s">
        <v>117</v>
      </c>
      <c r="Q272" s="2" t="s">
        <v>118</v>
      </c>
      <c r="R272" s="2" t="s">
        <v>38</v>
      </c>
    </row>
    <row r="273" spans="1:18" x14ac:dyDescent="0.3">
      <c r="A273" s="5" t="s">
        <v>823</v>
      </c>
      <c r="B273" s="4">
        <v>45492</v>
      </c>
      <c r="C273" s="5" t="s">
        <v>824</v>
      </c>
      <c r="D273" s="5" t="s">
        <v>825</v>
      </c>
      <c r="E273" s="5" t="s">
        <v>156</v>
      </c>
      <c r="F273" s="5" t="s">
        <v>33</v>
      </c>
      <c r="G273" s="5" t="s">
        <v>203</v>
      </c>
      <c r="H273" s="6">
        <v>3</v>
      </c>
      <c r="I273" s="6">
        <v>476.94</v>
      </c>
      <c r="J273" s="5">
        <v>0.15</v>
      </c>
      <c r="K273" s="6">
        <v>60.81</v>
      </c>
      <c r="L273" s="6">
        <v>5.78</v>
      </c>
      <c r="M273" s="6">
        <v>1282.79</v>
      </c>
      <c r="N273" s="5" t="s">
        <v>67</v>
      </c>
      <c r="O273" s="5" t="s">
        <v>107</v>
      </c>
      <c r="P273" s="5" t="s">
        <v>173</v>
      </c>
      <c r="Q273" s="5" t="s">
        <v>174</v>
      </c>
      <c r="R273" s="5" t="s">
        <v>28</v>
      </c>
    </row>
    <row r="274" spans="1:18" x14ac:dyDescent="0.3">
      <c r="A274" s="2" t="s">
        <v>826</v>
      </c>
      <c r="B274" s="1">
        <v>44984</v>
      </c>
      <c r="C274" s="2" t="s">
        <v>827</v>
      </c>
      <c r="D274" s="2" t="s">
        <v>828</v>
      </c>
      <c r="E274" s="2" t="s">
        <v>349</v>
      </c>
      <c r="F274" s="2" t="s">
        <v>43</v>
      </c>
      <c r="G274" s="2" t="s">
        <v>203</v>
      </c>
      <c r="H274" s="3">
        <v>3</v>
      </c>
      <c r="I274" s="3">
        <v>85.54</v>
      </c>
      <c r="J274" s="2">
        <v>0</v>
      </c>
      <c r="K274" s="3">
        <v>12.83</v>
      </c>
      <c r="L274" s="3">
        <v>13.79</v>
      </c>
      <c r="M274" s="3">
        <v>283.24</v>
      </c>
      <c r="N274" s="2" t="s">
        <v>50</v>
      </c>
      <c r="O274" s="2" t="s">
        <v>25</v>
      </c>
      <c r="P274" s="2" t="s">
        <v>133</v>
      </c>
      <c r="Q274" s="2" t="s">
        <v>134</v>
      </c>
      <c r="R274" s="2" t="s">
        <v>38</v>
      </c>
    </row>
    <row r="275" spans="1:18" x14ac:dyDescent="0.3">
      <c r="A275" s="5" t="s">
        <v>829</v>
      </c>
      <c r="B275" s="4">
        <v>44907</v>
      </c>
      <c r="C275" s="5" t="s">
        <v>830</v>
      </c>
      <c r="D275" s="5" t="s">
        <v>589</v>
      </c>
      <c r="E275" s="5" t="s">
        <v>349</v>
      </c>
      <c r="F275" s="5" t="s">
        <v>33</v>
      </c>
      <c r="G275" s="5" t="s">
        <v>34</v>
      </c>
      <c r="H275" s="6">
        <v>4</v>
      </c>
      <c r="I275" s="6">
        <v>312.92</v>
      </c>
      <c r="J275" s="5">
        <v>0.15</v>
      </c>
      <c r="K275" s="6">
        <v>127.67</v>
      </c>
      <c r="L275" s="6">
        <v>6.21</v>
      </c>
      <c r="M275" s="6">
        <v>1197.81</v>
      </c>
      <c r="N275" s="5" t="s">
        <v>58</v>
      </c>
      <c r="O275" s="5" t="s">
        <v>25</v>
      </c>
      <c r="P275" s="5" t="s">
        <v>26</v>
      </c>
      <c r="Q275" s="5" t="s">
        <v>27</v>
      </c>
      <c r="R275" s="5" t="s">
        <v>28</v>
      </c>
    </row>
    <row r="276" spans="1:18" x14ac:dyDescent="0.3">
      <c r="A276" s="2" t="s">
        <v>831</v>
      </c>
      <c r="B276" s="1">
        <v>45538</v>
      </c>
      <c r="C276" s="2" t="s">
        <v>832</v>
      </c>
      <c r="D276" s="2" t="s">
        <v>494</v>
      </c>
      <c r="E276" s="2" t="s">
        <v>271</v>
      </c>
      <c r="F276" s="2" t="s">
        <v>143</v>
      </c>
      <c r="G276" s="2" t="s">
        <v>198</v>
      </c>
      <c r="H276" s="3">
        <v>2</v>
      </c>
      <c r="I276" s="3">
        <v>493.21</v>
      </c>
      <c r="J276" s="2">
        <v>0.1</v>
      </c>
      <c r="K276" s="3">
        <v>44.39</v>
      </c>
      <c r="L276" s="3">
        <v>14.27</v>
      </c>
      <c r="M276" s="3">
        <v>946.44</v>
      </c>
      <c r="N276" s="2" t="s">
        <v>123</v>
      </c>
      <c r="O276" s="2" t="s">
        <v>25</v>
      </c>
      <c r="P276" s="2" t="s">
        <v>68</v>
      </c>
      <c r="Q276" s="2" t="s">
        <v>69</v>
      </c>
      <c r="R276" s="2" t="s">
        <v>38</v>
      </c>
    </row>
    <row r="277" spans="1:18" x14ac:dyDescent="0.3">
      <c r="A277" s="5" t="s">
        <v>833</v>
      </c>
      <c r="B277" s="4">
        <v>44560</v>
      </c>
      <c r="C277" s="5" t="s">
        <v>834</v>
      </c>
      <c r="D277" s="5" t="s">
        <v>252</v>
      </c>
      <c r="E277" s="5" t="s">
        <v>73</v>
      </c>
      <c r="F277" s="5" t="s">
        <v>81</v>
      </c>
      <c r="G277" s="5" t="s">
        <v>23</v>
      </c>
      <c r="H277" s="6">
        <v>5</v>
      </c>
      <c r="I277" s="6">
        <v>486.32</v>
      </c>
      <c r="J277" s="5">
        <v>0</v>
      </c>
      <c r="K277" s="6">
        <v>121.58</v>
      </c>
      <c r="L277" s="6">
        <v>10.96</v>
      </c>
      <c r="M277" s="6">
        <v>2564.14</v>
      </c>
      <c r="N277" s="5" t="s">
        <v>24</v>
      </c>
      <c r="O277" s="5" t="s">
        <v>25</v>
      </c>
      <c r="P277" s="5" t="s">
        <v>145</v>
      </c>
      <c r="Q277" s="5" t="s">
        <v>146</v>
      </c>
      <c r="R277" s="5" t="s">
        <v>38</v>
      </c>
    </row>
    <row r="278" spans="1:18" x14ac:dyDescent="0.3">
      <c r="A278" s="2" t="s">
        <v>835</v>
      </c>
      <c r="B278" s="1">
        <v>45526</v>
      </c>
      <c r="C278" s="2" t="s">
        <v>836</v>
      </c>
      <c r="D278" s="2" t="s">
        <v>477</v>
      </c>
      <c r="E278" s="2" t="s">
        <v>340</v>
      </c>
      <c r="F278" s="2" t="s">
        <v>143</v>
      </c>
      <c r="G278" s="2" t="s">
        <v>23</v>
      </c>
      <c r="H278" s="3">
        <v>1</v>
      </c>
      <c r="I278" s="3">
        <v>232.43</v>
      </c>
      <c r="J278" s="2">
        <v>0.15</v>
      </c>
      <c r="K278" s="3">
        <v>9.8800000000000008</v>
      </c>
      <c r="L278" s="3">
        <v>10.44</v>
      </c>
      <c r="M278" s="3">
        <v>217.89</v>
      </c>
      <c r="N278" s="2" t="s">
        <v>58</v>
      </c>
      <c r="O278" s="2" t="s">
        <v>25</v>
      </c>
      <c r="P278" s="2" t="s">
        <v>173</v>
      </c>
      <c r="Q278" s="2" t="s">
        <v>174</v>
      </c>
      <c r="R278" s="2" t="s">
        <v>38</v>
      </c>
    </row>
    <row r="279" spans="1:18" x14ac:dyDescent="0.3">
      <c r="A279" s="5" t="s">
        <v>837</v>
      </c>
      <c r="B279" s="4">
        <v>45564</v>
      </c>
      <c r="C279" s="5" t="s">
        <v>838</v>
      </c>
      <c r="D279" s="5" t="s">
        <v>839</v>
      </c>
      <c r="E279" s="5" t="s">
        <v>294</v>
      </c>
      <c r="F279" s="5" t="s">
        <v>89</v>
      </c>
      <c r="G279" s="5" t="s">
        <v>100</v>
      </c>
      <c r="H279" s="6">
        <v>3</v>
      </c>
      <c r="I279" s="6">
        <v>171.64</v>
      </c>
      <c r="J279" s="5">
        <v>0</v>
      </c>
      <c r="K279" s="6">
        <v>41.19</v>
      </c>
      <c r="L279" s="6">
        <v>1.74</v>
      </c>
      <c r="M279" s="6">
        <v>557.85</v>
      </c>
      <c r="N279" s="5" t="s">
        <v>24</v>
      </c>
      <c r="O279" s="5" t="s">
        <v>25</v>
      </c>
      <c r="P279" s="5" t="s">
        <v>133</v>
      </c>
      <c r="Q279" s="5" t="s">
        <v>134</v>
      </c>
      <c r="R279" s="5" t="s">
        <v>38</v>
      </c>
    </row>
    <row r="280" spans="1:18" x14ac:dyDescent="0.3">
      <c r="A280" s="2" t="s">
        <v>840</v>
      </c>
      <c r="B280" s="1">
        <v>45270</v>
      </c>
      <c r="C280" s="2" t="s">
        <v>841</v>
      </c>
      <c r="D280" s="2" t="s">
        <v>303</v>
      </c>
      <c r="E280" s="2" t="s">
        <v>80</v>
      </c>
      <c r="F280" s="2" t="s">
        <v>143</v>
      </c>
      <c r="G280" s="2" t="s">
        <v>66</v>
      </c>
      <c r="H280" s="3">
        <v>5</v>
      </c>
      <c r="I280" s="3">
        <v>436.76</v>
      </c>
      <c r="J280" s="2">
        <v>0</v>
      </c>
      <c r="K280" s="3">
        <v>174.7</v>
      </c>
      <c r="L280" s="3">
        <v>4.1100000000000003</v>
      </c>
      <c r="M280" s="3">
        <v>2362.61</v>
      </c>
      <c r="N280" s="2" t="s">
        <v>50</v>
      </c>
      <c r="O280" s="2" t="s">
        <v>25</v>
      </c>
      <c r="P280" s="2" t="s">
        <v>165</v>
      </c>
      <c r="Q280" s="2" t="s">
        <v>37</v>
      </c>
      <c r="R280" s="2" t="s">
        <v>28</v>
      </c>
    </row>
    <row r="281" spans="1:18" x14ac:dyDescent="0.3">
      <c r="A281" s="5" t="s">
        <v>842</v>
      </c>
      <c r="B281" s="4">
        <v>44077</v>
      </c>
      <c r="C281" s="5" t="s">
        <v>843</v>
      </c>
      <c r="D281" s="5" t="s">
        <v>418</v>
      </c>
      <c r="E281" s="5" t="s">
        <v>42</v>
      </c>
      <c r="F281" s="5" t="s">
        <v>22</v>
      </c>
      <c r="G281" s="5" t="s">
        <v>100</v>
      </c>
      <c r="H281" s="6">
        <v>5</v>
      </c>
      <c r="I281" s="6">
        <v>152.56</v>
      </c>
      <c r="J281" s="5">
        <v>0</v>
      </c>
      <c r="K281" s="6">
        <v>61.02</v>
      </c>
      <c r="L281" s="6">
        <v>10.29</v>
      </c>
      <c r="M281" s="6">
        <v>834.11</v>
      </c>
      <c r="N281" s="5" t="s">
        <v>58</v>
      </c>
      <c r="O281" s="5" t="s">
        <v>107</v>
      </c>
      <c r="P281" s="5" t="s">
        <v>36</v>
      </c>
      <c r="Q281" s="5" t="s">
        <v>37</v>
      </c>
      <c r="R281" s="5" t="s">
        <v>61</v>
      </c>
    </row>
    <row r="282" spans="1:18" x14ac:dyDescent="0.3">
      <c r="A282" s="2" t="s">
        <v>844</v>
      </c>
      <c r="B282" s="1">
        <v>44666</v>
      </c>
      <c r="C282" s="2" t="s">
        <v>845</v>
      </c>
      <c r="D282" s="2" t="s">
        <v>460</v>
      </c>
      <c r="E282" s="2" t="s">
        <v>243</v>
      </c>
      <c r="F282" s="2" t="s">
        <v>22</v>
      </c>
      <c r="G282" s="2" t="s">
        <v>268</v>
      </c>
      <c r="H282" s="3">
        <v>2</v>
      </c>
      <c r="I282" s="3">
        <v>217.88</v>
      </c>
      <c r="J282" s="2">
        <v>0.25</v>
      </c>
      <c r="K282" s="3">
        <v>26.15</v>
      </c>
      <c r="L282" s="3">
        <v>3.94</v>
      </c>
      <c r="M282" s="3">
        <v>356.91</v>
      </c>
      <c r="N282" s="2" t="s">
        <v>123</v>
      </c>
      <c r="O282" s="2" t="s">
        <v>25</v>
      </c>
      <c r="P282" s="2" t="s">
        <v>178</v>
      </c>
      <c r="Q282" s="2" t="s">
        <v>69</v>
      </c>
      <c r="R282" s="2" t="s">
        <v>28</v>
      </c>
    </row>
    <row r="283" spans="1:18" x14ac:dyDescent="0.3">
      <c r="A283" s="5" t="s">
        <v>846</v>
      </c>
      <c r="B283" s="4">
        <v>45293</v>
      </c>
      <c r="C283" s="5" t="s">
        <v>847</v>
      </c>
      <c r="D283" s="5" t="s">
        <v>690</v>
      </c>
      <c r="E283" s="5" t="s">
        <v>220</v>
      </c>
      <c r="F283" s="5" t="s">
        <v>89</v>
      </c>
      <c r="G283" s="5" t="s">
        <v>57</v>
      </c>
      <c r="H283" s="6">
        <v>3</v>
      </c>
      <c r="I283" s="6">
        <v>349.83</v>
      </c>
      <c r="J283" s="5">
        <v>0</v>
      </c>
      <c r="K283" s="6">
        <v>52.47</v>
      </c>
      <c r="L283" s="6">
        <v>9.06</v>
      </c>
      <c r="M283" s="6">
        <v>1111.02</v>
      </c>
      <c r="N283" s="5" t="s">
        <v>35</v>
      </c>
      <c r="O283" s="5" t="s">
        <v>25</v>
      </c>
      <c r="P283" s="5" t="s">
        <v>124</v>
      </c>
      <c r="Q283" s="5" t="s">
        <v>125</v>
      </c>
      <c r="R283" s="5" t="s">
        <v>28</v>
      </c>
    </row>
    <row r="284" spans="1:18" x14ac:dyDescent="0.3">
      <c r="A284" s="2" t="s">
        <v>848</v>
      </c>
      <c r="B284" s="1">
        <v>44033</v>
      </c>
      <c r="C284" s="2" t="s">
        <v>849</v>
      </c>
      <c r="D284" s="2" t="s">
        <v>415</v>
      </c>
      <c r="E284" s="2" t="s">
        <v>340</v>
      </c>
      <c r="F284" s="2" t="s">
        <v>89</v>
      </c>
      <c r="G284" s="2" t="s">
        <v>100</v>
      </c>
      <c r="H284" s="3">
        <v>1</v>
      </c>
      <c r="I284" s="3">
        <v>25.8</v>
      </c>
      <c r="J284" s="2">
        <v>0.15</v>
      </c>
      <c r="K284" s="3">
        <v>1.75</v>
      </c>
      <c r="L284" s="3">
        <v>2.16</v>
      </c>
      <c r="M284" s="3">
        <v>25.84</v>
      </c>
      <c r="N284" s="2" t="s">
        <v>67</v>
      </c>
      <c r="O284" s="2" t="s">
        <v>107</v>
      </c>
      <c r="P284" s="2" t="s">
        <v>74</v>
      </c>
      <c r="Q284" s="2" t="s">
        <v>75</v>
      </c>
      <c r="R284" s="2" t="s">
        <v>183</v>
      </c>
    </row>
    <row r="285" spans="1:18" x14ac:dyDescent="0.3">
      <c r="A285" s="5" t="s">
        <v>850</v>
      </c>
      <c r="B285" s="4">
        <v>45038</v>
      </c>
      <c r="C285" s="5" t="s">
        <v>851</v>
      </c>
      <c r="D285" s="5" t="s">
        <v>852</v>
      </c>
      <c r="E285" s="5" t="s">
        <v>80</v>
      </c>
      <c r="F285" s="5" t="s">
        <v>81</v>
      </c>
      <c r="G285" s="5" t="s">
        <v>198</v>
      </c>
      <c r="H285" s="6">
        <v>4</v>
      </c>
      <c r="I285" s="6">
        <v>235.08</v>
      </c>
      <c r="J285" s="5">
        <v>0.05</v>
      </c>
      <c r="K285" s="6">
        <v>71.459999999999994</v>
      </c>
      <c r="L285" s="6">
        <v>13.48</v>
      </c>
      <c r="M285" s="6">
        <v>978.24</v>
      </c>
      <c r="N285" s="5" t="s">
        <v>35</v>
      </c>
      <c r="O285" s="5" t="s">
        <v>25</v>
      </c>
      <c r="P285" s="5" t="s">
        <v>257</v>
      </c>
      <c r="Q285" s="5" t="s">
        <v>69</v>
      </c>
      <c r="R285" s="5" t="s">
        <v>38</v>
      </c>
    </row>
    <row r="286" spans="1:18" x14ac:dyDescent="0.3">
      <c r="A286" s="2" t="s">
        <v>853</v>
      </c>
      <c r="B286" s="1">
        <v>43953</v>
      </c>
      <c r="C286" s="2" t="s">
        <v>854</v>
      </c>
      <c r="D286" s="2" t="s">
        <v>855</v>
      </c>
      <c r="E286" s="2" t="s">
        <v>271</v>
      </c>
      <c r="F286" s="2" t="s">
        <v>81</v>
      </c>
      <c r="G286" s="2" t="s">
        <v>66</v>
      </c>
      <c r="H286" s="3">
        <v>1</v>
      </c>
      <c r="I286" s="3">
        <v>485.49</v>
      </c>
      <c r="J286" s="2">
        <v>0</v>
      </c>
      <c r="K286" s="3">
        <v>58.26</v>
      </c>
      <c r="L286" s="3">
        <v>13.38</v>
      </c>
      <c r="M286" s="3">
        <v>557.13</v>
      </c>
      <c r="N286" s="2" t="s">
        <v>58</v>
      </c>
      <c r="O286" s="2" t="s">
        <v>25</v>
      </c>
      <c r="P286" s="2" t="s">
        <v>150</v>
      </c>
      <c r="Q286" s="2" t="s">
        <v>69</v>
      </c>
      <c r="R286" s="2" t="s">
        <v>61</v>
      </c>
    </row>
    <row r="287" spans="1:18" x14ac:dyDescent="0.3">
      <c r="A287" s="5" t="s">
        <v>856</v>
      </c>
      <c r="B287" s="4">
        <v>44231</v>
      </c>
      <c r="C287" s="5" t="s">
        <v>857</v>
      </c>
      <c r="D287" s="5" t="s">
        <v>286</v>
      </c>
      <c r="E287" s="5" t="s">
        <v>577</v>
      </c>
      <c r="F287" s="5" t="s">
        <v>22</v>
      </c>
      <c r="G287" s="5" t="s">
        <v>49</v>
      </c>
      <c r="H287" s="6">
        <v>5</v>
      </c>
      <c r="I287" s="6">
        <v>126.21</v>
      </c>
      <c r="J287" s="5">
        <v>0.2</v>
      </c>
      <c r="K287" s="6">
        <v>40.39</v>
      </c>
      <c r="L287" s="6">
        <v>11.32</v>
      </c>
      <c r="M287" s="6">
        <v>556.54999999999995</v>
      </c>
      <c r="N287" s="5" t="s">
        <v>58</v>
      </c>
      <c r="O287" s="5" t="s">
        <v>25</v>
      </c>
      <c r="P287" s="5" t="s">
        <v>74</v>
      </c>
      <c r="Q287" s="5" t="s">
        <v>75</v>
      </c>
      <c r="R287" s="5" t="s">
        <v>38</v>
      </c>
    </row>
    <row r="288" spans="1:18" x14ac:dyDescent="0.3">
      <c r="A288" s="2" t="s">
        <v>858</v>
      </c>
      <c r="B288" s="1">
        <v>44597</v>
      </c>
      <c r="C288" s="2" t="s">
        <v>859</v>
      </c>
      <c r="D288" s="2" t="s">
        <v>531</v>
      </c>
      <c r="E288" s="2" t="s">
        <v>94</v>
      </c>
      <c r="F288" s="2" t="s">
        <v>81</v>
      </c>
      <c r="G288" s="2" t="s">
        <v>34</v>
      </c>
      <c r="H288" s="3">
        <v>3</v>
      </c>
      <c r="I288" s="3">
        <v>436.44</v>
      </c>
      <c r="J288" s="2">
        <v>0.1</v>
      </c>
      <c r="K288" s="3">
        <v>94.27</v>
      </c>
      <c r="L288" s="3">
        <v>14.18</v>
      </c>
      <c r="M288" s="3">
        <v>1286.8399999999999</v>
      </c>
      <c r="N288" s="2" t="s">
        <v>50</v>
      </c>
      <c r="O288" s="2" t="s">
        <v>25</v>
      </c>
      <c r="P288" s="2" t="s">
        <v>26</v>
      </c>
      <c r="Q288" s="2" t="s">
        <v>27</v>
      </c>
      <c r="R288" s="2" t="s">
        <v>38</v>
      </c>
    </row>
    <row r="289" spans="1:18" x14ac:dyDescent="0.3">
      <c r="A289" s="5" t="s">
        <v>860</v>
      </c>
      <c r="B289" s="4">
        <v>44124</v>
      </c>
      <c r="C289" s="5" t="s">
        <v>861</v>
      </c>
      <c r="D289" s="5" t="s">
        <v>131</v>
      </c>
      <c r="E289" s="5" t="s">
        <v>349</v>
      </c>
      <c r="F289" s="5" t="s">
        <v>81</v>
      </c>
      <c r="G289" s="5" t="s">
        <v>57</v>
      </c>
      <c r="H289" s="6">
        <v>1</v>
      </c>
      <c r="I289" s="6">
        <v>465.84</v>
      </c>
      <c r="J289" s="5">
        <v>0.05</v>
      </c>
      <c r="K289" s="6">
        <v>22.13</v>
      </c>
      <c r="L289" s="6">
        <v>2.2599999999999998</v>
      </c>
      <c r="M289" s="6">
        <v>466.94</v>
      </c>
      <c r="N289" s="5" t="s">
        <v>24</v>
      </c>
      <c r="O289" s="5" t="s">
        <v>25</v>
      </c>
      <c r="P289" s="5" t="s">
        <v>165</v>
      </c>
      <c r="Q289" s="5" t="s">
        <v>37</v>
      </c>
      <c r="R289" s="5" t="s">
        <v>38</v>
      </c>
    </row>
    <row r="290" spans="1:18" x14ac:dyDescent="0.3">
      <c r="A290" s="2" t="s">
        <v>862</v>
      </c>
      <c r="B290" s="1">
        <v>44110</v>
      </c>
      <c r="C290" s="2" t="s">
        <v>863</v>
      </c>
      <c r="D290" s="2" t="s">
        <v>141</v>
      </c>
      <c r="E290" s="2" t="s">
        <v>122</v>
      </c>
      <c r="F290" s="2" t="s">
        <v>22</v>
      </c>
      <c r="G290" s="2" t="s">
        <v>90</v>
      </c>
      <c r="H290" s="3">
        <v>4</v>
      </c>
      <c r="I290" s="3">
        <v>41.51</v>
      </c>
      <c r="J290" s="2">
        <v>0</v>
      </c>
      <c r="K290" s="3">
        <v>19.920000000000002</v>
      </c>
      <c r="L290" s="3">
        <v>5.9</v>
      </c>
      <c r="M290" s="3">
        <v>191.86</v>
      </c>
      <c r="N290" s="2" t="s">
        <v>67</v>
      </c>
      <c r="O290" s="2" t="s">
        <v>107</v>
      </c>
      <c r="P290" s="2" t="s">
        <v>101</v>
      </c>
      <c r="Q290" s="2" t="s">
        <v>102</v>
      </c>
      <c r="R290" s="2" t="s">
        <v>38</v>
      </c>
    </row>
    <row r="291" spans="1:18" x14ac:dyDescent="0.3">
      <c r="A291" s="5" t="s">
        <v>864</v>
      </c>
      <c r="B291" s="4">
        <v>44714</v>
      </c>
      <c r="C291" s="5" t="s">
        <v>865</v>
      </c>
      <c r="D291" s="5" t="s">
        <v>711</v>
      </c>
      <c r="E291" s="5" t="s">
        <v>437</v>
      </c>
      <c r="F291" s="5" t="s">
        <v>89</v>
      </c>
      <c r="G291" s="5" t="s">
        <v>49</v>
      </c>
      <c r="H291" s="6">
        <v>2</v>
      </c>
      <c r="I291" s="6">
        <v>57.26</v>
      </c>
      <c r="J291" s="5">
        <v>0.2</v>
      </c>
      <c r="K291" s="6">
        <v>10.99</v>
      </c>
      <c r="L291" s="6">
        <v>1.1100000000000001</v>
      </c>
      <c r="M291" s="6">
        <v>103.72</v>
      </c>
      <c r="N291" s="5" t="s">
        <v>58</v>
      </c>
      <c r="O291" s="5" t="s">
        <v>25</v>
      </c>
      <c r="P291" s="5" t="s">
        <v>26</v>
      </c>
      <c r="Q291" s="5" t="s">
        <v>27</v>
      </c>
      <c r="R291" s="5" t="s">
        <v>38</v>
      </c>
    </row>
    <row r="292" spans="1:18" x14ac:dyDescent="0.3">
      <c r="A292" s="2" t="s">
        <v>866</v>
      </c>
      <c r="B292" s="1">
        <v>45464</v>
      </c>
      <c r="C292" s="2" t="s">
        <v>867</v>
      </c>
      <c r="D292" s="2" t="s">
        <v>868</v>
      </c>
      <c r="E292" s="2" t="s">
        <v>386</v>
      </c>
      <c r="F292" s="2" t="s">
        <v>33</v>
      </c>
      <c r="G292" s="2" t="s">
        <v>268</v>
      </c>
      <c r="H292" s="3">
        <v>3</v>
      </c>
      <c r="I292" s="3">
        <v>432.19</v>
      </c>
      <c r="J292" s="2">
        <v>0.05</v>
      </c>
      <c r="K292" s="3">
        <v>98.54</v>
      </c>
      <c r="L292" s="3">
        <v>1.1399999999999999</v>
      </c>
      <c r="M292" s="3">
        <v>1331.42</v>
      </c>
      <c r="N292" s="2" t="s">
        <v>123</v>
      </c>
      <c r="O292" s="2" t="s">
        <v>144</v>
      </c>
      <c r="P292" s="2" t="s">
        <v>173</v>
      </c>
      <c r="Q292" s="2" t="s">
        <v>174</v>
      </c>
      <c r="R292" s="2" t="s">
        <v>38</v>
      </c>
    </row>
    <row r="293" spans="1:18" x14ac:dyDescent="0.3">
      <c r="A293" s="5" t="s">
        <v>869</v>
      </c>
      <c r="B293" s="4">
        <v>44028</v>
      </c>
      <c r="C293" s="5" t="s">
        <v>870</v>
      </c>
      <c r="D293" s="5" t="s">
        <v>64</v>
      </c>
      <c r="E293" s="5" t="s">
        <v>156</v>
      </c>
      <c r="F293" s="5" t="s">
        <v>143</v>
      </c>
      <c r="G293" s="5" t="s">
        <v>198</v>
      </c>
      <c r="H293" s="6">
        <v>1</v>
      </c>
      <c r="I293" s="6">
        <v>402.92</v>
      </c>
      <c r="J293" s="5">
        <v>0.15</v>
      </c>
      <c r="K293" s="6">
        <v>27.4</v>
      </c>
      <c r="L293" s="6">
        <v>11.53</v>
      </c>
      <c r="M293" s="6">
        <v>381.41</v>
      </c>
      <c r="N293" s="5" t="s">
        <v>123</v>
      </c>
      <c r="O293" s="5" t="s">
        <v>82</v>
      </c>
      <c r="P293" s="5" t="s">
        <v>173</v>
      </c>
      <c r="Q293" s="5" t="s">
        <v>174</v>
      </c>
      <c r="R293" s="5" t="s">
        <v>38</v>
      </c>
    </row>
    <row r="294" spans="1:18" x14ac:dyDescent="0.3">
      <c r="A294" s="2" t="s">
        <v>871</v>
      </c>
      <c r="B294" s="1">
        <v>44812</v>
      </c>
      <c r="C294" s="2" t="s">
        <v>872</v>
      </c>
      <c r="D294" s="2" t="s">
        <v>480</v>
      </c>
      <c r="E294" s="2" t="s">
        <v>21</v>
      </c>
      <c r="F294" s="2" t="s">
        <v>33</v>
      </c>
      <c r="G294" s="2" t="s">
        <v>57</v>
      </c>
      <c r="H294" s="3">
        <v>5</v>
      </c>
      <c r="I294" s="3">
        <v>541.67999999999995</v>
      </c>
      <c r="J294" s="2">
        <v>0</v>
      </c>
      <c r="K294" s="3">
        <v>135.41999999999999</v>
      </c>
      <c r="L294" s="3">
        <v>13.07</v>
      </c>
      <c r="M294" s="3">
        <v>2856.89</v>
      </c>
      <c r="N294" s="2" t="s">
        <v>67</v>
      </c>
      <c r="O294" s="2" t="s">
        <v>25</v>
      </c>
      <c r="P294" s="2" t="s">
        <v>112</v>
      </c>
      <c r="Q294" s="2" t="s">
        <v>113</v>
      </c>
      <c r="R294" s="2" t="s">
        <v>28</v>
      </c>
    </row>
    <row r="295" spans="1:18" x14ac:dyDescent="0.3">
      <c r="A295" s="5" t="s">
        <v>873</v>
      </c>
      <c r="B295" s="4">
        <v>45365</v>
      </c>
      <c r="C295" s="5" t="s">
        <v>874</v>
      </c>
      <c r="D295" s="5" t="s">
        <v>297</v>
      </c>
      <c r="E295" s="5" t="s">
        <v>56</v>
      </c>
      <c r="F295" s="5" t="s">
        <v>143</v>
      </c>
      <c r="G295" s="5" t="s">
        <v>90</v>
      </c>
      <c r="H295" s="6">
        <v>5</v>
      </c>
      <c r="I295" s="6">
        <v>276.60000000000002</v>
      </c>
      <c r="J295" s="5">
        <v>0.15</v>
      </c>
      <c r="K295" s="6">
        <v>94.04</v>
      </c>
      <c r="L295" s="6">
        <v>10.28</v>
      </c>
      <c r="M295" s="6">
        <v>1279.8699999999999</v>
      </c>
      <c r="N295" s="5" t="s">
        <v>35</v>
      </c>
      <c r="O295" s="5" t="s">
        <v>25</v>
      </c>
      <c r="P295" s="5" t="s">
        <v>83</v>
      </c>
      <c r="Q295" s="5" t="s">
        <v>84</v>
      </c>
      <c r="R295" s="5" t="s">
        <v>28</v>
      </c>
    </row>
    <row r="296" spans="1:18" x14ac:dyDescent="0.3">
      <c r="A296" s="2" t="s">
        <v>875</v>
      </c>
      <c r="B296" s="1">
        <v>44582</v>
      </c>
      <c r="C296" s="2" t="s">
        <v>876</v>
      </c>
      <c r="D296" s="2" t="s">
        <v>877</v>
      </c>
      <c r="E296" s="2" t="s">
        <v>182</v>
      </c>
      <c r="F296" s="2" t="s">
        <v>22</v>
      </c>
      <c r="G296" s="2" t="s">
        <v>90</v>
      </c>
      <c r="H296" s="3">
        <v>3</v>
      </c>
      <c r="I296" s="3">
        <v>466.02</v>
      </c>
      <c r="J296" s="2">
        <v>0</v>
      </c>
      <c r="K296" s="3">
        <v>69.900000000000006</v>
      </c>
      <c r="L296" s="3">
        <v>12.53</v>
      </c>
      <c r="M296" s="3">
        <v>1480.49</v>
      </c>
      <c r="N296" s="2" t="s">
        <v>24</v>
      </c>
      <c r="O296" s="2" t="s">
        <v>25</v>
      </c>
      <c r="P296" s="2" t="s">
        <v>133</v>
      </c>
      <c r="Q296" s="2" t="s">
        <v>134</v>
      </c>
      <c r="R296" s="2" t="s">
        <v>61</v>
      </c>
    </row>
    <row r="297" spans="1:18" x14ac:dyDescent="0.3">
      <c r="A297" s="5" t="s">
        <v>878</v>
      </c>
      <c r="B297" s="4">
        <v>43974</v>
      </c>
      <c r="C297" s="5" t="s">
        <v>879</v>
      </c>
      <c r="D297" s="5" t="s">
        <v>801</v>
      </c>
      <c r="E297" s="5" t="s">
        <v>216</v>
      </c>
      <c r="F297" s="5" t="s">
        <v>81</v>
      </c>
      <c r="G297" s="5" t="s">
        <v>90</v>
      </c>
      <c r="H297" s="6">
        <v>2</v>
      </c>
      <c r="I297" s="6">
        <v>464.46</v>
      </c>
      <c r="J297" s="5">
        <v>0.05</v>
      </c>
      <c r="K297" s="6">
        <v>105.9</v>
      </c>
      <c r="L297" s="6">
        <v>13.46</v>
      </c>
      <c r="M297" s="6">
        <v>1001.83</v>
      </c>
      <c r="N297" s="5" t="s">
        <v>67</v>
      </c>
      <c r="O297" s="5" t="s">
        <v>25</v>
      </c>
      <c r="P297" s="5" t="s">
        <v>150</v>
      </c>
      <c r="Q297" s="5" t="s">
        <v>69</v>
      </c>
      <c r="R297" s="5" t="s">
        <v>38</v>
      </c>
    </row>
    <row r="298" spans="1:18" x14ac:dyDescent="0.3">
      <c r="A298" s="2" t="s">
        <v>880</v>
      </c>
      <c r="B298" s="1">
        <v>44439</v>
      </c>
      <c r="C298" s="2" t="s">
        <v>881</v>
      </c>
      <c r="D298" s="2" t="s">
        <v>882</v>
      </c>
      <c r="E298" s="2" t="s">
        <v>691</v>
      </c>
      <c r="F298" s="2" t="s">
        <v>143</v>
      </c>
      <c r="G298" s="2" t="s">
        <v>203</v>
      </c>
      <c r="H298" s="3">
        <v>3</v>
      </c>
      <c r="I298" s="3">
        <v>331.2</v>
      </c>
      <c r="J298" s="2">
        <v>0.05</v>
      </c>
      <c r="K298" s="3">
        <v>47.2</v>
      </c>
      <c r="L298" s="3">
        <v>0.11</v>
      </c>
      <c r="M298" s="3">
        <v>991.23</v>
      </c>
      <c r="N298" s="2" t="s">
        <v>24</v>
      </c>
      <c r="O298" s="2" t="s">
        <v>25</v>
      </c>
      <c r="P298" s="2" t="s">
        <v>150</v>
      </c>
      <c r="Q298" s="2" t="s">
        <v>69</v>
      </c>
      <c r="R298" s="2" t="s">
        <v>38</v>
      </c>
    </row>
    <row r="299" spans="1:18" x14ac:dyDescent="0.3">
      <c r="A299" s="5" t="s">
        <v>883</v>
      </c>
      <c r="B299" s="4">
        <v>45055</v>
      </c>
      <c r="C299" s="5" t="s">
        <v>884</v>
      </c>
      <c r="D299" s="5" t="s">
        <v>312</v>
      </c>
      <c r="E299" s="5" t="s">
        <v>691</v>
      </c>
      <c r="F299" s="5" t="s">
        <v>43</v>
      </c>
      <c r="G299" s="5" t="s">
        <v>49</v>
      </c>
      <c r="H299" s="6">
        <v>4</v>
      </c>
      <c r="I299" s="6">
        <v>97.45</v>
      </c>
      <c r="J299" s="5">
        <v>0.1</v>
      </c>
      <c r="K299" s="6">
        <v>17.54</v>
      </c>
      <c r="L299" s="6">
        <v>0.02</v>
      </c>
      <c r="M299" s="6">
        <v>368.38</v>
      </c>
      <c r="N299" s="5" t="s">
        <v>35</v>
      </c>
      <c r="O299" s="5" t="s">
        <v>25</v>
      </c>
      <c r="P299" s="5" t="s">
        <v>173</v>
      </c>
      <c r="Q299" s="5" t="s">
        <v>174</v>
      </c>
      <c r="R299" s="5" t="s">
        <v>38</v>
      </c>
    </row>
    <row r="300" spans="1:18" x14ac:dyDescent="0.3">
      <c r="A300" s="2" t="s">
        <v>885</v>
      </c>
      <c r="B300" s="1">
        <v>44978</v>
      </c>
      <c r="C300" s="2" t="s">
        <v>886</v>
      </c>
      <c r="D300" s="2" t="s">
        <v>494</v>
      </c>
      <c r="E300" s="2" t="s">
        <v>122</v>
      </c>
      <c r="F300" s="2" t="s">
        <v>143</v>
      </c>
      <c r="G300" s="2" t="s">
        <v>34</v>
      </c>
      <c r="H300" s="3">
        <v>1</v>
      </c>
      <c r="I300" s="3">
        <v>540.72</v>
      </c>
      <c r="J300" s="2">
        <v>0.05</v>
      </c>
      <c r="K300" s="3">
        <v>25.68</v>
      </c>
      <c r="L300" s="3">
        <v>7.52</v>
      </c>
      <c r="M300" s="3">
        <v>546.88</v>
      </c>
      <c r="N300" s="2" t="s">
        <v>35</v>
      </c>
      <c r="O300" s="2" t="s">
        <v>25</v>
      </c>
      <c r="P300" s="2" t="s">
        <v>112</v>
      </c>
      <c r="Q300" s="2" t="s">
        <v>113</v>
      </c>
      <c r="R300" s="2" t="s">
        <v>28</v>
      </c>
    </row>
    <row r="301" spans="1:18" x14ac:dyDescent="0.3">
      <c r="A301" s="5" t="s">
        <v>887</v>
      </c>
      <c r="B301" s="4">
        <v>44017</v>
      </c>
      <c r="C301" s="5" t="s">
        <v>888</v>
      </c>
      <c r="D301" s="5" t="s">
        <v>825</v>
      </c>
      <c r="E301" s="5" t="s">
        <v>94</v>
      </c>
      <c r="F301" s="5" t="s">
        <v>22</v>
      </c>
      <c r="G301" s="5" t="s">
        <v>66</v>
      </c>
      <c r="H301" s="6">
        <v>2</v>
      </c>
      <c r="I301" s="6">
        <v>308.26</v>
      </c>
      <c r="J301" s="5">
        <v>0.15</v>
      </c>
      <c r="K301" s="6">
        <v>94.33</v>
      </c>
      <c r="L301" s="6">
        <v>9.57</v>
      </c>
      <c r="M301" s="6">
        <v>627.94000000000005</v>
      </c>
      <c r="N301" s="5" t="s">
        <v>35</v>
      </c>
      <c r="O301" s="5" t="s">
        <v>25</v>
      </c>
      <c r="P301" s="5" t="s">
        <v>51</v>
      </c>
      <c r="Q301" s="5" t="s">
        <v>52</v>
      </c>
      <c r="R301" s="5" t="s">
        <v>38</v>
      </c>
    </row>
    <row r="302" spans="1:18" x14ac:dyDescent="0.3">
      <c r="A302" s="2" t="s">
        <v>889</v>
      </c>
      <c r="B302" s="1">
        <v>45180</v>
      </c>
      <c r="C302" s="2" t="s">
        <v>890</v>
      </c>
      <c r="D302" s="2" t="s">
        <v>791</v>
      </c>
      <c r="E302" s="2" t="s">
        <v>48</v>
      </c>
      <c r="F302" s="2" t="s">
        <v>89</v>
      </c>
      <c r="G302" s="2" t="s">
        <v>90</v>
      </c>
      <c r="H302" s="3">
        <v>2</v>
      </c>
      <c r="I302" s="3">
        <v>41.57</v>
      </c>
      <c r="J302" s="2">
        <v>0.25</v>
      </c>
      <c r="K302" s="3">
        <v>7.48</v>
      </c>
      <c r="L302" s="3">
        <v>12.91</v>
      </c>
      <c r="M302" s="3">
        <v>82.74</v>
      </c>
      <c r="N302" s="2" t="s">
        <v>35</v>
      </c>
      <c r="O302" s="2" t="s">
        <v>25</v>
      </c>
      <c r="P302" s="2" t="s">
        <v>112</v>
      </c>
      <c r="Q302" s="2" t="s">
        <v>113</v>
      </c>
      <c r="R302" s="2" t="s">
        <v>38</v>
      </c>
    </row>
    <row r="303" spans="1:18" x14ac:dyDescent="0.3">
      <c r="A303" s="5" t="s">
        <v>891</v>
      </c>
      <c r="B303" s="4">
        <v>44294</v>
      </c>
      <c r="C303" s="5" t="s">
        <v>892</v>
      </c>
      <c r="D303" s="5" t="s">
        <v>415</v>
      </c>
      <c r="E303" s="5" t="s">
        <v>160</v>
      </c>
      <c r="F303" s="5" t="s">
        <v>143</v>
      </c>
      <c r="G303" s="5" t="s">
        <v>203</v>
      </c>
      <c r="H303" s="6">
        <v>3</v>
      </c>
      <c r="I303" s="6">
        <v>213.75</v>
      </c>
      <c r="J303" s="5">
        <v>0.05</v>
      </c>
      <c r="K303" s="6">
        <v>48.74</v>
      </c>
      <c r="L303" s="6">
        <v>2.76</v>
      </c>
      <c r="M303" s="6">
        <v>660.69</v>
      </c>
      <c r="N303" s="5" t="s">
        <v>67</v>
      </c>
      <c r="O303" s="5" t="s">
        <v>25</v>
      </c>
      <c r="P303" s="5" t="s">
        <v>26</v>
      </c>
      <c r="Q303" s="5" t="s">
        <v>27</v>
      </c>
      <c r="R303" s="5" t="s">
        <v>38</v>
      </c>
    </row>
    <row r="304" spans="1:18" x14ac:dyDescent="0.3">
      <c r="A304" s="2" t="s">
        <v>893</v>
      </c>
      <c r="B304" s="1">
        <v>45203</v>
      </c>
      <c r="C304" s="2" t="s">
        <v>894</v>
      </c>
      <c r="D304" s="2" t="s">
        <v>440</v>
      </c>
      <c r="E304" s="2" t="s">
        <v>73</v>
      </c>
      <c r="F304" s="2" t="s">
        <v>143</v>
      </c>
      <c r="G304" s="2" t="s">
        <v>23</v>
      </c>
      <c r="H304" s="3">
        <v>5</v>
      </c>
      <c r="I304" s="3">
        <v>113.48</v>
      </c>
      <c r="J304" s="2">
        <v>0</v>
      </c>
      <c r="K304" s="3">
        <v>28.37</v>
      </c>
      <c r="L304" s="3">
        <v>0.78</v>
      </c>
      <c r="M304" s="3">
        <v>596.54999999999995</v>
      </c>
      <c r="N304" s="2" t="s">
        <v>24</v>
      </c>
      <c r="O304" s="2" t="s">
        <v>59</v>
      </c>
      <c r="P304" s="2" t="s">
        <v>74</v>
      </c>
      <c r="Q304" s="2" t="s">
        <v>75</v>
      </c>
      <c r="R304" s="2" t="s">
        <v>38</v>
      </c>
    </row>
    <row r="305" spans="1:18" x14ac:dyDescent="0.3">
      <c r="A305" s="5" t="s">
        <v>895</v>
      </c>
      <c r="B305" s="4">
        <v>45625</v>
      </c>
      <c r="C305" s="5" t="s">
        <v>896</v>
      </c>
      <c r="D305" s="5" t="s">
        <v>897</v>
      </c>
      <c r="E305" s="5" t="s">
        <v>267</v>
      </c>
      <c r="F305" s="5" t="s">
        <v>81</v>
      </c>
      <c r="G305" s="5" t="s">
        <v>23</v>
      </c>
      <c r="H305" s="6">
        <v>2</v>
      </c>
      <c r="I305" s="6">
        <v>518.09</v>
      </c>
      <c r="J305" s="5">
        <v>0</v>
      </c>
      <c r="K305" s="6">
        <v>0</v>
      </c>
      <c r="L305" s="6">
        <v>4.03</v>
      </c>
      <c r="M305" s="6">
        <v>1040.21</v>
      </c>
      <c r="N305" s="5" t="s">
        <v>35</v>
      </c>
      <c r="O305" s="5" t="s">
        <v>107</v>
      </c>
      <c r="P305" s="5" t="s">
        <v>74</v>
      </c>
      <c r="Q305" s="5" t="s">
        <v>75</v>
      </c>
      <c r="R305" s="5" t="s">
        <v>38</v>
      </c>
    </row>
    <row r="306" spans="1:18" x14ac:dyDescent="0.3">
      <c r="A306" s="2" t="s">
        <v>898</v>
      </c>
      <c r="B306" s="1">
        <v>44490</v>
      </c>
      <c r="C306" s="2" t="s">
        <v>899</v>
      </c>
      <c r="D306" s="2" t="s">
        <v>237</v>
      </c>
      <c r="E306" s="2" t="s">
        <v>231</v>
      </c>
      <c r="F306" s="2" t="s">
        <v>143</v>
      </c>
      <c r="G306" s="2" t="s">
        <v>57</v>
      </c>
      <c r="H306" s="3">
        <v>1</v>
      </c>
      <c r="I306" s="3">
        <v>169.12</v>
      </c>
      <c r="J306" s="2">
        <v>0</v>
      </c>
      <c r="K306" s="3">
        <v>8.4600000000000009</v>
      </c>
      <c r="L306" s="3">
        <v>13.27</v>
      </c>
      <c r="M306" s="3">
        <v>190.85</v>
      </c>
      <c r="N306" s="2" t="s">
        <v>58</v>
      </c>
      <c r="O306" s="2" t="s">
        <v>107</v>
      </c>
      <c r="P306" s="2" t="s">
        <v>51</v>
      </c>
      <c r="Q306" s="2" t="s">
        <v>52</v>
      </c>
      <c r="R306" s="2" t="s">
        <v>183</v>
      </c>
    </row>
    <row r="307" spans="1:18" x14ac:dyDescent="0.3">
      <c r="A307" s="5" t="s">
        <v>900</v>
      </c>
      <c r="B307" s="4">
        <v>44594</v>
      </c>
      <c r="C307" s="5" t="s">
        <v>901</v>
      </c>
      <c r="D307" s="5" t="s">
        <v>223</v>
      </c>
      <c r="E307" s="5" t="s">
        <v>156</v>
      </c>
      <c r="F307" s="5" t="s">
        <v>33</v>
      </c>
      <c r="G307" s="5" t="s">
        <v>90</v>
      </c>
      <c r="H307" s="6">
        <v>4</v>
      </c>
      <c r="I307" s="6">
        <v>476.83</v>
      </c>
      <c r="J307" s="5">
        <v>0.1</v>
      </c>
      <c r="K307" s="6">
        <v>85.83</v>
      </c>
      <c r="L307" s="6">
        <v>8.41</v>
      </c>
      <c r="M307" s="6">
        <v>1810.83</v>
      </c>
      <c r="N307" s="5" t="s">
        <v>50</v>
      </c>
      <c r="O307" s="5" t="s">
        <v>25</v>
      </c>
      <c r="P307" s="5" t="s">
        <v>112</v>
      </c>
      <c r="Q307" s="5" t="s">
        <v>113</v>
      </c>
      <c r="R307" s="5" t="s">
        <v>76</v>
      </c>
    </row>
    <row r="308" spans="1:18" x14ac:dyDescent="0.3">
      <c r="A308" s="2" t="s">
        <v>902</v>
      </c>
      <c r="B308" s="1">
        <v>44785</v>
      </c>
      <c r="C308" s="2" t="s">
        <v>903</v>
      </c>
      <c r="D308" s="2" t="s">
        <v>904</v>
      </c>
      <c r="E308" s="2" t="s">
        <v>73</v>
      </c>
      <c r="F308" s="2" t="s">
        <v>43</v>
      </c>
      <c r="G308" s="2" t="s">
        <v>90</v>
      </c>
      <c r="H308" s="3">
        <v>1</v>
      </c>
      <c r="I308" s="3">
        <v>560.82000000000005</v>
      </c>
      <c r="J308" s="2">
        <v>0.05</v>
      </c>
      <c r="K308" s="3">
        <v>63.93</v>
      </c>
      <c r="L308" s="3">
        <v>1.48</v>
      </c>
      <c r="M308" s="3">
        <v>598.19000000000005</v>
      </c>
      <c r="N308" s="2" t="s">
        <v>123</v>
      </c>
      <c r="O308" s="2" t="s">
        <v>25</v>
      </c>
      <c r="P308" s="2" t="s">
        <v>112</v>
      </c>
      <c r="Q308" s="2" t="s">
        <v>113</v>
      </c>
      <c r="R308" s="2" t="s">
        <v>38</v>
      </c>
    </row>
    <row r="309" spans="1:18" x14ac:dyDescent="0.3">
      <c r="A309" s="5" t="s">
        <v>905</v>
      </c>
      <c r="B309" s="4">
        <v>44233</v>
      </c>
      <c r="C309" s="5" t="s">
        <v>906</v>
      </c>
      <c r="D309" s="5" t="s">
        <v>469</v>
      </c>
      <c r="E309" s="5" t="s">
        <v>88</v>
      </c>
      <c r="F309" s="5" t="s">
        <v>81</v>
      </c>
      <c r="G309" s="5" t="s">
        <v>34</v>
      </c>
      <c r="H309" s="6">
        <v>2</v>
      </c>
      <c r="I309" s="6">
        <v>573.92999999999995</v>
      </c>
      <c r="J309" s="5">
        <v>0.1</v>
      </c>
      <c r="K309" s="6">
        <v>185.95</v>
      </c>
      <c r="L309" s="6">
        <v>2.97</v>
      </c>
      <c r="M309" s="6">
        <v>1221.99</v>
      </c>
      <c r="N309" s="5" t="s">
        <v>35</v>
      </c>
      <c r="O309" s="5" t="s">
        <v>59</v>
      </c>
      <c r="P309" s="5" t="s">
        <v>83</v>
      </c>
      <c r="Q309" s="5" t="s">
        <v>84</v>
      </c>
      <c r="R309" s="5" t="s">
        <v>38</v>
      </c>
    </row>
    <row r="310" spans="1:18" x14ac:dyDescent="0.3">
      <c r="A310" s="2" t="s">
        <v>907</v>
      </c>
      <c r="B310" s="1">
        <v>45200</v>
      </c>
      <c r="C310" s="2" t="s">
        <v>908</v>
      </c>
      <c r="D310" s="2" t="s">
        <v>297</v>
      </c>
      <c r="E310" s="2" t="s">
        <v>271</v>
      </c>
      <c r="F310" s="2" t="s">
        <v>81</v>
      </c>
      <c r="G310" s="2" t="s">
        <v>90</v>
      </c>
      <c r="H310" s="3">
        <v>4</v>
      </c>
      <c r="I310" s="3">
        <v>179.25</v>
      </c>
      <c r="J310" s="2">
        <v>0.1</v>
      </c>
      <c r="K310" s="3">
        <v>32.270000000000003</v>
      </c>
      <c r="L310" s="3">
        <v>0.94</v>
      </c>
      <c r="M310" s="3">
        <v>678.51</v>
      </c>
      <c r="N310" s="2" t="s">
        <v>67</v>
      </c>
      <c r="O310" s="2" t="s">
        <v>144</v>
      </c>
      <c r="P310" s="2" t="s">
        <v>95</v>
      </c>
      <c r="Q310" s="2" t="s">
        <v>37</v>
      </c>
      <c r="R310" s="2" t="s">
        <v>38</v>
      </c>
    </row>
    <row r="311" spans="1:18" x14ac:dyDescent="0.3">
      <c r="A311" s="5" t="s">
        <v>909</v>
      </c>
      <c r="B311" s="4">
        <v>45365</v>
      </c>
      <c r="C311" s="5" t="s">
        <v>910</v>
      </c>
      <c r="D311" s="5" t="s">
        <v>911</v>
      </c>
      <c r="E311" s="5" t="s">
        <v>300</v>
      </c>
      <c r="F311" s="5" t="s">
        <v>143</v>
      </c>
      <c r="G311" s="5" t="s">
        <v>49</v>
      </c>
      <c r="H311" s="6">
        <v>5</v>
      </c>
      <c r="I311" s="6">
        <v>400.83</v>
      </c>
      <c r="J311" s="5">
        <v>0</v>
      </c>
      <c r="K311" s="6">
        <v>100.21</v>
      </c>
      <c r="L311" s="6">
        <v>0.32</v>
      </c>
      <c r="M311" s="6">
        <v>2104.6799999999998</v>
      </c>
      <c r="N311" s="5" t="s">
        <v>67</v>
      </c>
      <c r="O311" s="5" t="s">
        <v>107</v>
      </c>
      <c r="P311" s="5" t="s">
        <v>257</v>
      </c>
      <c r="Q311" s="5" t="s">
        <v>69</v>
      </c>
      <c r="R311" s="5" t="s">
        <v>38</v>
      </c>
    </row>
    <row r="312" spans="1:18" x14ac:dyDescent="0.3">
      <c r="A312" s="2" t="s">
        <v>912</v>
      </c>
      <c r="B312" s="1">
        <v>43977</v>
      </c>
      <c r="C312" s="2" t="s">
        <v>913</v>
      </c>
      <c r="D312" s="2" t="s">
        <v>141</v>
      </c>
      <c r="E312" s="2" t="s">
        <v>691</v>
      </c>
      <c r="F312" s="2" t="s">
        <v>81</v>
      </c>
      <c r="G312" s="2" t="s">
        <v>66</v>
      </c>
      <c r="H312" s="3">
        <v>3</v>
      </c>
      <c r="I312" s="3">
        <v>319.07</v>
      </c>
      <c r="J312" s="2">
        <v>0.25</v>
      </c>
      <c r="K312" s="3">
        <v>57.43</v>
      </c>
      <c r="L312" s="3">
        <v>2.13</v>
      </c>
      <c r="M312" s="3">
        <v>777.47</v>
      </c>
      <c r="N312" s="2" t="s">
        <v>58</v>
      </c>
      <c r="O312" s="2" t="s">
        <v>25</v>
      </c>
      <c r="P312" s="2" t="s">
        <v>83</v>
      </c>
      <c r="Q312" s="2" t="s">
        <v>84</v>
      </c>
      <c r="R312" s="2" t="s">
        <v>38</v>
      </c>
    </row>
    <row r="313" spans="1:18" x14ac:dyDescent="0.3">
      <c r="A313" s="5" t="s">
        <v>914</v>
      </c>
      <c r="B313" s="4">
        <v>45002</v>
      </c>
      <c r="C313" s="5" t="s">
        <v>915</v>
      </c>
      <c r="D313" s="5" t="s">
        <v>916</v>
      </c>
      <c r="E313" s="5" t="s">
        <v>106</v>
      </c>
      <c r="F313" s="5" t="s">
        <v>22</v>
      </c>
      <c r="G313" s="5" t="s">
        <v>23</v>
      </c>
      <c r="H313" s="6">
        <v>3</v>
      </c>
      <c r="I313" s="6">
        <v>582.15</v>
      </c>
      <c r="J313" s="5">
        <v>0</v>
      </c>
      <c r="K313" s="6">
        <v>87.32</v>
      </c>
      <c r="L313" s="6">
        <v>6.71</v>
      </c>
      <c r="M313" s="6">
        <v>1840.48</v>
      </c>
      <c r="N313" s="5" t="s">
        <v>24</v>
      </c>
      <c r="O313" s="5" t="s">
        <v>82</v>
      </c>
      <c r="P313" s="5" t="s">
        <v>26</v>
      </c>
      <c r="Q313" s="5" t="s">
        <v>27</v>
      </c>
      <c r="R313" s="5" t="s">
        <v>28</v>
      </c>
    </row>
    <row r="314" spans="1:18" x14ac:dyDescent="0.3">
      <c r="A314" s="2" t="s">
        <v>917</v>
      </c>
      <c r="B314" s="1">
        <v>44694</v>
      </c>
      <c r="C314" s="2" t="s">
        <v>918</v>
      </c>
      <c r="D314" s="2" t="s">
        <v>520</v>
      </c>
      <c r="E314" s="2" t="s">
        <v>340</v>
      </c>
      <c r="F314" s="2" t="s">
        <v>22</v>
      </c>
      <c r="G314" s="2" t="s">
        <v>23</v>
      </c>
      <c r="H314" s="3">
        <v>4</v>
      </c>
      <c r="I314" s="3">
        <v>458.05</v>
      </c>
      <c r="J314" s="2">
        <v>0.1</v>
      </c>
      <c r="K314" s="3">
        <v>82.45</v>
      </c>
      <c r="L314" s="3">
        <v>10.199999999999999</v>
      </c>
      <c r="M314" s="3">
        <v>1741.63</v>
      </c>
      <c r="N314" s="2" t="s">
        <v>67</v>
      </c>
      <c r="O314" s="2" t="s">
        <v>107</v>
      </c>
      <c r="P314" s="2" t="s">
        <v>124</v>
      </c>
      <c r="Q314" s="2" t="s">
        <v>125</v>
      </c>
      <c r="R314" s="2" t="s">
        <v>28</v>
      </c>
    </row>
    <row r="315" spans="1:18" x14ac:dyDescent="0.3">
      <c r="A315" s="5" t="s">
        <v>919</v>
      </c>
      <c r="B315" s="4">
        <v>45565</v>
      </c>
      <c r="C315" s="5" t="s">
        <v>920</v>
      </c>
      <c r="D315" s="5" t="s">
        <v>921</v>
      </c>
      <c r="E315" s="5" t="s">
        <v>271</v>
      </c>
      <c r="F315" s="5" t="s">
        <v>81</v>
      </c>
      <c r="G315" s="5" t="s">
        <v>268</v>
      </c>
      <c r="H315" s="6">
        <v>3</v>
      </c>
      <c r="I315" s="6">
        <v>33.869999999999997</v>
      </c>
      <c r="J315" s="5">
        <v>0.1</v>
      </c>
      <c r="K315" s="6">
        <v>10.97</v>
      </c>
      <c r="L315" s="6">
        <v>1.29</v>
      </c>
      <c r="M315" s="6">
        <v>103.71</v>
      </c>
      <c r="N315" s="5" t="s">
        <v>35</v>
      </c>
      <c r="O315" s="5" t="s">
        <v>59</v>
      </c>
      <c r="P315" s="5" t="s">
        <v>68</v>
      </c>
      <c r="Q315" s="5" t="s">
        <v>69</v>
      </c>
      <c r="R315" s="5" t="s">
        <v>28</v>
      </c>
    </row>
    <row r="316" spans="1:18" x14ac:dyDescent="0.3">
      <c r="A316" s="2" t="s">
        <v>922</v>
      </c>
      <c r="B316" s="1">
        <v>44319</v>
      </c>
      <c r="C316" s="2" t="s">
        <v>923</v>
      </c>
      <c r="D316" s="2" t="s">
        <v>246</v>
      </c>
      <c r="E316" s="2" t="s">
        <v>122</v>
      </c>
      <c r="F316" s="2" t="s">
        <v>89</v>
      </c>
      <c r="G316" s="2" t="s">
        <v>268</v>
      </c>
      <c r="H316" s="3">
        <v>1</v>
      </c>
      <c r="I316" s="3">
        <v>528.48</v>
      </c>
      <c r="J316" s="2">
        <v>0</v>
      </c>
      <c r="K316" s="3">
        <v>0</v>
      </c>
      <c r="L316" s="3">
        <v>8.7899999999999991</v>
      </c>
      <c r="M316" s="3">
        <v>537.27</v>
      </c>
      <c r="N316" s="2" t="s">
        <v>58</v>
      </c>
      <c r="O316" s="2" t="s">
        <v>25</v>
      </c>
      <c r="P316" s="2" t="s">
        <v>124</v>
      </c>
      <c r="Q316" s="2" t="s">
        <v>125</v>
      </c>
      <c r="R316" s="2" t="s">
        <v>38</v>
      </c>
    </row>
    <row r="317" spans="1:18" x14ac:dyDescent="0.3">
      <c r="A317" s="5" t="s">
        <v>924</v>
      </c>
      <c r="B317" s="4">
        <v>44759</v>
      </c>
      <c r="C317" s="5" t="s">
        <v>925</v>
      </c>
      <c r="D317" s="5" t="s">
        <v>201</v>
      </c>
      <c r="E317" s="5" t="s">
        <v>283</v>
      </c>
      <c r="F317" s="5" t="s">
        <v>143</v>
      </c>
      <c r="G317" s="5" t="s">
        <v>203</v>
      </c>
      <c r="H317" s="6">
        <v>4</v>
      </c>
      <c r="I317" s="6">
        <v>539.52</v>
      </c>
      <c r="J317" s="5">
        <v>0</v>
      </c>
      <c r="K317" s="6">
        <v>172.65</v>
      </c>
      <c r="L317" s="6">
        <v>6.53</v>
      </c>
      <c r="M317" s="6">
        <v>2337.2600000000002</v>
      </c>
      <c r="N317" s="5" t="s">
        <v>35</v>
      </c>
      <c r="O317" s="5" t="s">
        <v>25</v>
      </c>
      <c r="P317" s="5" t="s">
        <v>36</v>
      </c>
      <c r="Q317" s="5" t="s">
        <v>37</v>
      </c>
      <c r="R317" s="5" t="s">
        <v>38</v>
      </c>
    </row>
    <row r="318" spans="1:18" x14ac:dyDescent="0.3">
      <c r="A318" s="2" t="s">
        <v>926</v>
      </c>
      <c r="B318" s="1">
        <v>45494</v>
      </c>
      <c r="C318" s="2" t="s">
        <v>927</v>
      </c>
      <c r="D318" s="2" t="s">
        <v>237</v>
      </c>
      <c r="E318" s="2" t="s">
        <v>65</v>
      </c>
      <c r="F318" s="2" t="s">
        <v>43</v>
      </c>
      <c r="G318" s="2" t="s">
        <v>66</v>
      </c>
      <c r="H318" s="3">
        <v>4</v>
      </c>
      <c r="I318" s="3">
        <v>155.41</v>
      </c>
      <c r="J318" s="2">
        <v>0</v>
      </c>
      <c r="K318" s="3">
        <v>31.08</v>
      </c>
      <c r="L318" s="3">
        <v>6.79</v>
      </c>
      <c r="M318" s="3">
        <v>659.51</v>
      </c>
      <c r="N318" s="2" t="s">
        <v>24</v>
      </c>
      <c r="O318" s="2" t="s">
        <v>107</v>
      </c>
      <c r="P318" s="2" t="s">
        <v>145</v>
      </c>
      <c r="Q318" s="2" t="s">
        <v>146</v>
      </c>
      <c r="R318" s="2" t="s">
        <v>38</v>
      </c>
    </row>
    <row r="319" spans="1:18" x14ac:dyDescent="0.3">
      <c r="A319" s="5" t="s">
        <v>928</v>
      </c>
      <c r="B319" s="4">
        <v>44381</v>
      </c>
      <c r="C319" s="5" t="s">
        <v>929</v>
      </c>
      <c r="D319" s="5" t="s">
        <v>921</v>
      </c>
      <c r="E319" s="5" t="s">
        <v>691</v>
      </c>
      <c r="F319" s="5" t="s">
        <v>81</v>
      </c>
      <c r="G319" s="5" t="s">
        <v>203</v>
      </c>
      <c r="H319" s="6">
        <v>2</v>
      </c>
      <c r="I319" s="6">
        <v>487.41</v>
      </c>
      <c r="J319" s="5">
        <v>0</v>
      </c>
      <c r="K319" s="6">
        <v>48.74</v>
      </c>
      <c r="L319" s="6">
        <v>7.26</v>
      </c>
      <c r="M319" s="6">
        <v>1030.82</v>
      </c>
      <c r="N319" s="5" t="s">
        <v>35</v>
      </c>
      <c r="O319" s="5" t="s">
        <v>25</v>
      </c>
      <c r="P319" s="5" t="s">
        <v>44</v>
      </c>
      <c r="Q319" s="5" t="s">
        <v>37</v>
      </c>
      <c r="R319" s="5" t="s">
        <v>38</v>
      </c>
    </row>
    <row r="320" spans="1:18" x14ac:dyDescent="0.3">
      <c r="A320" s="2" t="s">
        <v>930</v>
      </c>
      <c r="B320" s="1">
        <v>44168</v>
      </c>
      <c r="C320" s="2" t="s">
        <v>931</v>
      </c>
      <c r="D320" s="2" t="s">
        <v>212</v>
      </c>
      <c r="E320" s="2" t="s">
        <v>365</v>
      </c>
      <c r="F320" s="2" t="s">
        <v>22</v>
      </c>
      <c r="G320" s="2" t="s">
        <v>90</v>
      </c>
      <c r="H320" s="3">
        <v>1</v>
      </c>
      <c r="I320" s="3">
        <v>595.34</v>
      </c>
      <c r="J320" s="2">
        <v>0</v>
      </c>
      <c r="K320" s="3">
        <v>47.63</v>
      </c>
      <c r="L320" s="3">
        <v>12.41</v>
      </c>
      <c r="M320" s="3">
        <v>655.38</v>
      </c>
      <c r="N320" s="2" t="s">
        <v>35</v>
      </c>
      <c r="O320" s="2" t="s">
        <v>25</v>
      </c>
      <c r="P320" s="2" t="s">
        <v>165</v>
      </c>
      <c r="Q320" s="2" t="s">
        <v>37</v>
      </c>
      <c r="R320" s="2" t="s">
        <v>38</v>
      </c>
    </row>
    <row r="321" spans="1:18" x14ac:dyDescent="0.3">
      <c r="A321" s="5" t="s">
        <v>932</v>
      </c>
      <c r="B321" s="4">
        <v>44702</v>
      </c>
      <c r="C321" s="5" t="s">
        <v>933</v>
      </c>
      <c r="D321" s="5" t="s">
        <v>346</v>
      </c>
      <c r="E321" s="5" t="s">
        <v>256</v>
      </c>
      <c r="F321" s="5" t="s">
        <v>33</v>
      </c>
      <c r="G321" s="5" t="s">
        <v>66</v>
      </c>
      <c r="H321" s="6">
        <v>2</v>
      </c>
      <c r="I321" s="6">
        <v>274.82</v>
      </c>
      <c r="J321" s="5">
        <v>0.05</v>
      </c>
      <c r="K321" s="6">
        <v>26.11</v>
      </c>
      <c r="L321" s="6">
        <v>11.71</v>
      </c>
      <c r="M321" s="6">
        <v>559.98</v>
      </c>
      <c r="N321" s="5" t="s">
        <v>67</v>
      </c>
      <c r="O321" s="5" t="s">
        <v>25</v>
      </c>
      <c r="P321" s="5" t="s">
        <v>178</v>
      </c>
      <c r="Q321" s="5" t="s">
        <v>69</v>
      </c>
      <c r="R321" s="5" t="s">
        <v>38</v>
      </c>
    </row>
    <row r="322" spans="1:18" x14ac:dyDescent="0.3">
      <c r="A322" s="2" t="s">
        <v>934</v>
      </c>
      <c r="B322" s="1">
        <v>44471</v>
      </c>
      <c r="C322" s="2" t="s">
        <v>935</v>
      </c>
      <c r="D322" s="2" t="s">
        <v>469</v>
      </c>
      <c r="E322" s="2" t="s">
        <v>88</v>
      </c>
      <c r="F322" s="2" t="s">
        <v>81</v>
      </c>
      <c r="G322" s="2" t="s">
        <v>90</v>
      </c>
      <c r="H322" s="3">
        <v>4</v>
      </c>
      <c r="I322" s="3">
        <v>426.38</v>
      </c>
      <c r="J322" s="2">
        <v>0.05</v>
      </c>
      <c r="K322" s="3">
        <v>81.010000000000005</v>
      </c>
      <c r="L322" s="3">
        <v>9.49</v>
      </c>
      <c r="M322" s="3">
        <v>1710.74</v>
      </c>
      <c r="N322" s="2" t="s">
        <v>50</v>
      </c>
      <c r="O322" s="2" t="s">
        <v>25</v>
      </c>
      <c r="P322" s="2" t="s">
        <v>173</v>
      </c>
      <c r="Q322" s="2" t="s">
        <v>174</v>
      </c>
      <c r="R322" s="2" t="s">
        <v>38</v>
      </c>
    </row>
    <row r="323" spans="1:18" x14ac:dyDescent="0.3">
      <c r="A323" s="5" t="s">
        <v>936</v>
      </c>
      <c r="B323" s="4">
        <v>45633</v>
      </c>
      <c r="C323" s="5" t="s">
        <v>937</v>
      </c>
      <c r="D323" s="5" t="s">
        <v>209</v>
      </c>
      <c r="E323" s="5" t="s">
        <v>597</v>
      </c>
      <c r="F323" s="5" t="s">
        <v>33</v>
      </c>
      <c r="G323" s="5" t="s">
        <v>49</v>
      </c>
      <c r="H323" s="6">
        <v>1</v>
      </c>
      <c r="I323" s="6">
        <v>412.78</v>
      </c>
      <c r="J323" s="5">
        <v>0</v>
      </c>
      <c r="K323" s="6">
        <v>0</v>
      </c>
      <c r="L323" s="6">
        <v>13.23</v>
      </c>
      <c r="M323" s="6">
        <v>426.01</v>
      </c>
      <c r="N323" s="5" t="s">
        <v>123</v>
      </c>
      <c r="O323" s="5" t="s">
        <v>25</v>
      </c>
      <c r="P323" s="5" t="s">
        <v>117</v>
      </c>
      <c r="Q323" s="5" t="s">
        <v>118</v>
      </c>
      <c r="R323" s="5" t="s">
        <v>38</v>
      </c>
    </row>
    <row r="324" spans="1:18" x14ac:dyDescent="0.3">
      <c r="A324" s="2" t="s">
        <v>938</v>
      </c>
      <c r="B324" s="1">
        <v>44303</v>
      </c>
      <c r="C324" s="2" t="s">
        <v>939</v>
      </c>
      <c r="D324" s="2" t="s">
        <v>405</v>
      </c>
      <c r="E324" s="2" t="s">
        <v>597</v>
      </c>
      <c r="F324" s="2" t="s">
        <v>81</v>
      </c>
      <c r="G324" s="2" t="s">
        <v>23</v>
      </c>
      <c r="H324" s="3">
        <v>4</v>
      </c>
      <c r="I324" s="3">
        <v>153.06</v>
      </c>
      <c r="J324" s="2">
        <v>0</v>
      </c>
      <c r="K324" s="3">
        <v>48.98</v>
      </c>
      <c r="L324" s="3">
        <v>4.38</v>
      </c>
      <c r="M324" s="3">
        <v>665.6</v>
      </c>
      <c r="N324" s="2" t="s">
        <v>123</v>
      </c>
      <c r="O324" s="2" t="s">
        <v>107</v>
      </c>
      <c r="P324" s="2" t="s">
        <v>51</v>
      </c>
      <c r="Q324" s="2" t="s">
        <v>52</v>
      </c>
      <c r="R324" s="2" t="s">
        <v>38</v>
      </c>
    </row>
    <row r="325" spans="1:18" x14ac:dyDescent="0.3">
      <c r="A325" s="5" t="s">
        <v>940</v>
      </c>
      <c r="B325" s="4">
        <v>43981</v>
      </c>
      <c r="C325" s="5" t="s">
        <v>941</v>
      </c>
      <c r="D325" s="5" t="s">
        <v>942</v>
      </c>
      <c r="E325" s="5" t="s">
        <v>202</v>
      </c>
      <c r="F325" s="5" t="s">
        <v>33</v>
      </c>
      <c r="G325" s="5" t="s">
        <v>198</v>
      </c>
      <c r="H325" s="6">
        <v>5</v>
      </c>
      <c r="I325" s="6">
        <v>234.78</v>
      </c>
      <c r="J325" s="5">
        <v>0.1</v>
      </c>
      <c r="K325" s="6">
        <v>126.78</v>
      </c>
      <c r="L325" s="6">
        <v>13.1</v>
      </c>
      <c r="M325" s="6">
        <v>1196.3900000000001</v>
      </c>
      <c r="N325" s="5" t="s">
        <v>24</v>
      </c>
      <c r="O325" s="5" t="s">
        <v>25</v>
      </c>
      <c r="P325" s="5" t="s">
        <v>173</v>
      </c>
      <c r="Q325" s="5" t="s">
        <v>174</v>
      </c>
      <c r="R325" s="5" t="s">
        <v>38</v>
      </c>
    </row>
    <row r="326" spans="1:18" x14ac:dyDescent="0.3">
      <c r="A326" s="2" t="s">
        <v>943</v>
      </c>
      <c r="B326" s="1">
        <v>45269</v>
      </c>
      <c r="C326" s="2" t="s">
        <v>944</v>
      </c>
      <c r="D326" s="2" t="s">
        <v>504</v>
      </c>
      <c r="E326" s="2" t="s">
        <v>182</v>
      </c>
      <c r="F326" s="2" t="s">
        <v>89</v>
      </c>
      <c r="G326" s="2" t="s">
        <v>268</v>
      </c>
      <c r="H326" s="3">
        <v>3</v>
      </c>
      <c r="I326" s="3">
        <v>120.94</v>
      </c>
      <c r="J326" s="2">
        <v>0.2</v>
      </c>
      <c r="K326" s="3">
        <v>14.51</v>
      </c>
      <c r="L326" s="3">
        <v>5.34</v>
      </c>
      <c r="M326" s="3">
        <v>310.11</v>
      </c>
      <c r="N326" s="2" t="s">
        <v>35</v>
      </c>
      <c r="O326" s="2" t="s">
        <v>25</v>
      </c>
      <c r="P326" s="2" t="s">
        <v>257</v>
      </c>
      <c r="Q326" s="2" t="s">
        <v>69</v>
      </c>
      <c r="R326" s="2" t="s">
        <v>38</v>
      </c>
    </row>
    <row r="327" spans="1:18" x14ac:dyDescent="0.3">
      <c r="A327" s="5" t="s">
        <v>945</v>
      </c>
      <c r="B327" s="4">
        <v>45152</v>
      </c>
      <c r="C327" s="5" t="s">
        <v>946</v>
      </c>
      <c r="D327" s="5" t="s">
        <v>215</v>
      </c>
      <c r="E327" s="5" t="s">
        <v>271</v>
      </c>
      <c r="F327" s="5" t="s">
        <v>81</v>
      </c>
      <c r="G327" s="5" t="s">
        <v>34</v>
      </c>
      <c r="H327" s="6">
        <v>2</v>
      </c>
      <c r="I327" s="6">
        <v>161.85</v>
      </c>
      <c r="J327" s="5">
        <v>0.1</v>
      </c>
      <c r="K327" s="6">
        <v>52.44</v>
      </c>
      <c r="L327" s="6">
        <v>14.19</v>
      </c>
      <c r="M327" s="6">
        <v>357.96</v>
      </c>
      <c r="N327" s="5" t="s">
        <v>67</v>
      </c>
      <c r="O327" s="5" t="s">
        <v>25</v>
      </c>
      <c r="P327" s="5" t="s">
        <v>124</v>
      </c>
      <c r="Q327" s="5" t="s">
        <v>125</v>
      </c>
      <c r="R327" s="5" t="s">
        <v>38</v>
      </c>
    </row>
    <row r="328" spans="1:18" x14ac:dyDescent="0.3">
      <c r="A328" s="2" t="s">
        <v>947</v>
      </c>
      <c r="B328" s="1">
        <v>45465</v>
      </c>
      <c r="C328" s="2" t="s">
        <v>948</v>
      </c>
      <c r="D328" s="2" t="s">
        <v>41</v>
      </c>
      <c r="E328" s="2" t="s">
        <v>392</v>
      </c>
      <c r="F328" s="2" t="s">
        <v>89</v>
      </c>
      <c r="G328" s="2" t="s">
        <v>90</v>
      </c>
      <c r="H328" s="3">
        <v>5</v>
      </c>
      <c r="I328" s="3">
        <v>246.53</v>
      </c>
      <c r="J328" s="2">
        <v>0</v>
      </c>
      <c r="K328" s="3">
        <v>61.63</v>
      </c>
      <c r="L328" s="3">
        <v>14.46</v>
      </c>
      <c r="M328" s="3">
        <v>1308.74</v>
      </c>
      <c r="N328" s="2" t="s">
        <v>67</v>
      </c>
      <c r="O328" s="2" t="s">
        <v>25</v>
      </c>
      <c r="P328" s="2" t="s">
        <v>60</v>
      </c>
      <c r="Q328" s="2" t="s">
        <v>37</v>
      </c>
      <c r="R328" s="2" t="s">
        <v>38</v>
      </c>
    </row>
    <row r="329" spans="1:18" x14ac:dyDescent="0.3">
      <c r="A329" s="5" t="s">
        <v>949</v>
      </c>
      <c r="B329" s="4">
        <v>44093</v>
      </c>
      <c r="C329" s="5" t="s">
        <v>950</v>
      </c>
      <c r="D329" s="5" t="s">
        <v>279</v>
      </c>
      <c r="E329" s="5" t="s">
        <v>577</v>
      </c>
      <c r="F329" s="5" t="s">
        <v>81</v>
      </c>
      <c r="G329" s="5" t="s">
        <v>203</v>
      </c>
      <c r="H329" s="6">
        <v>1</v>
      </c>
      <c r="I329" s="6">
        <v>152.22</v>
      </c>
      <c r="J329" s="5">
        <v>0.05</v>
      </c>
      <c r="K329" s="6">
        <v>11.57</v>
      </c>
      <c r="L329" s="6">
        <v>13.19</v>
      </c>
      <c r="M329" s="6">
        <v>169.37</v>
      </c>
      <c r="N329" s="5" t="s">
        <v>58</v>
      </c>
      <c r="O329" s="5" t="s">
        <v>25</v>
      </c>
      <c r="P329" s="5" t="s">
        <v>165</v>
      </c>
      <c r="Q329" s="5" t="s">
        <v>37</v>
      </c>
      <c r="R329" s="5" t="s">
        <v>28</v>
      </c>
    </row>
    <row r="330" spans="1:18" x14ac:dyDescent="0.3">
      <c r="A330" s="2" t="s">
        <v>951</v>
      </c>
      <c r="B330" s="1">
        <v>45618</v>
      </c>
      <c r="C330" s="2" t="s">
        <v>952</v>
      </c>
      <c r="D330" s="2" t="s">
        <v>720</v>
      </c>
      <c r="E330" s="2" t="s">
        <v>142</v>
      </c>
      <c r="F330" s="2" t="s">
        <v>22</v>
      </c>
      <c r="G330" s="2" t="s">
        <v>100</v>
      </c>
      <c r="H330" s="3">
        <v>4</v>
      </c>
      <c r="I330" s="3">
        <v>489.79</v>
      </c>
      <c r="J330" s="2">
        <v>0.2</v>
      </c>
      <c r="K330" s="3">
        <v>282.12</v>
      </c>
      <c r="L330" s="3">
        <v>9.8800000000000008</v>
      </c>
      <c r="M330" s="3">
        <v>1859.33</v>
      </c>
      <c r="N330" s="2" t="s">
        <v>24</v>
      </c>
      <c r="O330" s="2" t="s">
        <v>25</v>
      </c>
      <c r="P330" s="2" t="s">
        <v>74</v>
      </c>
      <c r="Q330" s="2" t="s">
        <v>75</v>
      </c>
      <c r="R330" s="2" t="s">
        <v>28</v>
      </c>
    </row>
    <row r="331" spans="1:18" x14ac:dyDescent="0.3">
      <c r="A331" s="5" t="s">
        <v>953</v>
      </c>
      <c r="B331" s="4">
        <v>43974</v>
      </c>
      <c r="C331" s="5" t="s">
        <v>954</v>
      </c>
      <c r="D331" s="5" t="s">
        <v>491</v>
      </c>
      <c r="E331" s="5" t="s">
        <v>111</v>
      </c>
      <c r="F331" s="5" t="s">
        <v>33</v>
      </c>
      <c r="G331" s="5" t="s">
        <v>198</v>
      </c>
      <c r="H331" s="6">
        <v>3</v>
      </c>
      <c r="I331" s="6">
        <v>94.03</v>
      </c>
      <c r="J331" s="5">
        <v>0.05</v>
      </c>
      <c r="K331" s="6">
        <v>13.4</v>
      </c>
      <c r="L331" s="6">
        <v>8.6199999999999992</v>
      </c>
      <c r="M331" s="6">
        <v>290.01</v>
      </c>
      <c r="N331" s="5" t="s">
        <v>58</v>
      </c>
      <c r="O331" s="5" t="s">
        <v>25</v>
      </c>
      <c r="P331" s="5" t="s">
        <v>173</v>
      </c>
      <c r="Q331" s="5" t="s">
        <v>174</v>
      </c>
      <c r="R331" s="5" t="s">
        <v>38</v>
      </c>
    </row>
    <row r="332" spans="1:18" x14ac:dyDescent="0.3">
      <c r="A332" s="2" t="s">
        <v>955</v>
      </c>
      <c r="B332" s="1">
        <v>44176</v>
      </c>
      <c r="C332" s="2" t="s">
        <v>956</v>
      </c>
      <c r="D332" s="2" t="s">
        <v>957</v>
      </c>
      <c r="E332" s="2" t="s">
        <v>340</v>
      </c>
      <c r="F332" s="2" t="s">
        <v>81</v>
      </c>
      <c r="G332" s="2" t="s">
        <v>49</v>
      </c>
      <c r="H332" s="3">
        <v>1</v>
      </c>
      <c r="I332" s="3">
        <v>295.94</v>
      </c>
      <c r="J332" s="2">
        <v>0.05</v>
      </c>
      <c r="K332" s="3">
        <v>33.74</v>
      </c>
      <c r="L332" s="3">
        <v>5.01</v>
      </c>
      <c r="M332" s="3">
        <v>319.89</v>
      </c>
      <c r="N332" s="2" t="s">
        <v>35</v>
      </c>
      <c r="O332" s="2" t="s">
        <v>25</v>
      </c>
      <c r="P332" s="2" t="s">
        <v>74</v>
      </c>
      <c r="Q332" s="2" t="s">
        <v>75</v>
      </c>
      <c r="R332" s="2" t="s">
        <v>38</v>
      </c>
    </row>
    <row r="333" spans="1:18" x14ac:dyDescent="0.3">
      <c r="A333" s="5" t="s">
        <v>958</v>
      </c>
      <c r="B333" s="4">
        <v>44454</v>
      </c>
      <c r="C333" s="5" t="s">
        <v>959</v>
      </c>
      <c r="D333" s="5" t="s">
        <v>566</v>
      </c>
      <c r="E333" s="5" t="s">
        <v>287</v>
      </c>
      <c r="F333" s="5" t="s">
        <v>89</v>
      </c>
      <c r="G333" s="5" t="s">
        <v>100</v>
      </c>
      <c r="H333" s="6">
        <v>1</v>
      </c>
      <c r="I333" s="6">
        <v>352.82</v>
      </c>
      <c r="J333" s="5">
        <v>0</v>
      </c>
      <c r="K333" s="6">
        <v>28.23</v>
      </c>
      <c r="L333" s="6">
        <v>6.11</v>
      </c>
      <c r="M333" s="6">
        <v>387.16</v>
      </c>
      <c r="N333" s="5" t="s">
        <v>35</v>
      </c>
      <c r="O333" s="5" t="s">
        <v>25</v>
      </c>
      <c r="P333" s="5" t="s">
        <v>133</v>
      </c>
      <c r="Q333" s="5" t="s">
        <v>134</v>
      </c>
      <c r="R333" s="5" t="s">
        <v>38</v>
      </c>
    </row>
    <row r="334" spans="1:18" x14ac:dyDescent="0.3">
      <c r="A334" s="2" t="s">
        <v>960</v>
      </c>
      <c r="B334" s="1">
        <v>44847</v>
      </c>
      <c r="C334" s="2" t="s">
        <v>961</v>
      </c>
      <c r="D334" s="2" t="s">
        <v>962</v>
      </c>
      <c r="E334" s="2" t="s">
        <v>597</v>
      </c>
      <c r="F334" s="2" t="s">
        <v>81</v>
      </c>
      <c r="G334" s="2" t="s">
        <v>100</v>
      </c>
      <c r="H334" s="3">
        <v>1</v>
      </c>
      <c r="I334" s="3">
        <v>240.55</v>
      </c>
      <c r="J334" s="2">
        <v>0.1</v>
      </c>
      <c r="K334" s="3">
        <v>10.82</v>
      </c>
      <c r="L334" s="3">
        <v>14.14</v>
      </c>
      <c r="M334" s="3">
        <v>241.46</v>
      </c>
      <c r="N334" s="2" t="s">
        <v>58</v>
      </c>
      <c r="O334" s="2" t="s">
        <v>59</v>
      </c>
      <c r="P334" s="2" t="s">
        <v>124</v>
      </c>
      <c r="Q334" s="2" t="s">
        <v>125</v>
      </c>
      <c r="R334" s="2" t="s">
        <v>38</v>
      </c>
    </row>
    <row r="335" spans="1:18" x14ac:dyDescent="0.3">
      <c r="A335" s="5" t="s">
        <v>963</v>
      </c>
      <c r="B335" s="4">
        <v>45426</v>
      </c>
      <c r="C335" s="5" t="s">
        <v>964</v>
      </c>
      <c r="D335" s="5" t="s">
        <v>189</v>
      </c>
      <c r="E335" s="5" t="s">
        <v>340</v>
      </c>
      <c r="F335" s="5" t="s">
        <v>81</v>
      </c>
      <c r="G335" s="5" t="s">
        <v>203</v>
      </c>
      <c r="H335" s="6">
        <v>3</v>
      </c>
      <c r="I335" s="6">
        <v>389.23</v>
      </c>
      <c r="J335" s="5">
        <v>0</v>
      </c>
      <c r="K335" s="6">
        <v>140.12</v>
      </c>
      <c r="L335" s="6">
        <v>7.57</v>
      </c>
      <c r="M335" s="6">
        <v>1315.38</v>
      </c>
      <c r="N335" s="5" t="s">
        <v>58</v>
      </c>
      <c r="O335" s="5" t="s">
        <v>25</v>
      </c>
      <c r="P335" s="5" t="s">
        <v>124</v>
      </c>
      <c r="Q335" s="5" t="s">
        <v>125</v>
      </c>
      <c r="R335" s="5" t="s">
        <v>38</v>
      </c>
    </row>
    <row r="336" spans="1:18" x14ac:dyDescent="0.3">
      <c r="A336" s="2" t="s">
        <v>965</v>
      </c>
      <c r="B336" s="1">
        <v>44711</v>
      </c>
      <c r="C336" s="2" t="s">
        <v>966</v>
      </c>
      <c r="D336" s="2" t="s">
        <v>911</v>
      </c>
      <c r="E336" s="2" t="s">
        <v>94</v>
      </c>
      <c r="F336" s="2" t="s">
        <v>33</v>
      </c>
      <c r="G336" s="2" t="s">
        <v>57</v>
      </c>
      <c r="H336" s="3">
        <v>3</v>
      </c>
      <c r="I336" s="3">
        <v>400.38</v>
      </c>
      <c r="J336" s="2">
        <v>0</v>
      </c>
      <c r="K336" s="3">
        <v>216.21</v>
      </c>
      <c r="L336" s="3">
        <v>8.35</v>
      </c>
      <c r="M336" s="3">
        <v>1425.7</v>
      </c>
      <c r="N336" s="2" t="s">
        <v>67</v>
      </c>
      <c r="O336" s="2" t="s">
        <v>25</v>
      </c>
      <c r="P336" s="2" t="s">
        <v>124</v>
      </c>
      <c r="Q336" s="2" t="s">
        <v>125</v>
      </c>
      <c r="R336" s="2" t="s">
        <v>28</v>
      </c>
    </row>
    <row r="337" spans="1:18" x14ac:dyDescent="0.3">
      <c r="A337" s="5" t="s">
        <v>967</v>
      </c>
      <c r="B337" s="4">
        <v>43832</v>
      </c>
      <c r="C337" s="5" t="s">
        <v>968</v>
      </c>
      <c r="D337" s="5" t="s">
        <v>172</v>
      </c>
      <c r="E337" s="5" t="s">
        <v>498</v>
      </c>
      <c r="F337" s="5" t="s">
        <v>143</v>
      </c>
      <c r="G337" s="5" t="s">
        <v>66</v>
      </c>
      <c r="H337" s="6">
        <v>1</v>
      </c>
      <c r="I337" s="6">
        <v>501.07</v>
      </c>
      <c r="J337" s="5">
        <v>0</v>
      </c>
      <c r="K337" s="6">
        <v>25.05</v>
      </c>
      <c r="L337" s="6">
        <v>1.54</v>
      </c>
      <c r="M337" s="6">
        <v>527.66</v>
      </c>
      <c r="N337" s="5" t="s">
        <v>35</v>
      </c>
      <c r="O337" s="5" t="s">
        <v>25</v>
      </c>
      <c r="P337" s="5" t="s">
        <v>178</v>
      </c>
      <c r="Q337" s="5" t="s">
        <v>69</v>
      </c>
      <c r="R337" s="5" t="s">
        <v>38</v>
      </c>
    </row>
    <row r="338" spans="1:18" x14ac:dyDescent="0.3">
      <c r="A338" s="2" t="s">
        <v>969</v>
      </c>
      <c r="B338" s="1">
        <v>44727</v>
      </c>
      <c r="C338" s="2" t="s">
        <v>970</v>
      </c>
      <c r="D338" s="2" t="s">
        <v>971</v>
      </c>
      <c r="E338" s="2" t="s">
        <v>132</v>
      </c>
      <c r="F338" s="2" t="s">
        <v>43</v>
      </c>
      <c r="G338" s="2" t="s">
        <v>34</v>
      </c>
      <c r="H338" s="3">
        <v>1</v>
      </c>
      <c r="I338" s="3">
        <v>296.93</v>
      </c>
      <c r="J338" s="2">
        <v>0.05</v>
      </c>
      <c r="K338" s="3">
        <v>33.85</v>
      </c>
      <c r="L338" s="3">
        <v>5.35</v>
      </c>
      <c r="M338" s="3">
        <v>321.27999999999997</v>
      </c>
      <c r="N338" s="2" t="s">
        <v>35</v>
      </c>
      <c r="O338" s="2" t="s">
        <v>25</v>
      </c>
      <c r="P338" s="2" t="s">
        <v>95</v>
      </c>
      <c r="Q338" s="2" t="s">
        <v>37</v>
      </c>
      <c r="R338" s="2" t="s">
        <v>38</v>
      </c>
    </row>
    <row r="339" spans="1:18" x14ac:dyDescent="0.3">
      <c r="A339" s="5" t="s">
        <v>972</v>
      </c>
      <c r="B339" s="4">
        <v>45158</v>
      </c>
      <c r="C339" s="5" t="s">
        <v>973</v>
      </c>
      <c r="D339" s="5" t="s">
        <v>181</v>
      </c>
      <c r="E339" s="5" t="s">
        <v>349</v>
      </c>
      <c r="F339" s="5" t="s">
        <v>33</v>
      </c>
      <c r="G339" s="5" t="s">
        <v>203</v>
      </c>
      <c r="H339" s="6">
        <v>2</v>
      </c>
      <c r="I339" s="6">
        <v>30.67</v>
      </c>
      <c r="J339" s="5">
        <v>0.05</v>
      </c>
      <c r="K339" s="6">
        <v>2.91</v>
      </c>
      <c r="L339" s="6">
        <v>6.88</v>
      </c>
      <c r="M339" s="6">
        <v>68.06</v>
      </c>
      <c r="N339" s="5" t="s">
        <v>58</v>
      </c>
      <c r="O339" s="5" t="s">
        <v>107</v>
      </c>
      <c r="P339" s="5" t="s">
        <v>36</v>
      </c>
      <c r="Q339" s="5" t="s">
        <v>37</v>
      </c>
      <c r="R339" s="5" t="s">
        <v>38</v>
      </c>
    </row>
    <row r="340" spans="1:18" x14ac:dyDescent="0.3">
      <c r="A340" s="2" t="s">
        <v>974</v>
      </c>
      <c r="B340" s="1">
        <v>44084</v>
      </c>
      <c r="C340" s="2" t="s">
        <v>975</v>
      </c>
      <c r="D340" s="2" t="s">
        <v>720</v>
      </c>
      <c r="E340" s="2" t="s">
        <v>349</v>
      </c>
      <c r="F340" s="2" t="s">
        <v>22</v>
      </c>
      <c r="G340" s="2" t="s">
        <v>34</v>
      </c>
      <c r="H340" s="3">
        <v>2</v>
      </c>
      <c r="I340" s="3">
        <v>559.24</v>
      </c>
      <c r="J340" s="2">
        <v>0</v>
      </c>
      <c r="K340" s="3">
        <v>134.22</v>
      </c>
      <c r="L340" s="3">
        <v>11.03</v>
      </c>
      <c r="M340" s="3">
        <v>1263.73</v>
      </c>
      <c r="N340" s="2" t="s">
        <v>24</v>
      </c>
      <c r="O340" s="2" t="s">
        <v>25</v>
      </c>
      <c r="P340" s="2" t="s">
        <v>83</v>
      </c>
      <c r="Q340" s="2" t="s">
        <v>84</v>
      </c>
      <c r="R340" s="2" t="s">
        <v>38</v>
      </c>
    </row>
    <row r="341" spans="1:18" x14ac:dyDescent="0.3">
      <c r="A341" s="5" t="s">
        <v>976</v>
      </c>
      <c r="B341" s="4">
        <v>45506</v>
      </c>
      <c r="C341" s="5" t="s">
        <v>977</v>
      </c>
      <c r="D341" s="5" t="s">
        <v>701</v>
      </c>
      <c r="E341" s="5" t="s">
        <v>160</v>
      </c>
      <c r="F341" s="5" t="s">
        <v>81</v>
      </c>
      <c r="G341" s="5" t="s">
        <v>57</v>
      </c>
      <c r="H341" s="6">
        <v>3</v>
      </c>
      <c r="I341" s="6">
        <v>72.83</v>
      </c>
      <c r="J341" s="5">
        <v>0.1</v>
      </c>
      <c r="K341" s="6">
        <v>15.73</v>
      </c>
      <c r="L341" s="6">
        <v>0.49</v>
      </c>
      <c r="M341" s="6">
        <v>212.86</v>
      </c>
      <c r="N341" s="5" t="s">
        <v>58</v>
      </c>
      <c r="O341" s="5" t="s">
        <v>25</v>
      </c>
      <c r="P341" s="5" t="s">
        <v>112</v>
      </c>
      <c r="Q341" s="5" t="s">
        <v>113</v>
      </c>
      <c r="R341" s="5" t="s">
        <v>38</v>
      </c>
    </row>
    <row r="342" spans="1:18" x14ac:dyDescent="0.3">
      <c r="A342" s="2" t="s">
        <v>978</v>
      </c>
      <c r="B342" s="1">
        <v>44283</v>
      </c>
      <c r="C342" s="2" t="s">
        <v>979</v>
      </c>
      <c r="D342" s="2" t="s">
        <v>528</v>
      </c>
      <c r="E342" s="2" t="s">
        <v>122</v>
      </c>
      <c r="F342" s="2" t="s">
        <v>81</v>
      </c>
      <c r="G342" s="2" t="s">
        <v>57</v>
      </c>
      <c r="H342" s="3">
        <v>3</v>
      </c>
      <c r="I342" s="3">
        <v>94.51</v>
      </c>
      <c r="J342" s="2">
        <v>0.2</v>
      </c>
      <c r="K342" s="3">
        <v>11.34</v>
      </c>
      <c r="L342" s="3">
        <v>5.78</v>
      </c>
      <c r="M342" s="3">
        <v>243.94</v>
      </c>
      <c r="N342" s="2" t="s">
        <v>24</v>
      </c>
      <c r="O342" s="2" t="s">
        <v>25</v>
      </c>
      <c r="P342" s="2" t="s">
        <v>145</v>
      </c>
      <c r="Q342" s="2" t="s">
        <v>146</v>
      </c>
      <c r="R342" s="2" t="s">
        <v>38</v>
      </c>
    </row>
    <row r="343" spans="1:18" x14ac:dyDescent="0.3">
      <c r="A343" s="5" t="s">
        <v>980</v>
      </c>
      <c r="B343" s="4">
        <v>44891</v>
      </c>
      <c r="C343" s="5" t="s">
        <v>981</v>
      </c>
      <c r="D343" s="5" t="s">
        <v>911</v>
      </c>
      <c r="E343" s="5" t="s">
        <v>21</v>
      </c>
      <c r="F343" s="5" t="s">
        <v>22</v>
      </c>
      <c r="G343" s="5" t="s">
        <v>100</v>
      </c>
      <c r="H343" s="6">
        <v>2</v>
      </c>
      <c r="I343" s="6">
        <v>487.8</v>
      </c>
      <c r="J343" s="5">
        <v>0.05</v>
      </c>
      <c r="K343" s="6">
        <v>74.150000000000006</v>
      </c>
      <c r="L343" s="6">
        <v>14.57</v>
      </c>
      <c r="M343" s="6">
        <v>1015.54</v>
      </c>
      <c r="N343" s="5" t="s">
        <v>35</v>
      </c>
      <c r="O343" s="5" t="s">
        <v>25</v>
      </c>
      <c r="P343" s="5" t="s">
        <v>74</v>
      </c>
      <c r="Q343" s="5" t="s">
        <v>75</v>
      </c>
      <c r="R343" s="5" t="s">
        <v>38</v>
      </c>
    </row>
    <row r="344" spans="1:18" x14ac:dyDescent="0.3">
      <c r="A344" s="2" t="s">
        <v>982</v>
      </c>
      <c r="B344" s="1">
        <v>45014</v>
      </c>
      <c r="C344" s="2" t="s">
        <v>983</v>
      </c>
      <c r="D344" s="2" t="s">
        <v>655</v>
      </c>
      <c r="E344" s="2" t="s">
        <v>32</v>
      </c>
      <c r="F344" s="2" t="s">
        <v>81</v>
      </c>
      <c r="G344" s="2" t="s">
        <v>57</v>
      </c>
      <c r="H344" s="3">
        <v>3</v>
      </c>
      <c r="I344" s="3">
        <v>203.88</v>
      </c>
      <c r="J344" s="2">
        <v>0</v>
      </c>
      <c r="K344" s="3">
        <v>48.93</v>
      </c>
      <c r="L344" s="3">
        <v>1.71</v>
      </c>
      <c r="M344" s="3">
        <v>662.28</v>
      </c>
      <c r="N344" s="2" t="s">
        <v>67</v>
      </c>
      <c r="O344" s="2" t="s">
        <v>25</v>
      </c>
      <c r="P344" s="2" t="s">
        <v>124</v>
      </c>
      <c r="Q344" s="2" t="s">
        <v>125</v>
      </c>
      <c r="R344" s="2" t="s">
        <v>38</v>
      </c>
    </row>
    <row r="345" spans="1:18" x14ac:dyDescent="0.3">
      <c r="A345" s="5" t="s">
        <v>984</v>
      </c>
      <c r="B345" s="4">
        <v>44845</v>
      </c>
      <c r="C345" s="5" t="s">
        <v>985</v>
      </c>
      <c r="D345" s="5" t="s">
        <v>711</v>
      </c>
      <c r="E345" s="5" t="s">
        <v>132</v>
      </c>
      <c r="F345" s="5" t="s">
        <v>22</v>
      </c>
      <c r="G345" s="5" t="s">
        <v>49</v>
      </c>
      <c r="H345" s="6">
        <v>5</v>
      </c>
      <c r="I345" s="6">
        <v>39.9</v>
      </c>
      <c r="J345" s="5">
        <v>0.1</v>
      </c>
      <c r="K345" s="6">
        <v>8.98</v>
      </c>
      <c r="L345" s="6">
        <v>9.41</v>
      </c>
      <c r="M345" s="6">
        <v>197.94</v>
      </c>
      <c r="N345" s="5" t="s">
        <v>35</v>
      </c>
      <c r="O345" s="5" t="s">
        <v>82</v>
      </c>
      <c r="P345" s="5" t="s">
        <v>117</v>
      </c>
      <c r="Q345" s="5" t="s">
        <v>118</v>
      </c>
      <c r="R345" s="5" t="s">
        <v>38</v>
      </c>
    </row>
    <row r="346" spans="1:18" x14ac:dyDescent="0.3">
      <c r="A346" s="2" t="s">
        <v>986</v>
      </c>
      <c r="B346" s="1">
        <v>43839</v>
      </c>
      <c r="C346" s="2" t="s">
        <v>987</v>
      </c>
      <c r="D346" s="2" t="s">
        <v>168</v>
      </c>
      <c r="E346" s="2" t="s">
        <v>21</v>
      </c>
      <c r="F346" s="2" t="s">
        <v>22</v>
      </c>
      <c r="G346" s="2" t="s">
        <v>100</v>
      </c>
      <c r="H346" s="3">
        <v>1</v>
      </c>
      <c r="I346" s="3">
        <v>56.87</v>
      </c>
      <c r="J346" s="2">
        <v>0.1</v>
      </c>
      <c r="K346" s="3">
        <v>4.09</v>
      </c>
      <c r="L346" s="3">
        <v>3.54</v>
      </c>
      <c r="M346" s="3">
        <v>58.81</v>
      </c>
      <c r="N346" s="2" t="s">
        <v>123</v>
      </c>
      <c r="O346" s="2" t="s">
        <v>25</v>
      </c>
      <c r="P346" s="2" t="s">
        <v>133</v>
      </c>
      <c r="Q346" s="2" t="s">
        <v>134</v>
      </c>
      <c r="R346" s="2" t="s">
        <v>76</v>
      </c>
    </row>
    <row r="347" spans="1:18" x14ac:dyDescent="0.3">
      <c r="A347" s="5" t="s">
        <v>988</v>
      </c>
      <c r="B347" s="4">
        <v>45087</v>
      </c>
      <c r="C347" s="5" t="s">
        <v>989</v>
      </c>
      <c r="D347" s="5" t="s">
        <v>230</v>
      </c>
      <c r="E347" s="5" t="s">
        <v>294</v>
      </c>
      <c r="F347" s="5" t="s">
        <v>89</v>
      </c>
      <c r="G347" s="5" t="s">
        <v>90</v>
      </c>
      <c r="H347" s="6">
        <v>1</v>
      </c>
      <c r="I347" s="6">
        <v>369.08</v>
      </c>
      <c r="J347" s="5">
        <v>0</v>
      </c>
      <c r="K347" s="6">
        <v>18.45</v>
      </c>
      <c r="L347" s="6">
        <v>1.59</v>
      </c>
      <c r="M347" s="6">
        <v>389.12</v>
      </c>
      <c r="N347" s="5" t="s">
        <v>67</v>
      </c>
      <c r="O347" s="5" t="s">
        <v>25</v>
      </c>
      <c r="P347" s="5" t="s">
        <v>257</v>
      </c>
      <c r="Q347" s="5" t="s">
        <v>69</v>
      </c>
      <c r="R347" s="5" t="s">
        <v>38</v>
      </c>
    </row>
    <row r="348" spans="1:18" x14ac:dyDescent="0.3">
      <c r="A348" s="2" t="s">
        <v>990</v>
      </c>
      <c r="B348" s="1">
        <v>44953</v>
      </c>
      <c r="C348" s="2" t="s">
        <v>991</v>
      </c>
      <c r="D348" s="2" t="s">
        <v>440</v>
      </c>
      <c r="E348" s="2" t="s">
        <v>94</v>
      </c>
      <c r="F348" s="2" t="s">
        <v>33</v>
      </c>
      <c r="G348" s="2" t="s">
        <v>268</v>
      </c>
      <c r="H348" s="3">
        <v>5</v>
      </c>
      <c r="I348" s="3">
        <v>410.33</v>
      </c>
      <c r="J348" s="2">
        <v>0</v>
      </c>
      <c r="K348" s="3">
        <v>164.13</v>
      </c>
      <c r="L348" s="3">
        <v>4.18</v>
      </c>
      <c r="M348" s="3">
        <v>2219.96</v>
      </c>
      <c r="N348" s="2" t="s">
        <v>24</v>
      </c>
      <c r="O348" s="2" t="s">
        <v>25</v>
      </c>
      <c r="P348" s="2" t="s">
        <v>133</v>
      </c>
      <c r="Q348" s="2" t="s">
        <v>134</v>
      </c>
      <c r="R348" s="2" t="s">
        <v>38</v>
      </c>
    </row>
    <row r="349" spans="1:18" x14ac:dyDescent="0.3">
      <c r="A349" s="5" t="s">
        <v>992</v>
      </c>
      <c r="B349" s="4">
        <v>45513</v>
      </c>
      <c r="C349" s="5" t="s">
        <v>993</v>
      </c>
      <c r="D349" s="5" t="s">
        <v>163</v>
      </c>
      <c r="E349" s="5" t="s">
        <v>597</v>
      </c>
      <c r="F349" s="5" t="s">
        <v>33</v>
      </c>
      <c r="G349" s="5" t="s">
        <v>90</v>
      </c>
      <c r="H349" s="6">
        <v>2</v>
      </c>
      <c r="I349" s="6">
        <v>29.1</v>
      </c>
      <c r="J349" s="5">
        <v>0.2</v>
      </c>
      <c r="K349" s="6">
        <v>2.33</v>
      </c>
      <c r="L349" s="6">
        <v>3.83</v>
      </c>
      <c r="M349" s="6">
        <v>52.72</v>
      </c>
      <c r="N349" s="5" t="s">
        <v>35</v>
      </c>
      <c r="O349" s="5" t="s">
        <v>25</v>
      </c>
      <c r="P349" s="5" t="s">
        <v>178</v>
      </c>
      <c r="Q349" s="5" t="s">
        <v>69</v>
      </c>
      <c r="R349" s="5" t="s">
        <v>38</v>
      </c>
    </row>
    <row r="350" spans="1:18" x14ac:dyDescent="0.3">
      <c r="A350" s="2" t="s">
        <v>994</v>
      </c>
      <c r="B350" s="1">
        <v>44646</v>
      </c>
      <c r="C350" s="2" t="s">
        <v>995</v>
      </c>
      <c r="D350" s="2" t="s">
        <v>382</v>
      </c>
      <c r="E350" s="2" t="s">
        <v>294</v>
      </c>
      <c r="F350" s="2" t="s">
        <v>22</v>
      </c>
      <c r="G350" s="2" t="s">
        <v>198</v>
      </c>
      <c r="H350" s="3">
        <v>2</v>
      </c>
      <c r="I350" s="3">
        <v>116.97</v>
      </c>
      <c r="J350" s="2">
        <v>0</v>
      </c>
      <c r="K350" s="3">
        <v>18.72</v>
      </c>
      <c r="L350" s="3">
        <v>8.01</v>
      </c>
      <c r="M350" s="3">
        <v>260.67</v>
      </c>
      <c r="N350" s="2" t="s">
        <v>67</v>
      </c>
      <c r="O350" s="2" t="s">
        <v>25</v>
      </c>
      <c r="P350" s="2" t="s">
        <v>83</v>
      </c>
      <c r="Q350" s="2" t="s">
        <v>84</v>
      </c>
      <c r="R350" s="2" t="s">
        <v>28</v>
      </c>
    </row>
    <row r="351" spans="1:18" x14ac:dyDescent="0.3">
      <c r="A351" s="5" t="s">
        <v>996</v>
      </c>
      <c r="B351" s="4">
        <v>44038</v>
      </c>
      <c r="C351" s="5" t="s">
        <v>997</v>
      </c>
      <c r="D351" s="5" t="s">
        <v>998</v>
      </c>
      <c r="E351" s="5" t="s">
        <v>243</v>
      </c>
      <c r="F351" s="5" t="s">
        <v>89</v>
      </c>
      <c r="G351" s="5" t="s">
        <v>90</v>
      </c>
      <c r="H351" s="6">
        <v>5</v>
      </c>
      <c r="I351" s="6">
        <v>548.98</v>
      </c>
      <c r="J351" s="5">
        <v>0</v>
      </c>
      <c r="K351" s="6">
        <v>219.59</v>
      </c>
      <c r="L351" s="6">
        <v>11.56</v>
      </c>
      <c r="M351" s="6">
        <v>2976.05</v>
      </c>
      <c r="N351" s="5" t="s">
        <v>35</v>
      </c>
      <c r="O351" s="5" t="s">
        <v>25</v>
      </c>
      <c r="P351" s="5" t="s">
        <v>36</v>
      </c>
      <c r="Q351" s="5" t="s">
        <v>37</v>
      </c>
      <c r="R351" s="5" t="s">
        <v>38</v>
      </c>
    </row>
    <row r="352" spans="1:18" x14ac:dyDescent="0.3">
      <c r="A352" s="2" t="s">
        <v>999</v>
      </c>
      <c r="B352" s="1">
        <v>44985</v>
      </c>
      <c r="C352" s="2" t="s">
        <v>1000</v>
      </c>
      <c r="D352" s="2" t="s">
        <v>336</v>
      </c>
      <c r="E352" s="2" t="s">
        <v>190</v>
      </c>
      <c r="F352" s="2" t="s">
        <v>22</v>
      </c>
      <c r="G352" s="2" t="s">
        <v>23</v>
      </c>
      <c r="H352" s="3">
        <v>5</v>
      </c>
      <c r="I352" s="3">
        <v>578.85</v>
      </c>
      <c r="J352" s="2">
        <v>0</v>
      </c>
      <c r="K352" s="3">
        <v>144.71</v>
      </c>
      <c r="L352" s="3">
        <v>12.07</v>
      </c>
      <c r="M352" s="3">
        <v>3051.03</v>
      </c>
      <c r="N352" s="2" t="s">
        <v>58</v>
      </c>
      <c r="O352" s="2" t="s">
        <v>25</v>
      </c>
      <c r="P352" s="2" t="s">
        <v>74</v>
      </c>
      <c r="Q352" s="2" t="s">
        <v>75</v>
      </c>
      <c r="R352" s="2" t="s">
        <v>38</v>
      </c>
    </row>
    <row r="353" spans="1:18" x14ac:dyDescent="0.3">
      <c r="A353" s="5" t="s">
        <v>1001</v>
      </c>
      <c r="B353" s="4">
        <v>44234</v>
      </c>
      <c r="C353" s="5" t="s">
        <v>1002</v>
      </c>
      <c r="D353" s="5" t="s">
        <v>1003</v>
      </c>
      <c r="E353" s="5" t="s">
        <v>32</v>
      </c>
      <c r="F353" s="5" t="s">
        <v>81</v>
      </c>
      <c r="G353" s="5" t="s">
        <v>66</v>
      </c>
      <c r="H353" s="6">
        <v>3</v>
      </c>
      <c r="I353" s="6">
        <v>366.04</v>
      </c>
      <c r="J353" s="5">
        <v>0</v>
      </c>
      <c r="K353" s="6">
        <v>87.85</v>
      </c>
      <c r="L353" s="6">
        <v>4.55</v>
      </c>
      <c r="M353" s="6">
        <v>1190.52</v>
      </c>
      <c r="N353" s="5" t="s">
        <v>24</v>
      </c>
      <c r="O353" s="5" t="s">
        <v>107</v>
      </c>
      <c r="P353" s="5" t="s">
        <v>257</v>
      </c>
      <c r="Q353" s="5" t="s">
        <v>69</v>
      </c>
      <c r="R353" s="5" t="s">
        <v>183</v>
      </c>
    </row>
    <row r="354" spans="1:18" x14ac:dyDescent="0.3">
      <c r="A354" s="2" t="s">
        <v>1004</v>
      </c>
      <c r="B354" s="1">
        <v>43982</v>
      </c>
      <c r="C354" s="2" t="s">
        <v>1005</v>
      </c>
      <c r="D354" s="2" t="s">
        <v>868</v>
      </c>
      <c r="E354" s="2" t="s">
        <v>111</v>
      </c>
      <c r="F354" s="2" t="s">
        <v>143</v>
      </c>
      <c r="G354" s="2" t="s">
        <v>100</v>
      </c>
      <c r="H354" s="3">
        <v>4</v>
      </c>
      <c r="I354" s="3">
        <v>400.22</v>
      </c>
      <c r="J354" s="2">
        <v>0</v>
      </c>
      <c r="K354" s="3">
        <v>0</v>
      </c>
      <c r="L354" s="3">
        <v>5.53</v>
      </c>
      <c r="M354" s="3">
        <v>1606.41</v>
      </c>
      <c r="N354" s="2" t="s">
        <v>67</v>
      </c>
      <c r="O354" s="2" t="s">
        <v>107</v>
      </c>
      <c r="P354" s="2" t="s">
        <v>165</v>
      </c>
      <c r="Q354" s="2" t="s">
        <v>37</v>
      </c>
      <c r="R354" s="2" t="s">
        <v>38</v>
      </c>
    </row>
    <row r="355" spans="1:18" x14ac:dyDescent="0.3">
      <c r="A355" s="5" t="s">
        <v>1006</v>
      </c>
      <c r="B355" s="4">
        <v>43884</v>
      </c>
      <c r="C355" s="5" t="s">
        <v>1007</v>
      </c>
      <c r="D355" s="5" t="s">
        <v>796</v>
      </c>
      <c r="E355" s="5" t="s">
        <v>32</v>
      </c>
      <c r="F355" s="5" t="s">
        <v>81</v>
      </c>
      <c r="G355" s="5" t="s">
        <v>90</v>
      </c>
      <c r="H355" s="6">
        <v>2</v>
      </c>
      <c r="I355" s="6">
        <v>597.49</v>
      </c>
      <c r="J355" s="5">
        <v>0.25</v>
      </c>
      <c r="K355" s="6">
        <v>0</v>
      </c>
      <c r="L355" s="6">
        <v>3.29</v>
      </c>
      <c r="M355" s="6">
        <v>899.52</v>
      </c>
      <c r="N355" s="5" t="s">
        <v>67</v>
      </c>
      <c r="O355" s="5" t="s">
        <v>25</v>
      </c>
      <c r="P355" s="5" t="s">
        <v>178</v>
      </c>
      <c r="Q355" s="5" t="s">
        <v>69</v>
      </c>
      <c r="R355" s="5" t="s">
        <v>28</v>
      </c>
    </row>
    <row r="356" spans="1:18" x14ac:dyDescent="0.3">
      <c r="A356" s="2" t="s">
        <v>1008</v>
      </c>
      <c r="B356" s="1">
        <v>44974</v>
      </c>
      <c r="C356" s="2" t="s">
        <v>1009</v>
      </c>
      <c r="D356" s="2" t="s">
        <v>754</v>
      </c>
      <c r="E356" s="2" t="s">
        <v>94</v>
      </c>
      <c r="F356" s="2" t="s">
        <v>89</v>
      </c>
      <c r="G356" s="2" t="s">
        <v>100</v>
      </c>
      <c r="H356" s="3">
        <v>2</v>
      </c>
      <c r="I356" s="3">
        <v>57.37</v>
      </c>
      <c r="J356" s="2">
        <v>0</v>
      </c>
      <c r="K356" s="3">
        <v>5.74</v>
      </c>
      <c r="L356" s="3">
        <v>0.48</v>
      </c>
      <c r="M356" s="3">
        <v>120.96</v>
      </c>
      <c r="N356" s="2" t="s">
        <v>50</v>
      </c>
      <c r="O356" s="2" t="s">
        <v>107</v>
      </c>
      <c r="P356" s="2" t="s">
        <v>124</v>
      </c>
      <c r="Q356" s="2" t="s">
        <v>125</v>
      </c>
      <c r="R356" s="2" t="s">
        <v>38</v>
      </c>
    </row>
    <row r="357" spans="1:18" x14ac:dyDescent="0.3">
      <c r="A357" s="5" t="s">
        <v>1010</v>
      </c>
      <c r="B357" s="4">
        <v>45527</v>
      </c>
      <c r="C357" s="5" t="s">
        <v>1011</v>
      </c>
      <c r="D357" s="5" t="s">
        <v>246</v>
      </c>
      <c r="E357" s="5" t="s">
        <v>349</v>
      </c>
      <c r="F357" s="5" t="s">
        <v>33</v>
      </c>
      <c r="G357" s="5" t="s">
        <v>23</v>
      </c>
      <c r="H357" s="6">
        <v>2</v>
      </c>
      <c r="I357" s="6">
        <v>327.8</v>
      </c>
      <c r="J357" s="5">
        <v>0.1</v>
      </c>
      <c r="K357" s="6">
        <v>70.8</v>
      </c>
      <c r="L357" s="6">
        <v>13.68</v>
      </c>
      <c r="M357" s="6">
        <v>674.52</v>
      </c>
      <c r="N357" s="5" t="s">
        <v>67</v>
      </c>
      <c r="O357" s="5" t="s">
        <v>25</v>
      </c>
      <c r="P357" s="5" t="s">
        <v>112</v>
      </c>
      <c r="Q357" s="5" t="s">
        <v>113</v>
      </c>
      <c r="R357" s="5" t="s">
        <v>183</v>
      </c>
    </row>
    <row r="358" spans="1:18" x14ac:dyDescent="0.3">
      <c r="A358" s="2" t="s">
        <v>1012</v>
      </c>
      <c r="B358" s="1">
        <v>44458</v>
      </c>
      <c r="C358" s="2" t="s">
        <v>1013</v>
      </c>
      <c r="D358" s="2" t="s">
        <v>690</v>
      </c>
      <c r="E358" s="2" t="s">
        <v>386</v>
      </c>
      <c r="F358" s="2" t="s">
        <v>43</v>
      </c>
      <c r="G358" s="2" t="s">
        <v>34</v>
      </c>
      <c r="H358" s="3">
        <v>5</v>
      </c>
      <c r="I358" s="3">
        <v>453.11</v>
      </c>
      <c r="J358" s="2">
        <v>0.15</v>
      </c>
      <c r="K358" s="3">
        <v>96.29</v>
      </c>
      <c r="L358" s="3">
        <v>14.15</v>
      </c>
      <c r="M358" s="3">
        <v>2036.16</v>
      </c>
      <c r="N358" s="2" t="s">
        <v>24</v>
      </c>
      <c r="O358" s="2" t="s">
        <v>25</v>
      </c>
      <c r="P358" s="2" t="s">
        <v>112</v>
      </c>
      <c r="Q358" s="2" t="s">
        <v>113</v>
      </c>
      <c r="R358" s="2" t="s">
        <v>38</v>
      </c>
    </row>
    <row r="359" spans="1:18" x14ac:dyDescent="0.3">
      <c r="A359" s="5" t="s">
        <v>1014</v>
      </c>
      <c r="B359" s="4">
        <v>44417</v>
      </c>
      <c r="C359" s="5" t="s">
        <v>1015</v>
      </c>
      <c r="D359" s="5" t="s">
        <v>770</v>
      </c>
      <c r="E359" s="5" t="s">
        <v>256</v>
      </c>
      <c r="F359" s="5" t="s">
        <v>143</v>
      </c>
      <c r="G359" s="5" t="s">
        <v>23</v>
      </c>
      <c r="H359" s="6">
        <v>2</v>
      </c>
      <c r="I359" s="6">
        <v>138.19</v>
      </c>
      <c r="J359" s="5">
        <v>0.1</v>
      </c>
      <c r="K359" s="6">
        <v>29.85</v>
      </c>
      <c r="L359" s="6">
        <v>3.32</v>
      </c>
      <c r="M359" s="6">
        <v>281.91000000000003</v>
      </c>
      <c r="N359" s="5" t="s">
        <v>35</v>
      </c>
      <c r="O359" s="5" t="s">
        <v>25</v>
      </c>
      <c r="P359" s="5" t="s">
        <v>150</v>
      </c>
      <c r="Q359" s="5" t="s">
        <v>69</v>
      </c>
      <c r="R359" s="5" t="s">
        <v>38</v>
      </c>
    </row>
    <row r="360" spans="1:18" x14ac:dyDescent="0.3">
      <c r="A360" s="2" t="s">
        <v>1016</v>
      </c>
      <c r="B360" s="1">
        <v>45479</v>
      </c>
      <c r="C360" s="2" t="s">
        <v>1017</v>
      </c>
      <c r="D360" s="2" t="s">
        <v>110</v>
      </c>
      <c r="E360" s="2" t="s">
        <v>577</v>
      </c>
      <c r="F360" s="2" t="s">
        <v>22</v>
      </c>
      <c r="G360" s="2" t="s">
        <v>198</v>
      </c>
      <c r="H360" s="3">
        <v>2</v>
      </c>
      <c r="I360" s="3">
        <v>569.77</v>
      </c>
      <c r="J360" s="2">
        <v>0.05</v>
      </c>
      <c r="K360" s="3">
        <v>86.61</v>
      </c>
      <c r="L360" s="3">
        <v>9.56</v>
      </c>
      <c r="M360" s="3">
        <v>1178.73</v>
      </c>
      <c r="N360" s="2" t="s">
        <v>24</v>
      </c>
      <c r="O360" s="2" t="s">
        <v>82</v>
      </c>
      <c r="P360" s="2" t="s">
        <v>26</v>
      </c>
      <c r="Q360" s="2" t="s">
        <v>27</v>
      </c>
      <c r="R360" s="2" t="s">
        <v>38</v>
      </c>
    </row>
    <row r="361" spans="1:18" x14ac:dyDescent="0.3">
      <c r="A361" s="5" t="s">
        <v>1018</v>
      </c>
      <c r="B361" s="4">
        <v>45274</v>
      </c>
      <c r="C361" s="5" t="s">
        <v>1019</v>
      </c>
      <c r="D361" s="5" t="s">
        <v>1020</v>
      </c>
      <c r="E361" s="5" t="s">
        <v>88</v>
      </c>
      <c r="F361" s="5" t="s">
        <v>33</v>
      </c>
      <c r="G361" s="5" t="s">
        <v>198</v>
      </c>
      <c r="H361" s="6">
        <v>3</v>
      </c>
      <c r="I361" s="6">
        <v>392.25</v>
      </c>
      <c r="J361" s="5">
        <v>0.15</v>
      </c>
      <c r="K361" s="6">
        <v>80.02</v>
      </c>
      <c r="L361" s="6">
        <v>5.31</v>
      </c>
      <c r="M361" s="6">
        <v>1085.57</v>
      </c>
      <c r="N361" s="5" t="s">
        <v>58</v>
      </c>
      <c r="O361" s="5" t="s">
        <v>25</v>
      </c>
      <c r="P361" s="5" t="s">
        <v>145</v>
      </c>
      <c r="Q361" s="5" t="s">
        <v>146</v>
      </c>
      <c r="R361" s="5" t="s">
        <v>38</v>
      </c>
    </row>
    <row r="362" spans="1:18" x14ac:dyDescent="0.3">
      <c r="A362" s="2" t="s">
        <v>1021</v>
      </c>
      <c r="B362" s="1">
        <v>45276</v>
      </c>
      <c r="C362" s="2" t="s">
        <v>1022</v>
      </c>
      <c r="D362" s="2" t="s">
        <v>230</v>
      </c>
      <c r="E362" s="2" t="s">
        <v>386</v>
      </c>
      <c r="F362" s="2" t="s">
        <v>81</v>
      </c>
      <c r="G362" s="2" t="s">
        <v>66</v>
      </c>
      <c r="H362" s="3">
        <v>5</v>
      </c>
      <c r="I362" s="3">
        <v>131.34</v>
      </c>
      <c r="J362" s="2">
        <v>0.05</v>
      </c>
      <c r="K362" s="3">
        <v>49.91</v>
      </c>
      <c r="L362" s="3">
        <v>1.64</v>
      </c>
      <c r="M362" s="3">
        <v>675.42</v>
      </c>
      <c r="N362" s="2" t="s">
        <v>35</v>
      </c>
      <c r="O362" s="2" t="s">
        <v>82</v>
      </c>
      <c r="P362" s="2" t="s">
        <v>36</v>
      </c>
      <c r="Q362" s="2" t="s">
        <v>37</v>
      </c>
      <c r="R362" s="2" t="s">
        <v>38</v>
      </c>
    </row>
    <row r="363" spans="1:18" x14ac:dyDescent="0.3">
      <c r="A363" s="5" t="s">
        <v>1023</v>
      </c>
      <c r="B363" s="4">
        <v>43934</v>
      </c>
      <c r="C363" s="5" t="s">
        <v>1024</v>
      </c>
      <c r="D363" s="5" t="s">
        <v>1025</v>
      </c>
      <c r="E363" s="5" t="s">
        <v>256</v>
      </c>
      <c r="F363" s="5" t="s">
        <v>43</v>
      </c>
      <c r="G363" s="5" t="s">
        <v>23</v>
      </c>
      <c r="H363" s="6">
        <v>5</v>
      </c>
      <c r="I363" s="6">
        <v>530.30999999999995</v>
      </c>
      <c r="J363" s="5">
        <v>0</v>
      </c>
      <c r="K363" s="6">
        <v>212.12</v>
      </c>
      <c r="L363" s="6">
        <v>14.86</v>
      </c>
      <c r="M363" s="6">
        <v>2878.53</v>
      </c>
      <c r="N363" s="5" t="s">
        <v>58</v>
      </c>
      <c r="O363" s="5" t="s">
        <v>59</v>
      </c>
      <c r="P363" s="5" t="s">
        <v>178</v>
      </c>
      <c r="Q363" s="5" t="s">
        <v>69</v>
      </c>
      <c r="R363" s="5" t="s">
        <v>76</v>
      </c>
    </row>
    <row r="364" spans="1:18" x14ac:dyDescent="0.3">
      <c r="A364" s="2" t="s">
        <v>1026</v>
      </c>
      <c r="B364" s="1">
        <v>44084</v>
      </c>
      <c r="C364" s="2" t="s">
        <v>1027</v>
      </c>
      <c r="D364" s="2" t="s">
        <v>223</v>
      </c>
      <c r="E364" s="2" t="s">
        <v>425</v>
      </c>
      <c r="F364" s="2" t="s">
        <v>33</v>
      </c>
      <c r="G364" s="2" t="s">
        <v>57</v>
      </c>
      <c r="H364" s="3">
        <v>3</v>
      </c>
      <c r="I364" s="3">
        <v>62.04</v>
      </c>
      <c r="J364" s="2">
        <v>0</v>
      </c>
      <c r="K364" s="3">
        <v>22.33</v>
      </c>
      <c r="L364" s="3">
        <v>4.3600000000000003</v>
      </c>
      <c r="M364" s="3">
        <v>212.81</v>
      </c>
      <c r="N364" s="2" t="s">
        <v>67</v>
      </c>
      <c r="O364" s="2" t="s">
        <v>59</v>
      </c>
      <c r="P364" s="2" t="s">
        <v>257</v>
      </c>
      <c r="Q364" s="2" t="s">
        <v>69</v>
      </c>
      <c r="R364" s="2" t="s">
        <v>61</v>
      </c>
    </row>
    <row r="365" spans="1:18" x14ac:dyDescent="0.3">
      <c r="A365" s="5" t="s">
        <v>1028</v>
      </c>
      <c r="B365" s="4">
        <v>45081</v>
      </c>
      <c r="C365" s="5" t="s">
        <v>1029</v>
      </c>
      <c r="D365" s="5" t="s">
        <v>550</v>
      </c>
      <c r="E365" s="5" t="s">
        <v>202</v>
      </c>
      <c r="F365" s="5" t="s">
        <v>22</v>
      </c>
      <c r="G365" s="5" t="s">
        <v>100</v>
      </c>
      <c r="H365" s="6">
        <v>4</v>
      </c>
      <c r="I365" s="6">
        <v>591.4</v>
      </c>
      <c r="J365" s="5">
        <v>0</v>
      </c>
      <c r="K365" s="6">
        <v>283.87</v>
      </c>
      <c r="L365" s="6">
        <v>6.44</v>
      </c>
      <c r="M365" s="6">
        <v>2655.91</v>
      </c>
      <c r="N365" s="5" t="s">
        <v>58</v>
      </c>
      <c r="O365" s="5" t="s">
        <v>25</v>
      </c>
      <c r="P365" s="5" t="s">
        <v>145</v>
      </c>
      <c r="Q365" s="5" t="s">
        <v>146</v>
      </c>
      <c r="R365" s="5" t="s">
        <v>38</v>
      </c>
    </row>
    <row r="366" spans="1:18" x14ac:dyDescent="0.3">
      <c r="A366" s="2" t="s">
        <v>1030</v>
      </c>
      <c r="B366" s="1">
        <v>44966</v>
      </c>
      <c r="C366" s="2" t="s">
        <v>1031</v>
      </c>
      <c r="D366" s="2" t="s">
        <v>1032</v>
      </c>
      <c r="E366" s="2" t="s">
        <v>182</v>
      </c>
      <c r="F366" s="2" t="s">
        <v>89</v>
      </c>
      <c r="G366" s="2" t="s">
        <v>203</v>
      </c>
      <c r="H366" s="3">
        <v>5</v>
      </c>
      <c r="I366" s="3">
        <v>104.87</v>
      </c>
      <c r="J366" s="2">
        <v>0.05</v>
      </c>
      <c r="K366" s="3">
        <v>39.85</v>
      </c>
      <c r="L366" s="3">
        <v>10.01</v>
      </c>
      <c r="M366" s="3">
        <v>547.99</v>
      </c>
      <c r="N366" s="2" t="s">
        <v>24</v>
      </c>
      <c r="O366" s="2" t="s">
        <v>59</v>
      </c>
      <c r="P366" s="2" t="s">
        <v>36</v>
      </c>
      <c r="Q366" s="2" t="s">
        <v>37</v>
      </c>
      <c r="R366" s="2" t="s">
        <v>28</v>
      </c>
    </row>
    <row r="367" spans="1:18" x14ac:dyDescent="0.3">
      <c r="A367" s="5" t="s">
        <v>1033</v>
      </c>
      <c r="B367" s="4">
        <v>44340</v>
      </c>
      <c r="C367" s="5" t="s">
        <v>1034</v>
      </c>
      <c r="D367" s="5" t="s">
        <v>1003</v>
      </c>
      <c r="E367" s="5" t="s">
        <v>386</v>
      </c>
      <c r="F367" s="5" t="s">
        <v>22</v>
      </c>
      <c r="G367" s="5" t="s">
        <v>100</v>
      </c>
      <c r="H367" s="6">
        <v>3</v>
      </c>
      <c r="I367" s="6">
        <v>436.37</v>
      </c>
      <c r="J367" s="5">
        <v>0.05</v>
      </c>
      <c r="K367" s="6">
        <v>99.49</v>
      </c>
      <c r="L367" s="6">
        <v>0.63</v>
      </c>
      <c r="M367" s="6">
        <v>1343.77</v>
      </c>
      <c r="N367" s="5" t="s">
        <v>24</v>
      </c>
      <c r="O367" s="5" t="s">
        <v>107</v>
      </c>
      <c r="P367" s="5" t="s">
        <v>68</v>
      </c>
      <c r="Q367" s="5" t="s">
        <v>69</v>
      </c>
      <c r="R367" s="5" t="s">
        <v>183</v>
      </c>
    </row>
    <row r="368" spans="1:18" x14ac:dyDescent="0.3">
      <c r="A368" s="2" t="s">
        <v>1035</v>
      </c>
      <c r="B368" s="1">
        <v>45327</v>
      </c>
      <c r="C368" s="2" t="s">
        <v>1036</v>
      </c>
      <c r="D368" s="2" t="s">
        <v>303</v>
      </c>
      <c r="E368" s="2" t="s">
        <v>498</v>
      </c>
      <c r="F368" s="2" t="s">
        <v>143</v>
      </c>
      <c r="G368" s="2" t="s">
        <v>34</v>
      </c>
      <c r="H368" s="3">
        <v>1</v>
      </c>
      <c r="I368" s="3">
        <v>172.84</v>
      </c>
      <c r="J368" s="2">
        <v>0</v>
      </c>
      <c r="K368" s="3">
        <v>13.83</v>
      </c>
      <c r="L368" s="3">
        <v>1.67</v>
      </c>
      <c r="M368" s="3">
        <v>188.34</v>
      </c>
      <c r="N368" s="2" t="s">
        <v>58</v>
      </c>
      <c r="O368" s="2" t="s">
        <v>107</v>
      </c>
      <c r="P368" s="2" t="s">
        <v>145</v>
      </c>
      <c r="Q368" s="2" t="s">
        <v>146</v>
      </c>
      <c r="R368" s="2" t="s">
        <v>38</v>
      </c>
    </row>
    <row r="369" spans="1:18" x14ac:dyDescent="0.3">
      <c r="A369" s="5" t="s">
        <v>1037</v>
      </c>
      <c r="B369" s="4">
        <v>43929</v>
      </c>
      <c r="C369" s="5" t="s">
        <v>1038</v>
      </c>
      <c r="D369" s="5" t="s">
        <v>93</v>
      </c>
      <c r="E369" s="5" t="s">
        <v>287</v>
      </c>
      <c r="F369" s="5" t="s">
        <v>89</v>
      </c>
      <c r="G369" s="5" t="s">
        <v>49</v>
      </c>
      <c r="H369" s="6">
        <v>3</v>
      </c>
      <c r="I369" s="6">
        <v>43.51</v>
      </c>
      <c r="J369" s="5">
        <v>0</v>
      </c>
      <c r="K369" s="6">
        <v>15.66</v>
      </c>
      <c r="L369" s="6">
        <v>12.06</v>
      </c>
      <c r="M369" s="6">
        <v>158.25</v>
      </c>
      <c r="N369" s="5" t="s">
        <v>58</v>
      </c>
      <c r="O369" s="5" t="s">
        <v>25</v>
      </c>
      <c r="P369" s="5" t="s">
        <v>173</v>
      </c>
      <c r="Q369" s="5" t="s">
        <v>174</v>
      </c>
      <c r="R369" s="5" t="s">
        <v>38</v>
      </c>
    </row>
    <row r="370" spans="1:18" x14ac:dyDescent="0.3">
      <c r="A370" s="2" t="s">
        <v>1039</v>
      </c>
      <c r="B370" s="1">
        <v>43983</v>
      </c>
      <c r="C370" s="2" t="s">
        <v>1040</v>
      </c>
      <c r="D370" s="2" t="s">
        <v>181</v>
      </c>
      <c r="E370" s="2" t="s">
        <v>132</v>
      </c>
      <c r="F370" s="2" t="s">
        <v>143</v>
      </c>
      <c r="G370" s="2" t="s">
        <v>268</v>
      </c>
      <c r="H370" s="3">
        <v>1</v>
      </c>
      <c r="I370" s="3">
        <v>275.24</v>
      </c>
      <c r="J370" s="2">
        <v>0.25</v>
      </c>
      <c r="K370" s="3">
        <v>10.32</v>
      </c>
      <c r="L370" s="3">
        <v>11.03</v>
      </c>
      <c r="M370" s="3">
        <v>227.78</v>
      </c>
      <c r="N370" s="2" t="s">
        <v>58</v>
      </c>
      <c r="O370" s="2" t="s">
        <v>107</v>
      </c>
      <c r="P370" s="2" t="s">
        <v>26</v>
      </c>
      <c r="Q370" s="2" t="s">
        <v>27</v>
      </c>
      <c r="R370" s="2" t="s">
        <v>38</v>
      </c>
    </row>
    <row r="371" spans="1:18" x14ac:dyDescent="0.3">
      <c r="A371" s="5" t="s">
        <v>1041</v>
      </c>
      <c r="B371" s="4">
        <v>44744</v>
      </c>
      <c r="C371" s="5" t="s">
        <v>1042</v>
      </c>
      <c r="D371" s="5" t="s">
        <v>531</v>
      </c>
      <c r="E371" s="5" t="s">
        <v>425</v>
      </c>
      <c r="F371" s="5" t="s">
        <v>89</v>
      </c>
      <c r="G371" s="5" t="s">
        <v>66</v>
      </c>
      <c r="H371" s="6">
        <v>4</v>
      </c>
      <c r="I371" s="6">
        <v>575.92999999999995</v>
      </c>
      <c r="J371" s="5">
        <v>0.15</v>
      </c>
      <c r="K371" s="6">
        <v>97.91</v>
      </c>
      <c r="L371" s="6">
        <v>14.12</v>
      </c>
      <c r="M371" s="6">
        <v>2070.19</v>
      </c>
      <c r="N371" s="5" t="s">
        <v>50</v>
      </c>
      <c r="O371" s="5" t="s">
        <v>144</v>
      </c>
      <c r="P371" s="5" t="s">
        <v>165</v>
      </c>
      <c r="Q371" s="5" t="s">
        <v>37</v>
      </c>
      <c r="R371" s="5" t="s">
        <v>38</v>
      </c>
    </row>
    <row r="372" spans="1:18" x14ac:dyDescent="0.3">
      <c r="A372" s="2" t="s">
        <v>1043</v>
      </c>
      <c r="B372" s="1">
        <v>44708</v>
      </c>
      <c r="C372" s="2" t="s">
        <v>1044</v>
      </c>
      <c r="D372" s="2" t="s">
        <v>368</v>
      </c>
      <c r="E372" s="2" t="s">
        <v>365</v>
      </c>
      <c r="F372" s="2" t="s">
        <v>43</v>
      </c>
      <c r="G372" s="2" t="s">
        <v>34</v>
      </c>
      <c r="H372" s="3">
        <v>3</v>
      </c>
      <c r="I372" s="3">
        <v>156.91999999999999</v>
      </c>
      <c r="J372" s="2">
        <v>0.15</v>
      </c>
      <c r="K372" s="3">
        <v>20.010000000000002</v>
      </c>
      <c r="L372" s="3">
        <v>10.53</v>
      </c>
      <c r="M372" s="3">
        <v>430.69</v>
      </c>
      <c r="N372" s="2" t="s">
        <v>24</v>
      </c>
      <c r="O372" s="2" t="s">
        <v>25</v>
      </c>
      <c r="P372" s="2" t="s">
        <v>101</v>
      </c>
      <c r="Q372" s="2" t="s">
        <v>102</v>
      </c>
      <c r="R372" s="2" t="s">
        <v>38</v>
      </c>
    </row>
    <row r="373" spans="1:18" x14ac:dyDescent="0.3">
      <c r="A373" s="5" t="s">
        <v>1045</v>
      </c>
      <c r="B373" s="4">
        <v>44168</v>
      </c>
      <c r="C373" s="5" t="s">
        <v>1046</v>
      </c>
      <c r="D373" s="5" t="s">
        <v>791</v>
      </c>
      <c r="E373" s="5" t="s">
        <v>32</v>
      </c>
      <c r="F373" s="5" t="s">
        <v>143</v>
      </c>
      <c r="G373" s="5" t="s">
        <v>49</v>
      </c>
      <c r="H373" s="6">
        <v>5</v>
      </c>
      <c r="I373" s="6">
        <v>210.04</v>
      </c>
      <c r="J373" s="5">
        <v>0</v>
      </c>
      <c r="K373" s="6">
        <v>126.02</v>
      </c>
      <c r="L373" s="6">
        <v>0.49</v>
      </c>
      <c r="M373" s="6">
        <v>1176.71</v>
      </c>
      <c r="N373" s="5" t="s">
        <v>35</v>
      </c>
      <c r="O373" s="5" t="s">
        <v>107</v>
      </c>
      <c r="P373" s="5" t="s">
        <v>44</v>
      </c>
      <c r="Q373" s="5" t="s">
        <v>37</v>
      </c>
      <c r="R373" s="5" t="s">
        <v>38</v>
      </c>
    </row>
    <row r="374" spans="1:18" x14ac:dyDescent="0.3">
      <c r="A374" s="2" t="s">
        <v>1047</v>
      </c>
      <c r="B374" s="1">
        <v>45560</v>
      </c>
      <c r="C374" s="2" t="s">
        <v>1048</v>
      </c>
      <c r="D374" s="2" t="s">
        <v>477</v>
      </c>
      <c r="E374" s="2" t="s">
        <v>73</v>
      </c>
      <c r="F374" s="2" t="s">
        <v>81</v>
      </c>
      <c r="G374" s="2" t="s">
        <v>34</v>
      </c>
      <c r="H374" s="3">
        <v>5</v>
      </c>
      <c r="I374" s="3">
        <v>591.47</v>
      </c>
      <c r="J374" s="2">
        <v>0</v>
      </c>
      <c r="K374" s="3">
        <v>0</v>
      </c>
      <c r="L374" s="3">
        <v>9.52</v>
      </c>
      <c r="M374" s="3">
        <v>2966.87</v>
      </c>
      <c r="N374" s="2" t="s">
        <v>24</v>
      </c>
      <c r="O374" s="2" t="s">
        <v>25</v>
      </c>
      <c r="P374" s="2" t="s">
        <v>68</v>
      </c>
      <c r="Q374" s="2" t="s">
        <v>69</v>
      </c>
      <c r="R374" s="2" t="s">
        <v>38</v>
      </c>
    </row>
    <row r="375" spans="1:18" x14ac:dyDescent="0.3">
      <c r="A375" s="5" t="s">
        <v>1049</v>
      </c>
      <c r="B375" s="4">
        <v>44652</v>
      </c>
      <c r="C375" s="5" t="s">
        <v>1050</v>
      </c>
      <c r="D375" s="5" t="s">
        <v>72</v>
      </c>
      <c r="E375" s="5" t="s">
        <v>291</v>
      </c>
      <c r="F375" s="5" t="s">
        <v>81</v>
      </c>
      <c r="G375" s="5" t="s">
        <v>23</v>
      </c>
      <c r="H375" s="6">
        <v>1</v>
      </c>
      <c r="I375" s="6">
        <v>345.41</v>
      </c>
      <c r="J375" s="5">
        <v>0.05</v>
      </c>
      <c r="K375" s="6">
        <v>16.41</v>
      </c>
      <c r="L375" s="6">
        <v>2.0299999999999998</v>
      </c>
      <c r="M375" s="6">
        <v>346.58</v>
      </c>
      <c r="N375" s="5" t="s">
        <v>123</v>
      </c>
      <c r="O375" s="5" t="s">
        <v>107</v>
      </c>
      <c r="P375" s="5" t="s">
        <v>178</v>
      </c>
      <c r="Q375" s="5" t="s">
        <v>69</v>
      </c>
      <c r="R375" s="5" t="s">
        <v>28</v>
      </c>
    </row>
    <row r="376" spans="1:18" x14ac:dyDescent="0.3">
      <c r="A376" s="2" t="s">
        <v>1051</v>
      </c>
      <c r="B376" s="1">
        <v>45017</v>
      </c>
      <c r="C376" s="2" t="s">
        <v>1052</v>
      </c>
      <c r="D376" s="2" t="s">
        <v>352</v>
      </c>
      <c r="E376" s="2" t="s">
        <v>216</v>
      </c>
      <c r="F376" s="2" t="s">
        <v>43</v>
      </c>
      <c r="G376" s="2" t="s">
        <v>57</v>
      </c>
      <c r="H376" s="3">
        <v>3</v>
      </c>
      <c r="I376" s="3">
        <v>426.35</v>
      </c>
      <c r="J376" s="2">
        <v>0.25</v>
      </c>
      <c r="K376" s="3">
        <v>47.96</v>
      </c>
      <c r="L376" s="3">
        <v>2.41</v>
      </c>
      <c r="M376" s="3">
        <v>1009.66</v>
      </c>
      <c r="N376" s="2" t="s">
        <v>67</v>
      </c>
      <c r="O376" s="2" t="s">
        <v>25</v>
      </c>
      <c r="P376" s="2" t="s">
        <v>26</v>
      </c>
      <c r="Q376" s="2" t="s">
        <v>27</v>
      </c>
      <c r="R376" s="2" t="s">
        <v>38</v>
      </c>
    </row>
    <row r="377" spans="1:18" x14ac:dyDescent="0.3">
      <c r="A377" s="5" t="s">
        <v>1053</v>
      </c>
      <c r="B377" s="4">
        <v>45574</v>
      </c>
      <c r="C377" s="5" t="s">
        <v>1054</v>
      </c>
      <c r="D377" s="5" t="s">
        <v>804</v>
      </c>
      <c r="E377" s="5" t="s">
        <v>271</v>
      </c>
      <c r="F377" s="5" t="s">
        <v>33</v>
      </c>
      <c r="G377" s="5" t="s">
        <v>268</v>
      </c>
      <c r="H377" s="6">
        <v>4</v>
      </c>
      <c r="I377" s="6">
        <v>100.2</v>
      </c>
      <c r="J377" s="5">
        <v>0.2</v>
      </c>
      <c r="K377" s="6">
        <v>38.479999999999997</v>
      </c>
      <c r="L377" s="6">
        <v>12.41</v>
      </c>
      <c r="M377" s="6">
        <v>371.53</v>
      </c>
      <c r="N377" s="5" t="s">
        <v>24</v>
      </c>
      <c r="O377" s="5" t="s">
        <v>144</v>
      </c>
      <c r="P377" s="5" t="s">
        <v>150</v>
      </c>
      <c r="Q377" s="5" t="s">
        <v>69</v>
      </c>
      <c r="R377" s="5" t="s">
        <v>38</v>
      </c>
    </row>
    <row r="378" spans="1:18" x14ac:dyDescent="0.3">
      <c r="A378" s="2" t="s">
        <v>1055</v>
      </c>
      <c r="B378" s="1">
        <v>44787</v>
      </c>
      <c r="C378" s="2" t="s">
        <v>1056</v>
      </c>
      <c r="D378" s="2" t="s">
        <v>172</v>
      </c>
      <c r="E378" s="2" t="s">
        <v>106</v>
      </c>
      <c r="F378" s="2" t="s">
        <v>89</v>
      </c>
      <c r="G378" s="2" t="s">
        <v>100</v>
      </c>
      <c r="H378" s="3">
        <v>2</v>
      </c>
      <c r="I378" s="3">
        <v>317.20999999999998</v>
      </c>
      <c r="J378" s="2">
        <v>0.2</v>
      </c>
      <c r="K378" s="3">
        <v>25.38</v>
      </c>
      <c r="L378" s="3">
        <v>2.14</v>
      </c>
      <c r="M378" s="3">
        <v>535.05999999999995</v>
      </c>
      <c r="N378" s="2" t="s">
        <v>35</v>
      </c>
      <c r="O378" s="2" t="s">
        <v>25</v>
      </c>
      <c r="P378" s="2" t="s">
        <v>150</v>
      </c>
      <c r="Q378" s="2" t="s">
        <v>69</v>
      </c>
      <c r="R378" s="2" t="s">
        <v>38</v>
      </c>
    </row>
    <row r="379" spans="1:18" x14ac:dyDescent="0.3">
      <c r="A379" s="5" t="s">
        <v>1057</v>
      </c>
      <c r="B379" s="4">
        <v>45535</v>
      </c>
      <c r="C379" s="5" t="s">
        <v>1058</v>
      </c>
      <c r="D379" s="5" t="s">
        <v>382</v>
      </c>
      <c r="E379" s="5" t="s">
        <v>88</v>
      </c>
      <c r="F379" s="5" t="s">
        <v>89</v>
      </c>
      <c r="G379" s="5" t="s">
        <v>34</v>
      </c>
      <c r="H379" s="6">
        <v>3</v>
      </c>
      <c r="I379" s="6">
        <v>430.49</v>
      </c>
      <c r="J379" s="5">
        <v>0</v>
      </c>
      <c r="K379" s="6">
        <v>64.569999999999993</v>
      </c>
      <c r="L379" s="6">
        <v>7.48</v>
      </c>
      <c r="M379" s="6">
        <v>1363.52</v>
      </c>
      <c r="N379" s="5" t="s">
        <v>35</v>
      </c>
      <c r="O379" s="5" t="s">
        <v>25</v>
      </c>
      <c r="P379" s="5" t="s">
        <v>101</v>
      </c>
      <c r="Q379" s="5" t="s">
        <v>102</v>
      </c>
      <c r="R379" s="5" t="s">
        <v>28</v>
      </c>
    </row>
    <row r="380" spans="1:18" x14ac:dyDescent="0.3">
      <c r="A380" s="2" t="s">
        <v>1059</v>
      </c>
      <c r="B380" s="1">
        <v>43991</v>
      </c>
      <c r="C380" s="2" t="s">
        <v>1060</v>
      </c>
      <c r="D380" s="2" t="s">
        <v>1061</v>
      </c>
      <c r="E380" s="2" t="s">
        <v>498</v>
      </c>
      <c r="F380" s="2" t="s">
        <v>81</v>
      </c>
      <c r="G380" s="2" t="s">
        <v>49</v>
      </c>
      <c r="H380" s="3">
        <v>3</v>
      </c>
      <c r="I380" s="3">
        <v>47.17</v>
      </c>
      <c r="J380" s="2">
        <v>0.3</v>
      </c>
      <c r="K380" s="3">
        <v>7.92</v>
      </c>
      <c r="L380" s="3">
        <v>0.96</v>
      </c>
      <c r="M380" s="3">
        <v>107.94</v>
      </c>
      <c r="N380" s="2" t="s">
        <v>24</v>
      </c>
      <c r="O380" s="2" t="s">
        <v>25</v>
      </c>
      <c r="P380" s="2" t="s">
        <v>178</v>
      </c>
      <c r="Q380" s="2" t="s">
        <v>69</v>
      </c>
      <c r="R380" s="2" t="s">
        <v>183</v>
      </c>
    </row>
    <row r="381" spans="1:18" x14ac:dyDescent="0.3">
      <c r="A381" s="5" t="s">
        <v>1062</v>
      </c>
      <c r="B381" s="4">
        <v>45434</v>
      </c>
      <c r="C381" s="5" t="s">
        <v>1063</v>
      </c>
      <c r="D381" s="5" t="s">
        <v>436</v>
      </c>
      <c r="E381" s="5" t="s">
        <v>21</v>
      </c>
      <c r="F381" s="5" t="s">
        <v>143</v>
      </c>
      <c r="G381" s="5" t="s">
        <v>49</v>
      </c>
      <c r="H381" s="6">
        <v>2</v>
      </c>
      <c r="I381" s="6">
        <v>427.06</v>
      </c>
      <c r="J381" s="5">
        <v>0.15</v>
      </c>
      <c r="K381" s="6">
        <v>0</v>
      </c>
      <c r="L381" s="6">
        <v>2.99</v>
      </c>
      <c r="M381" s="6">
        <v>728.99</v>
      </c>
      <c r="N381" s="5" t="s">
        <v>67</v>
      </c>
      <c r="O381" s="5" t="s">
        <v>107</v>
      </c>
      <c r="P381" s="5" t="s">
        <v>95</v>
      </c>
      <c r="Q381" s="5" t="s">
        <v>37</v>
      </c>
      <c r="R381" s="5" t="s">
        <v>28</v>
      </c>
    </row>
    <row r="382" spans="1:18" x14ac:dyDescent="0.3">
      <c r="A382" s="2" t="s">
        <v>1064</v>
      </c>
      <c r="B382" s="1">
        <v>44631</v>
      </c>
      <c r="C382" s="2" t="s">
        <v>1065</v>
      </c>
      <c r="D382" s="2" t="s">
        <v>1066</v>
      </c>
      <c r="E382" s="2" t="s">
        <v>498</v>
      </c>
      <c r="F382" s="2" t="s">
        <v>33</v>
      </c>
      <c r="G382" s="2" t="s">
        <v>49</v>
      </c>
      <c r="H382" s="3">
        <v>4</v>
      </c>
      <c r="I382" s="3">
        <v>40.92</v>
      </c>
      <c r="J382" s="2">
        <v>0.15</v>
      </c>
      <c r="K382" s="3">
        <v>11.13</v>
      </c>
      <c r="L382" s="3">
        <v>3.59</v>
      </c>
      <c r="M382" s="3">
        <v>153.85</v>
      </c>
      <c r="N382" s="2" t="s">
        <v>50</v>
      </c>
      <c r="O382" s="2" t="s">
        <v>25</v>
      </c>
      <c r="P382" s="2" t="s">
        <v>145</v>
      </c>
      <c r="Q382" s="2" t="s">
        <v>146</v>
      </c>
      <c r="R382" s="2" t="s">
        <v>38</v>
      </c>
    </row>
    <row r="383" spans="1:18" x14ac:dyDescent="0.3">
      <c r="A383" s="5" t="s">
        <v>1067</v>
      </c>
      <c r="B383" s="4">
        <v>44228</v>
      </c>
      <c r="C383" s="5" t="s">
        <v>1068</v>
      </c>
      <c r="D383" s="5" t="s">
        <v>382</v>
      </c>
      <c r="E383" s="5" t="s">
        <v>182</v>
      </c>
      <c r="F383" s="5" t="s">
        <v>81</v>
      </c>
      <c r="G383" s="5" t="s">
        <v>66</v>
      </c>
      <c r="H383" s="6">
        <v>3</v>
      </c>
      <c r="I383" s="6">
        <v>106.51</v>
      </c>
      <c r="J383" s="5">
        <v>0</v>
      </c>
      <c r="K383" s="6">
        <v>38.340000000000003</v>
      </c>
      <c r="L383" s="6">
        <v>12.83</v>
      </c>
      <c r="M383" s="6">
        <v>370.7</v>
      </c>
      <c r="N383" s="5" t="s">
        <v>50</v>
      </c>
      <c r="O383" s="5" t="s">
        <v>25</v>
      </c>
      <c r="P383" s="5" t="s">
        <v>51</v>
      </c>
      <c r="Q383" s="5" t="s">
        <v>52</v>
      </c>
      <c r="R383" s="5" t="s">
        <v>38</v>
      </c>
    </row>
    <row r="384" spans="1:18" x14ac:dyDescent="0.3">
      <c r="A384" s="2" t="s">
        <v>1069</v>
      </c>
      <c r="B384" s="1">
        <v>45131</v>
      </c>
      <c r="C384" s="2" t="s">
        <v>1070</v>
      </c>
      <c r="D384" s="2" t="s">
        <v>604</v>
      </c>
      <c r="E384" s="2" t="s">
        <v>256</v>
      </c>
      <c r="F384" s="2" t="s">
        <v>43</v>
      </c>
      <c r="G384" s="2" t="s">
        <v>268</v>
      </c>
      <c r="H384" s="3">
        <v>2</v>
      </c>
      <c r="I384" s="3">
        <v>281.89</v>
      </c>
      <c r="J384" s="2">
        <v>0</v>
      </c>
      <c r="K384" s="3">
        <v>28.19</v>
      </c>
      <c r="L384" s="3">
        <v>7.13</v>
      </c>
      <c r="M384" s="3">
        <v>599.1</v>
      </c>
      <c r="N384" s="2" t="s">
        <v>50</v>
      </c>
      <c r="O384" s="2" t="s">
        <v>144</v>
      </c>
      <c r="P384" s="2" t="s">
        <v>145</v>
      </c>
      <c r="Q384" s="2" t="s">
        <v>146</v>
      </c>
      <c r="R384" s="2" t="s">
        <v>28</v>
      </c>
    </row>
    <row r="385" spans="1:18" x14ac:dyDescent="0.3">
      <c r="A385" s="5" t="s">
        <v>1071</v>
      </c>
      <c r="B385" s="4">
        <v>44646</v>
      </c>
      <c r="C385" s="5" t="s">
        <v>1072</v>
      </c>
      <c r="D385" s="5" t="s">
        <v>839</v>
      </c>
      <c r="E385" s="5" t="s">
        <v>142</v>
      </c>
      <c r="F385" s="5" t="s">
        <v>22</v>
      </c>
      <c r="G385" s="5" t="s">
        <v>100</v>
      </c>
      <c r="H385" s="6">
        <v>2</v>
      </c>
      <c r="I385" s="6">
        <v>413.76</v>
      </c>
      <c r="J385" s="5">
        <v>0.05</v>
      </c>
      <c r="K385" s="6">
        <v>39.31</v>
      </c>
      <c r="L385" s="6">
        <v>12.8</v>
      </c>
      <c r="M385" s="6">
        <v>838.25</v>
      </c>
      <c r="N385" s="5" t="s">
        <v>58</v>
      </c>
      <c r="O385" s="5" t="s">
        <v>25</v>
      </c>
      <c r="P385" s="5" t="s">
        <v>133</v>
      </c>
      <c r="Q385" s="5" t="s">
        <v>134</v>
      </c>
      <c r="R385" s="5" t="s">
        <v>28</v>
      </c>
    </row>
    <row r="386" spans="1:18" x14ac:dyDescent="0.3">
      <c r="A386" s="2" t="s">
        <v>1073</v>
      </c>
      <c r="B386" s="1">
        <v>45358</v>
      </c>
      <c r="C386" s="2" t="s">
        <v>1074</v>
      </c>
      <c r="D386" s="2" t="s">
        <v>389</v>
      </c>
      <c r="E386" s="2" t="s">
        <v>177</v>
      </c>
      <c r="F386" s="2" t="s">
        <v>33</v>
      </c>
      <c r="G386" s="2" t="s">
        <v>34</v>
      </c>
      <c r="H386" s="3">
        <v>2</v>
      </c>
      <c r="I386" s="3">
        <v>175.99</v>
      </c>
      <c r="J386" s="2">
        <v>0.05</v>
      </c>
      <c r="K386" s="3">
        <v>16.72</v>
      </c>
      <c r="L386" s="3">
        <v>3.99</v>
      </c>
      <c r="M386" s="3">
        <v>355.09</v>
      </c>
      <c r="N386" s="2" t="s">
        <v>58</v>
      </c>
      <c r="O386" s="2" t="s">
        <v>107</v>
      </c>
      <c r="P386" s="2" t="s">
        <v>26</v>
      </c>
      <c r="Q386" s="2" t="s">
        <v>27</v>
      </c>
      <c r="R386" s="2" t="s">
        <v>76</v>
      </c>
    </row>
    <row r="387" spans="1:18" x14ac:dyDescent="0.3">
      <c r="A387" s="5" t="s">
        <v>1075</v>
      </c>
      <c r="B387" s="4">
        <v>45246</v>
      </c>
      <c r="C387" s="5" t="s">
        <v>1076</v>
      </c>
      <c r="D387" s="5" t="s">
        <v>137</v>
      </c>
      <c r="E387" s="5" t="s">
        <v>169</v>
      </c>
      <c r="F387" s="5" t="s">
        <v>81</v>
      </c>
      <c r="G387" s="5" t="s">
        <v>90</v>
      </c>
      <c r="H387" s="6">
        <v>4</v>
      </c>
      <c r="I387" s="6">
        <v>13.87</v>
      </c>
      <c r="J387" s="5">
        <v>0.15</v>
      </c>
      <c r="K387" s="6">
        <v>3.77</v>
      </c>
      <c r="L387" s="6">
        <v>0.21</v>
      </c>
      <c r="M387" s="6">
        <v>51.14</v>
      </c>
      <c r="N387" s="5" t="s">
        <v>24</v>
      </c>
      <c r="O387" s="5" t="s">
        <v>25</v>
      </c>
      <c r="P387" s="5" t="s">
        <v>26</v>
      </c>
      <c r="Q387" s="5" t="s">
        <v>27</v>
      </c>
      <c r="R387" s="5" t="s">
        <v>28</v>
      </c>
    </row>
    <row r="388" spans="1:18" x14ac:dyDescent="0.3">
      <c r="A388" s="2" t="s">
        <v>1077</v>
      </c>
      <c r="B388" s="1">
        <v>44989</v>
      </c>
      <c r="C388" s="2" t="s">
        <v>1078</v>
      </c>
      <c r="D388" s="2" t="s">
        <v>421</v>
      </c>
      <c r="E388" s="2" t="s">
        <v>142</v>
      </c>
      <c r="F388" s="2" t="s">
        <v>33</v>
      </c>
      <c r="G388" s="2" t="s">
        <v>57</v>
      </c>
      <c r="H388" s="3">
        <v>3</v>
      </c>
      <c r="I388" s="3">
        <v>555.21</v>
      </c>
      <c r="J388" s="2">
        <v>0.2</v>
      </c>
      <c r="K388" s="3">
        <v>106.6</v>
      </c>
      <c r="L388" s="3">
        <v>5.69</v>
      </c>
      <c r="M388" s="3">
        <v>1444.79</v>
      </c>
      <c r="N388" s="2" t="s">
        <v>123</v>
      </c>
      <c r="O388" s="2" t="s">
        <v>25</v>
      </c>
      <c r="P388" s="2" t="s">
        <v>117</v>
      </c>
      <c r="Q388" s="2" t="s">
        <v>118</v>
      </c>
      <c r="R388" s="2" t="s">
        <v>61</v>
      </c>
    </row>
    <row r="389" spans="1:18" x14ac:dyDescent="0.3">
      <c r="A389" s="5" t="s">
        <v>1079</v>
      </c>
      <c r="B389" s="4">
        <v>45049</v>
      </c>
      <c r="C389" s="5" t="s">
        <v>1080</v>
      </c>
      <c r="D389" s="5" t="s">
        <v>79</v>
      </c>
      <c r="E389" s="5" t="s">
        <v>106</v>
      </c>
      <c r="F389" s="5" t="s">
        <v>81</v>
      </c>
      <c r="G389" s="5" t="s">
        <v>90</v>
      </c>
      <c r="H389" s="6">
        <v>4</v>
      </c>
      <c r="I389" s="6">
        <v>172.46</v>
      </c>
      <c r="J389" s="5">
        <v>0.25</v>
      </c>
      <c r="K389" s="6">
        <v>41.39</v>
      </c>
      <c r="L389" s="6">
        <v>8.42</v>
      </c>
      <c r="M389" s="6">
        <v>567.19000000000005</v>
      </c>
      <c r="N389" s="5" t="s">
        <v>35</v>
      </c>
      <c r="O389" s="5" t="s">
        <v>25</v>
      </c>
      <c r="P389" s="5" t="s">
        <v>150</v>
      </c>
      <c r="Q389" s="5" t="s">
        <v>69</v>
      </c>
      <c r="R389" s="5" t="s">
        <v>38</v>
      </c>
    </row>
    <row r="390" spans="1:18" x14ac:dyDescent="0.3">
      <c r="A390" s="2" t="s">
        <v>1081</v>
      </c>
      <c r="B390" s="1">
        <v>44231</v>
      </c>
      <c r="C390" s="2" t="s">
        <v>1082</v>
      </c>
      <c r="D390" s="2" t="s">
        <v>613</v>
      </c>
      <c r="E390" s="2" t="s">
        <v>271</v>
      </c>
      <c r="F390" s="2" t="s">
        <v>33</v>
      </c>
      <c r="G390" s="2" t="s">
        <v>100</v>
      </c>
      <c r="H390" s="3">
        <v>4</v>
      </c>
      <c r="I390" s="3">
        <v>291.26</v>
      </c>
      <c r="J390" s="2">
        <v>0</v>
      </c>
      <c r="K390" s="3">
        <v>93.2</v>
      </c>
      <c r="L390" s="3">
        <v>3.56</v>
      </c>
      <c r="M390" s="3">
        <v>1261.8</v>
      </c>
      <c r="N390" s="2" t="s">
        <v>58</v>
      </c>
      <c r="O390" s="2" t="s">
        <v>25</v>
      </c>
      <c r="P390" s="2" t="s">
        <v>74</v>
      </c>
      <c r="Q390" s="2" t="s">
        <v>75</v>
      </c>
      <c r="R390" s="2" t="s">
        <v>38</v>
      </c>
    </row>
    <row r="391" spans="1:18" x14ac:dyDescent="0.3">
      <c r="A391" s="5" t="s">
        <v>1083</v>
      </c>
      <c r="B391" s="4">
        <v>44470</v>
      </c>
      <c r="C391" s="5" t="s">
        <v>1084</v>
      </c>
      <c r="D391" s="5" t="s">
        <v>397</v>
      </c>
      <c r="E391" s="5" t="s">
        <v>65</v>
      </c>
      <c r="F391" s="5" t="s">
        <v>81</v>
      </c>
      <c r="G391" s="5" t="s">
        <v>203</v>
      </c>
      <c r="H391" s="6">
        <v>5</v>
      </c>
      <c r="I391" s="6">
        <v>44.09</v>
      </c>
      <c r="J391" s="5">
        <v>0</v>
      </c>
      <c r="K391" s="6">
        <v>26.45</v>
      </c>
      <c r="L391" s="6">
        <v>5.14</v>
      </c>
      <c r="M391" s="6">
        <v>252.04</v>
      </c>
      <c r="N391" s="5" t="s">
        <v>35</v>
      </c>
      <c r="O391" s="5" t="s">
        <v>25</v>
      </c>
      <c r="P391" s="5" t="s">
        <v>51</v>
      </c>
      <c r="Q391" s="5" t="s">
        <v>52</v>
      </c>
      <c r="R391" s="5" t="s">
        <v>28</v>
      </c>
    </row>
    <row r="392" spans="1:18" x14ac:dyDescent="0.3">
      <c r="A392" s="2" t="s">
        <v>1085</v>
      </c>
      <c r="B392" s="1">
        <v>44887</v>
      </c>
      <c r="C392" s="2" t="s">
        <v>1086</v>
      </c>
      <c r="D392" s="2" t="s">
        <v>1087</v>
      </c>
      <c r="E392" s="2" t="s">
        <v>138</v>
      </c>
      <c r="F392" s="2" t="s">
        <v>22</v>
      </c>
      <c r="G392" s="2" t="s">
        <v>90</v>
      </c>
      <c r="H392" s="3">
        <v>3</v>
      </c>
      <c r="I392" s="3">
        <v>412.81</v>
      </c>
      <c r="J392" s="2">
        <v>0.3</v>
      </c>
      <c r="K392" s="3">
        <v>69.349999999999994</v>
      </c>
      <c r="L392" s="3">
        <v>6.62</v>
      </c>
      <c r="M392" s="3">
        <v>942.87</v>
      </c>
      <c r="N392" s="2" t="s">
        <v>24</v>
      </c>
      <c r="O392" s="2" t="s">
        <v>25</v>
      </c>
      <c r="P392" s="2" t="s">
        <v>83</v>
      </c>
      <c r="Q392" s="2" t="s">
        <v>84</v>
      </c>
      <c r="R392" s="2" t="s">
        <v>38</v>
      </c>
    </row>
    <row r="393" spans="1:18" x14ac:dyDescent="0.3">
      <c r="A393" s="5" t="s">
        <v>1088</v>
      </c>
      <c r="B393" s="4">
        <v>44518</v>
      </c>
      <c r="C393" s="5" t="s">
        <v>1089</v>
      </c>
      <c r="D393" s="5" t="s">
        <v>389</v>
      </c>
      <c r="E393" s="5" t="s">
        <v>294</v>
      </c>
      <c r="F393" s="5" t="s">
        <v>143</v>
      </c>
      <c r="G393" s="5" t="s">
        <v>57</v>
      </c>
      <c r="H393" s="6">
        <v>5</v>
      </c>
      <c r="I393" s="6">
        <v>477.24</v>
      </c>
      <c r="J393" s="5">
        <v>0</v>
      </c>
      <c r="K393" s="6">
        <v>286.33999999999997</v>
      </c>
      <c r="L393" s="6">
        <v>10.06</v>
      </c>
      <c r="M393" s="6">
        <v>2682.6</v>
      </c>
      <c r="N393" s="5" t="s">
        <v>35</v>
      </c>
      <c r="O393" s="5" t="s">
        <v>25</v>
      </c>
      <c r="P393" s="5" t="s">
        <v>51</v>
      </c>
      <c r="Q393" s="5" t="s">
        <v>52</v>
      </c>
      <c r="R393" s="5" t="s">
        <v>183</v>
      </c>
    </row>
    <row r="394" spans="1:18" x14ac:dyDescent="0.3">
      <c r="A394" s="2" t="s">
        <v>1090</v>
      </c>
      <c r="B394" s="1">
        <v>44290</v>
      </c>
      <c r="C394" s="2" t="s">
        <v>1091</v>
      </c>
      <c r="D394" s="2" t="s">
        <v>352</v>
      </c>
      <c r="E394" s="2" t="s">
        <v>287</v>
      </c>
      <c r="F394" s="2" t="s">
        <v>81</v>
      </c>
      <c r="G394" s="2" t="s">
        <v>34</v>
      </c>
      <c r="H394" s="3">
        <v>3</v>
      </c>
      <c r="I394" s="3">
        <v>278.87</v>
      </c>
      <c r="J394" s="2">
        <v>0</v>
      </c>
      <c r="K394" s="3">
        <v>66.930000000000007</v>
      </c>
      <c r="L394" s="3">
        <v>9.7899999999999991</v>
      </c>
      <c r="M394" s="3">
        <v>913.33</v>
      </c>
      <c r="N394" s="2" t="s">
        <v>123</v>
      </c>
      <c r="O394" s="2" t="s">
        <v>25</v>
      </c>
      <c r="P394" s="2" t="s">
        <v>124</v>
      </c>
      <c r="Q394" s="2" t="s">
        <v>125</v>
      </c>
      <c r="R394" s="2" t="s">
        <v>38</v>
      </c>
    </row>
    <row r="395" spans="1:18" x14ac:dyDescent="0.3">
      <c r="A395" s="5" t="s">
        <v>1092</v>
      </c>
      <c r="B395" s="4">
        <v>44785</v>
      </c>
      <c r="C395" s="5" t="s">
        <v>1093</v>
      </c>
      <c r="D395" s="5" t="s">
        <v>957</v>
      </c>
      <c r="E395" s="5" t="s">
        <v>48</v>
      </c>
      <c r="F395" s="5" t="s">
        <v>143</v>
      </c>
      <c r="G395" s="5" t="s">
        <v>268</v>
      </c>
      <c r="H395" s="6">
        <v>1</v>
      </c>
      <c r="I395" s="6">
        <v>99.56</v>
      </c>
      <c r="J395" s="5">
        <v>0.05</v>
      </c>
      <c r="K395" s="6">
        <v>7.57</v>
      </c>
      <c r="L395" s="6">
        <v>7.42</v>
      </c>
      <c r="M395" s="6">
        <v>109.57</v>
      </c>
      <c r="N395" s="5" t="s">
        <v>24</v>
      </c>
      <c r="O395" s="5" t="s">
        <v>25</v>
      </c>
      <c r="P395" s="5" t="s">
        <v>133</v>
      </c>
      <c r="Q395" s="5" t="s">
        <v>134</v>
      </c>
      <c r="R395" s="5" t="s">
        <v>28</v>
      </c>
    </row>
    <row r="396" spans="1:18" x14ac:dyDescent="0.3">
      <c r="A396" s="2" t="s">
        <v>1094</v>
      </c>
      <c r="B396" s="1">
        <v>44300</v>
      </c>
      <c r="C396" s="2" t="s">
        <v>1095</v>
      </c>
      <c r="D396" s="2" t="s">
        <v>1096</v>
      </c>
      <c r="E396" s="2" t="s">
        <v>267</v>
      </c>
      <c r="F396" s="2" t="s">
        <v>22</v>
      </c>
      <c r="G396" s="2" t="s">
        <v>23</v>
      </c>
      <c r="H396" s="3">
        <v>3</v>
      </c>
      <c r="I396" s="3">
        <v>77.650000000000006</v>
      </c>
      <c r="J396" s="2">
        <v>0.25</v>
      </c>
      <c r="K396" s="3">
        <v>8.74</v>
      </c>
      <c r="L396" s="3">
        <v>9.43</v>
      </c>
      <c r="M396" s="3">
        <v>192.88</v>
      </c>
      <c r="N396" s="2" t="s">
        <v>35</v>
      </c>
      <c r="O396" s="2" t="s">
        <v>25</v>
      </c>
      <c r="P396" s="2" t="s">
        <v>74</v>
      </c>
      <c r="Q396" s="2" t="s">
        <v>75</v>
      </c>
      <c r="R396" s="2" t="s">
        <v>28</v>
      </c>
    </row>
    <row r="397" spans="1:18" x14ac:dyDescent="0.3">
      <c r="A397" s="5" t="s">
        <v>1097</v>
      </c>
      <c r="B397" s="4">
        <v>45229</v>
      </c>
      <c r="C397" s="5" t="s">
        <v>1098</v>
      </c>
      <c r="D397" s="5" t="s">
        <v>421</v>
      </c>
      <c r="E397" s="5" t="s">
        <v>392</v>
      </c>
      <c r="F397" s="5" t="s">
        <v>33</v>
      </c>
      <c r="G397" s="5" t="s">
        <v>23</v>
      </c>
      <c r="H397" s="6">
        <v>3</v>
      </c>
      <c r="I397" s="6">
        <v>567.89</v>
      </c>
      <c r="J397" s="5">
        <v>0</v>
      </c>
      <c r="K397" s="6">
        <v>85.18</v>
      </c>
      <c r="L397" s="6">
        <v>13.57</v>
      </c>
      <c r="M397" s="6">
        <v>1802.42</v>
      </c>
      <c r="N397" s="5" t="s">
        <v>24</v>
      </c>
      <c r="O397" s="5" t="s">
        <v>25</v>
      </c>
      <c r="P397" s="5" t="s">
        <v>36</v>
      </c>
      <c r="Q397" s="5" t="s">
        <v>37</v>
      </c>
      <c r="R397" s="5" t="s">
        <v>38</v>
      </c>
    </row>
    <row r="398" spans="1:18" x14ac:dyDescent="0.3">
      <c r="A398" s="2" t="s">
        <v>1099</v>
      </c>
      <c r="B398" s="1">
        <v>44876</v>
      </c>
      <c r="C398" s="2" t="s">
        <v>1100</v>
      </c>
      <c r="D398" s="2" t="s">
        <v>116</v>
      </c>
      <c r="E398" s="2" t="s">
        <v>111</v>
      </c>
      <c r="F398" s="2" t="s">
        <v>33</v>
      </c>
      <c r="G398" s="2" t="s">
        <v>49</v>
      </c>
      <c r="H398" s="3">
        <v>2</v>
      </c>
      <c r="I398" s="3">
        <v>436.96</v>
      </c>
      <c r="J398" s="2">
        <v>0.25</v>
      </c>
      <c r="K398" s="3">
        <v>52.44</v>
      </c>
      <c r="L398" s="3">
        <v>9.2799999999999994</v>
      </c>
      <c r="M398" s="3">
        <v>717.16</v>
      </c>
      <c r="N398" s="2" t="s">
        <v>58</v>
      </c>
      <c r="O398" s="2" t="s">
        <v>25</v>
      </c>
      <c r="P398" s="2" t="s">
        <v>124</v>
      </c>
      <c r="Q398" s="2" t="s">
        <v>125</v>
      </c>
      <c r="R398" s="2" t="s">
        <v>38</v>
      </c>
    </row>
    <row r="399" spans="1:18" x14ac:dyDescent="0.3">
      <c r="A399" s="5" t="s">
        <v>1101</v>
      </c>
      <c r="B399" s="4">
        <v>44580</v>
      </c>
      <c r="C399" s="5" t="s">
        <v>1102</v>
      </c>
      <c r="D399" s="5" t="s">
        <v>816</v>
      </c>
      <c r="E399" s="5" t="s">
        <v>48</v>
      </c>
      <c r="F399" s="5" t="s">
        <v>43</v>
      </c>
      <c r="G399" s="5" t="s">
        <v>49</v>
      </c>
      <c r="H399" s="6">
        <v>3</v>
      </c>
      <c r="I399" s="6">
        <v>236.65</v>
      </c>
      <c r="J399" s="5">
        <v>0</v>
      </c>
      <c r="K399" s="6">
        <v>56.8</v>
      </c>
      <c r="L399" s="6">
        <v>3.2</v>
      </c>
      <c r="M399" s="6">
        <v>769.95</v>
      </c>
      <c r="N399" s="5" t="s">
        <v>123</v>
      </c>
      <c r="O399" s="5" t="s">
        <v>25</v>
      </c>
      <c r="P399" s="5" t="s">
        <v>95</v>
      </c>
      <c r="Q399" s="5" t="s">
        <v>37</v>
      </c>
      <c r="R399" s="5" t="s">
        <v>28</v>
      </c>
    </row>
    <row r="400" spans="1:18" x14ac:dyDescent="0.3">
      <c r="A400" s="2" t="s">
        <v>1103</v>
      </c>
      <c r="B400" s="1">
        <v>45524</v>
      </c>
      <c r="C400" s="2" t="s">
        <v>1104</v>
      </c>
      <c r="D400" s="2" t="s">
        <v>1105</v>
      </c>
      <c r="E400" s="2" t="s">
        <v>156</v>
      </c>
      <c r="F400" s="2" t="s">
        <v>143</v>
      </c>
      <c r="G400" s="2" t="s">
        <v>34</v>
      </c>
      <c r="H400" s="3">
        <v>4</v>
      </c>
      <c r="I400" s="3">
        <v>124.35</v>
      </c>
      <c r="J400" s="2">
        <v>0</v>
      </c>
      <c r="K400" s="3">
        <v>24.87</v>
      </c>
      <c r="L400" s="3">
        <v>12.79</v>
      </c>
      <c r="M400" s="3">
        <v>535.05999999999995</v>
      </c>
      <c r="N400" s="2" t="s">
        <v>24</v>
      </c>
      <c r="O400" s="2" t="s">
        <v>107</v>
      </c>
      <c r="P400" s="2" t="s">
        <v>68</v>
      </c>
      <c r="Q400" s="2" t="s">
        <v>69</v>
      </c>
      <c r="R400" s="2" t="s">
        <v>61</v>
      </c>
    </row>
    <row r="401" spans="1:18" x14ac:dyDescent="0.3">
      <c r="A401" s="5" t="s">
        <v>1106</v>
      </c>
      <c r="B401" s="4">
        <v>43868</v>
      </c>
      <c r="C401" s="5" t="s">
        <v>1107</v>
      </c>
      <c r="D401" s="5" t="s">
        <v>279</v>
      </c>
      <c r="E401" s="5" t="s">
        <v>271</v>
      </c>
      <c r="F401" s="5" t="s">
        <v>89</v>
      </c>
      <c r="G401" s="5" t="s">
        <v>203</v>
      </c>
      <c r="H401" s="6">
        <v>4</v>
      </c>
      <c r="I401" s="6">
        <v>388.55</v>
      </c>
      <c r="J401" s="5">
        <v>0</v>
      </c>
      <c r="K401" s="6">
        <v>77.709999999999994</v>
      </c>
      <c r="L401" s="6">
        <v>1.1499999999999999</v>
      </c>
      <c r="M401" s="6">
        <v>1633.06</v>
      </c>
      <c r="N401" s="5" t="s">
        <v>50</v>
      </c>
      <c r="O401" s="5" t="s">
        <v>107</v>
      </c>
      <c r="P401" s="5" t="s">
        <v>133</v>
      </c>
      <c r="Q401" s="5" t="s">
        <v>134</v>
      </c>
      <c r="R401" s="5" t="s">
        <v>38</v>
      </c>
    </row>
    <row r="402" spans="1:18" x14ac:dyDescent="0.3">
      <c r="A402" s="2" t="s">
        <v>1108</v>
      </c>
      <c r="B402" s="1">
        <v>44060</v>
      </c>
      <c r="C402" s="2" t="s">
        <v>1109</v>
      </c>
      <c r="D402" s="2" t="s">
        <v>877</v>
      </c>
      <c r="E402" s="2" t="s">
        <v>142</v>
      </c>
      <c r="F402" s="2" t="s">
        <v>22</v>
      </c>
      <c r="G402" s="2" t="s">
        <v>90</v>
      </c>
      <c r="H402" s="3">
        <v>2</v>
      </c>
      <c r="I402" s="3">
        <v>409.25</v>
      </c>
      <c r="J402" s="2">
        <v>0.05</v>
      </c>
      <c r="K402" s="3">
        <v>0</v>
      </c>
      <c r="L402" s="3">
        <v>13.68</v>
      </c>
      <c r="M402" s="3">
        <v>791.25</v>
      </c>
      <c r="N402" s="2" t="s">
        <v>58</v>
      </c>
      <c r="O402" s="2" t="s">
        <v>25</v>
      </c>
      <c r="P402" s="2" t="s">
        <v>26</v>
      </c>
      <c r="Q402" s="2" t="s">
        <v>27</v>
      </c>
      <c r="R402" s="2" t="s">
        <v>38</v>
      </c>
    </row>
    <row r="403" spans="1:18" x14ac:dyDescent="0.3">
      <c r="A403" s="5" t="s">
        <v>1110</v>
      </c>
      <c r="B403" s="4">
        <v>45219</v>
      </c>
      <c r="C403" s="5" t="s">
        <v>1111</v>
      </c>
      <c r="D403" s="5" t="s">
        <v>558</v>
      </c>
      <c r="E403" s="5" t="s">
        <v>365</v>
      </c>
      <c r="F403" s="5" t="s">
        <v>33</v>
      </c>
      <c r="G403" s="5" t="s">
        <v>100</v>
      </c>
      <c r="H403" s="6">
        <v>2</v>
      </c>
      <c r="I403" s="6">
        <v>466.29</v>
      </c>
      <c r="J403" s="5">
        <v>0.3</v>
      </c>
      <c r="K403" s="6">
        <v>52.22</v>
      </c>
      <c r="L403" s="6">
        <v>7.92</v>
      </c>
      <c r="M403" s="6">
        <v>712.95</v>
      </c>
      <c r="N403" s="5" t="s">
        <v>24</v>
      </c>
      <c r="O403" s="5" t="s">
        <v>107</v>
      </c>
      <c r="P403" s="5" t="s">
        <v>60</v>
      </c>
      <c r="Q403" s="5" t="s">
        <v>37</v>
      </c>
      <c r="R403" s="5" t="s">
        <v>183</v>
      </c>
    </row>
    <row r="404" spans="1:18" x14ac:dyDescent="0.3">
      <c r="A404" s="2" t="s">
        <v>1112</v>
      </c>
      <c r="B404" s="1">
        <v>44393</v>
      </c>
      <c r="C404" s="2" t="s">
        <v>1113</v>
      </c>
      <c r="D404" s="2" t="s">
        <v>477</v>
      </c>
      <c r="E404" s="2" t="s">
        <v>267</v>
      </c>
      <c r="F404" s="2" t="s">
        <v>33</v>
      </c>
      <c r="G404" s="2" t="s">
        <v>198</v>
      </c>
      <c r="H404" s="3">
        <v>3</v>
      </c>
      <c r="I404" s="3">
        <v>321.01</v>
      </c>
      <c r="J404" s="2">
        <v>0</v>
      </c>
      <c r="K404" s="3">
        <v>115.56</v>
      </c>
      <c r="L404" s="3">
        <v>9.7200000000000006</v>
      </c>
      <c r="M404" s="3">
        <v>1088.31</v>
      </c>
      <c r="N404" s="2" t="s">
        <v>35</v>
      </c>
      <c r="O404" s="2" t="s">
        <v>25</v>
      </c>
      <c r="P404" s="2" t="s">
        <v>117</v>
      </c>
      <c r="Q404" s="2" t="s">
        <v>118</v>
      </c>
      <c r="R404" s="2" t="s">
        <v>76</v>
      </c>
    </row>
    <row r="405" spans="1:18" x14ac:dyDescent="0.3">
      <c r="A405" s="5" t="s">
        <v>1114</v>
      </c>
      <c r="B405" s="4">
        <v>44268</v>
      </c>
      <c r="C405" s="5" t="s">
        <v>1115</v>
      </c>
      <c r="D405" s="5" t="s">
        <v>623</v>
      </c>
      <c r="E405" s="5" t="s">
        <v>132</v>
      </c>
      <c r="F405" s="5" t="s">
        <v>81</v>
      </c>
      <c r="G405" s="5" t="s">
        <v>90</v>
      </c>
      <c r="H405" s="6">
        <v>4</v>
      </c>
      <c r="I405" s="6">
        <v>145.75</v>
      </c>
      <c r="J405" s="5">
        <v>0.15</v>
      </c>
      <c r="K405" s="6">
        <v>59.47</v>
      </c>
      <c r="L405" s="6">
        <v>9.7799999999999994</v>
      </c>
      <c r="M405" s="6">
        <v>564.79999999999995</v>
      </c>
      <c r="N405" s="5" t="s">
        <v>58</v>
      </c>
      <c r="O405" s="5" t="s">
        <v>25</v>
      </c>
      <c r="P405" s="5" t="s">
        <v>95</v>
      </c>
      <c r="Q405" s="5" t="s">
        <v>37</v>
      </c>
      <c r="R405" s="5" t="s">
        <v>28</v>
      </c>
    </row>
    <row r="406" spans="1:18" x14ac:dyDescent="0.3">
      <c r="A406" s="2" t="s">
        <v>1116</v>
      </c>
      <c r="B406" s="1">
        <v>45630</v>
      </c>
      <c r="C406" s="2" t="s">
        <v>1117</v>
      </c>
      <c r="D406" s="2" t="s">
        <v>645</v>
      </c>
      <c r="E406" s="2" t="s">
        <v>597</v>
      </c>
      <c r="F406" s="2" t="s">
        <v>22</v>
      </c>
      <c r="G406" s="2" t="s">
        <v>90</v>
      </c>
      <c r="H406" s="3">
        <v>3</v>
      </c>
      <c r="I406" s="3">
        <v>557.97</v>
      </c>
      <c r="J406" s="2">
        <v>0.05</v>
      </c>
      <c r="K406" s="3">
        <v>190.83</v>
      </c>
      <c r="L406" s="3">
        <v>13.16</v>
      </c>
      <c r="M406" s="3">
        <v>1794.2</v>
      </c>
      <c r="N406" s="2" t="s">
        <v>24</v>
      </c>
      <c r="O406" s="2" t="s">
        <v>25</v>
      </c>
      <c r="P406" s="2" t="s">
        <v>68</v>
      </c>
      <c r="Q406" s="2" t="s">
        <v>69</v>
      </c>
      <c r="R406" s="2" t="s">
        <v>28</v>
      </c>
    </row>
    <row r="407" spans="1:18" x14ac:dyDescent="0.3">
      <c r="A407" s="5" t="s">
        <v>1118</v>
      </c>
      <c r="B407" s="4">
        <v>45137</v>
      </c>
      <c r="C407" s="5" t="s">
        <v>1119</v>
      </c>
      <c r="D407" s="5" t="s">
        <v>279</v>
      </c>
      <c r="E407" s="5" t="s">
        <v>177</v>
      </c>
      <c r="F407" s="5" t="s">
        <v>143</v>
      </c>
      <c r="G407" s="5" t="s">
        <v>100</v>
      </c>
      <c r="H407" s="6">
        <v>2</v>
      </c>
      <c r="I407" s="6">
        <v>353.9</v>
      </c>
      <c r="J407" s="5">
        <v>0</v>
      </c>
      <c r="K407" s="6">
        <v>56.62</v>
      </c>
      <c r="L407" s="6">
        <v>6.24</v>
      </c>
      <c r="M407" s="6">
        <v>770.66</v>
      </c>
      <c r="N407" s="5" t="s">
        <v>58</v>
      </c>
      <c r="O407" s="5" t="s">
        <v>25</v>
      </c>
      <c r="P407" s="5" t="s">
        <v>83</v>
      </c>
      <c r="Q407" s="5" t="s">
        <v>84</v>
      </c>
      <c r="R407" s="5" t="s">
        <v>38</v>
      </c>
    </row>
    <row r="408" spans="1:18" x14ac:dyDescent="0.3">
      <c r="A408" s="2" t="s">
        <v>1120</v>
      </c>
      <c r="B408" s="1">
        <v>43857</v>
      </c>
      <c r="C408" s="2" t="s">
        <v>1121</v>
      </c>
      <c r="D408" s="2" t="s">
        <v>141</v>
      </c>
      <c r="E408" s="2" t="s">
        <v>340</v>
      </c>
      <c r="F408" s="2" t="s">
        <v>89</v>
      </c>
      <c r="G408" s="2" t="s">
        <v>198</v>
      </c>
      <c r="H408" s="3">
        <v>5</v>
      </c>
      <c r="I408" s="3">
        <v>7.14</v>
      </c>
      <c r="J408" s="2">
        <v>0.1</v>
      </c>
      <c r="K408" s="3">
        <v>0</v>
      </c>
      <c r="L408" s="3">
        <v>4.57</v>
      </c>
      <c r="M408" s="3">
        <v>36.700000000000003</v>
      </c>
      <c r="N408" s="2" t="s">
        <v>123</v>
      </c>
      <c r="O408" s="2" t="s">
        <v>25</v>
      </c>
      <c r="P408" s="2" t="s">
        <v>178</v>
      </c>
      <c r="Q408" s="2" t="s">
        <v>69</v>
      </c>
      <c r="R408" s="2" t="s">
        <v>38</v>
      </c>
    </row>
    <row r="409" spans="1:18" x14ac:dyDescent="0.3">
      <c r="A409" s="5" t="s">
        <v>1122</v>
      </c>
      <c r="B409" s="4">
        <v>44056</v>
      </c>
      <c r="C409" s="5" t="s">
        <v>1123</v>
      </c>
      <c r="D409" s="5" t="s">
        <v>279</v>
      </c>
      <c r="E409" s="5" t="s">
        <v>138</v>
      </c>
      <c r="F409" s="5" t="s">
        <v>22</v>
      </c>
      <c r="G409" s="5" t="s">
        <v>90</v>
      </c>
      <c r="H409" s="6">
        <v>5</v>
      </c>
      <c r="I409" s="6">
        <v>237.5</v>
      </c>
      <c r="J409" s="5">
        <v>0</v>
      </c>
      <c r="K409" s="6">
        <v>95</v>
      </c>
      <c r="L409" s="6">
        <v>7.08</v>
      </c>
      <c r="M409" s="6">
        <v>1289.58</v>
      </c>
      <c r="N409" s="5" t="s">
        <v>24</v>
      </c>
      <c r="O409" s="5" t="s">
        <v>25</v>
      </c>
      <c r="P409" s="5" t="s">
        <v>44</v>
      </c>
      <c r="Q409" s="5" t="s">
        <v>37</v>
      </c>
      <c r="R409" s="5" t="s">
        <v>38</v>
      </c>
    </row>
    <row r="410" spans="1:18" x14ac:dyDescent="0.3">
      <c r="A410" s="2" t="s">
        <v>1124</v>
      </c>
      <c r="B410" s="1">
        <v>45131</v>
      </c>
      <c r="C410" s="2" t="s">
        <v>1125</v>
      </c>
      <c r="D410" s="2" t="s">
        <v>911</v>
      </c>
      <c r="E410" s="2" t="s">
        <v>340</v>
      </c>
      <c r="F410" s="2" t="s">
        <v>89</v>
      </c>
      <c r="G410" s="2" t="s">
        <v>198</v>
      </c>
      <c r="H410" s="3">
        <v>4</v>
      </c>
      <c r="I410" s="3">
        <v>133.38999999999999</v>
      </c>
      <c r="J410" s="2">
        <v>0</v>
      </c>
      <c r="K410" s="3">
        <v>96.04</v>
      </c>
      <c r="L410" s="3">
        <v>5.4</v>
      </c>
      <c r="M410" s="3">
        <v>635</v>
      </c>
      <c r="N410" s="2" t="s">
        <v>50</v>
      </c>
      <c r="O410" s="2" t="s">
        <v>144</v>
      </c>
      <c r="P410" s="2" t="s">
        <v>257</v>
      </c>
      <c r="Q410" s="2" t="s">
        <v>69</v>
      </c>
      <c r="R410" s="2" t="s">
        <v>38</v>
      </c>
    </row>
    <row r="411" spans="1:18" x14ac:dyDescent="0.3">
      <c r="A411" s="5" t="s">
        <v>1126</v>
      </c>
      <c r="B411" s="4">
        <v>44628</v>
      </c>
      <c r="C411" s="5" t="s">
        <v>1127</v>
      </c>
      <c r="D411" s="5" t="s">
        <v>286</v>
      </c>
      <c r="E411" s="5" t="s">
        <v>160</v>
      </c>
      <c r="F411" s="5" t="s">
        <v>89</v>
      </c>
      <c r="G411" s="5" t="s">
        <v>57</v>
      </c>
      <c r="H411" s="6">
        <v>5</v>
      </c>
      <c r="I411" s="6">
        <v>262.89999999999998</v>
      </c>
      <c r="J411" s="5">
        <v>0</v>
      </c>
      <c r="K411" s="6">
        <v>65.73</v>
      </c>
      <c r="L411" s="6">
        <v>12.41</v>
      </c>
      <c r="M411" s="6">
        <v>1392.64</v>
      </c>
      <c r="N411" s="5" t="s">
        <v>58</v>
      </c>
      <c r="O411" s="5" t="s">
        <v>25</v>
      </c>
      <c r="P411" s="5" t="s">
        <v>51</v>
      </c>
      <c r="Q411" s="5" t="s">
        <v>52</v>
      </c>
      <c r="R411" s="5" t="s">
        <v>28</v>
      </c>
    </row>
    <row r="412" spans="1:18" x14ac:dyDescent="0.3">
      <c r="A412" s="2" t="s">
        <v>1128</v>
      </c>
      <c r="B412" s="1">
        <v>45463</v>
      </c>
      <c r="C412" s="2" t="s">
        <v>1129</v>
      </c>
      <c r="D412" s="2" t="s">
        <v>754</v>
      </c>
      <c r="E412" s="2" t="s">
        <v>182</v>
      </c>
      <c r="F412" s="2" t="s">
        <v>33</v>
      </c>
      <c r="G412" s="2" t="s">
        <v>198</v>
      </c>
      <c r="H412" s="3">
        <v>3</v>
      </c>
      <c r="I412" s="3">
        <v>446.18</v>
      </c>
      <c r="J412" s="2">
        <v>0</v>
      </c>
      <c r="K412" s="3">
        <v>160.62</v>
      </c>
      <c r="L412" s="3">
        <v>0.96</v>
      </c>
      <c r="M412" s="3">
        <v>1500.12</v>
      </c>
      <c r="N412" s="2" t="s">
        <v>35</v>
      </c>
      <c r="O412" s="2" t="s">
        <v>25</v>
      </c>
      <c r="P412" s="2" t="s">
        <v>95</v>
      </c>
      <c r="Q412" s="2" t="s">
        <v>37</v>
      </c>
      <c r="R412" s="2" t="s">
        <v>38</v>
      </c>
    </row>
    <row r="413" spans="1:18" x14ac:dyDescent="0.3">
      <c r="A413" s="5" t="s">
        <v>1130</v>
      </c>
      <c r="B413" s="4">
        <v>44114</v>
      </c>
      <c r="C413" s="5" t="s">
        <v>1131</v>
      </c>
      <c r="D413" s="5" t="s">
        <v>472</v>
      </c>
      <c r="E413" s="5" t="s">
        <v>287</v>
      </c>
      <c r="F413" s="5" t="s">
        <v>43</v>
      </c>
      <c r="G413" s="5" t="s">
        <v>268</v>
      </c>
      <c r="H413" s="6">
        <v>5</v>
      </c>
      <c r="I413" s="6">
        <v>187.2</v>
      </c>
      <c r="J413" s="5">
        <v>0.25</v>
      </c>
      <c r="K413" s="6">
        <v>35.1</v>
      </c>
      <c r="L413" s="6">
        <v>9.8699999999999992</v>
      </c>
      <c r="M413" s="6">
        <v>746.97</v>
      </c>
      <c r="N413" s="5" t="s">
        <v>58</v>
      </c>
      <c r="O413" s="5" t="s">
        <v>25</v>
      </c>
      <c r="P413" s="5" t="s">
        <v>60</v>
      </c>
      <c r="Q413" s="5" t="s">
        <v>37</v>
      </c>
      <c r="R413" s="5" t="s">
        <v>38</v>
      </c>
    </row>
    <row r="414" spans="1:18" x14ac:dyDescent="0.3">
      <c r="A414" s="2" t="s">
        <v>1132</v>
      </c>
      <c r="B414" s="1">
        <v>44709</v>
      </c>
      <c r="C414" s="2" t="s">
        <v>1133</v>
      </c>
      <c r="D414" s="2" t="s">
        <v>47</v>
      </c>
      <c r="E414" s="2" t="s">
        <v>48</v>
      </c>
      <c r="F414" s="2" t="s">
        <v>43</v>
      </c>
      <c r="G414" s="2" t="s">
        <v>203</v>
      </c>
      <c r="H414" s="3">
        <v>1</v>
      </c>
      <c r="I414" s="3">
        <v>52.83</v>
      </c>
      <c r="J414" s="2">
        <v>0</v>
      </c>
      <c r="K414" s="3">
        <v>2.64</v>
      </c>
      <c r="L414" s="3">
        <v>5.48</v>
      </c>
      <c r="M414" s="3">
        <v>60.95</v>
      </c>
      <c r="N414" s="2" t="s">
        <v>58</v>
      </c>
      <c r="O414" s="2" t="s">
        <v>25</v>
      </c>
      <c r="P414" s="2" t="s">
        <v>101</v>
      </c>
      <c r="Q414" s="2" t="s">
        <v>102</v>
      </c>
      <c r="R414" s="2" t="s">
        <v>28</v>
      </c>
    </row>
    <row r="415" spans="1:18" x14ac:dyDescent="0.3">
      <c r="A415" s="5" t="s">
        <v>1134</v>
      </c>
      <c r="B415" s="4">
        <v>44790</v>
      </c>
      <c r="C415" s="5" t="s">
        <v>1135</v>
      </c>
      <c r="D415" s="5" t="s">
        <v>290</v>
      </c>
      <c r="E415" s="5" t="s">
        <v>283</v>
      </c>
      <c r="F415" s="5" t="s">
        <v>143</v>
      </c>
      <c r="G415" s="5" t="s">
        <v>90</v>
      </c>
      <c r="H415" s="6">
        <v>3</v>
      </c>
      <c r="I415" s="6">
        <v>451.4</v>
      </c>
      <c r="J415" s="5">
        <v>0.25</v>
      </c>
      <c r="K415" s="6">
        <v>121.88</v>
      </c>
      <c r="L415" s="6">
        <v>3.69</v>
      </c>
      <c r="M415" s="6">
        <v>1141.22</v>
      </c>
      <c r="N415" s="5" t="s">
        <v>24</v>
      </c>
      <c r="O415" s="5" t="s">
        <v>107</v>
      </c>
      <c r="P415" s="5" t="s">
        <v>117</v>
      </c>
      <c r="Q415" s="5" t="s">
        <v>118</v>
      </c>
      <c r="R415" s="5" t="s">
        <v>38</v>
      </c>
    </row>
    <row r="416" spans="1:18" x14ac:dyDescent="0.3">
      <c r="A416" s="2" t="s">
        <v>1136</v>
      </c>
      <c r="B416" s="1">
        <v>45335</v>
      </c>
      <c r="C416" s="2" t="s">
        <v>1137</v>
      </c>
      <c r="D416" s="2" t="s">
        <v>566</v>
      </c>
      <c r="E416" s="2" t="s">
        <v>437</v>
      </c>
      <c r="F416" s="2" t="s">
        <v>33</v>
      </c>
      <c r="G416" s="2" t="s">
        <v>34</v>
      </c>
      <c r="H416" s="3">
        <v>3</v>
      </c>
      <c r="I416" s="3">
        <v>532.69000000000005</v>
      </c>
      <c r="J416" s="2">
        <v>0</v>
      </c>
      <c r="K416" s="3">
        <v>287.64999999999998</v>
      </c>
      <c r="L416" s="3">
        <v>10.38</v>
      </c>
      <c r="M416" s="3">
        <v>1896.1</v>
      </c>
      <c r="N416" s="2" t="s">
        <v>35</v>
      </c>
      <c r="O416" s="2" t="s">
        <v>59</v>
      </c>
      <c r="P416" s="2" t="s">
        <v>26</v>
      </c>
      <c r="Q416" s="2" t="s">
        <v>27</v>
      </c>
      <c r="R416" s="2" t="s">
        <v>28</v>
      </c>
    </row>
    <row r="417" spans="1:18" x14ac:dyDescent="0.3">
      <c r="A417" s="5" t="s">
        <v>1138</v>
      </c>
      <c r="B417" s="4">
        <v>44283</v>
      </c>
      <c r="C417" s="5" t="s">
        <v>1139</v>
      </c>
      <c r="D417" s="5" t="s">
        <v>260</v>
      </c>
      <c r="E417" s="5" t="s">
        <v>220</v>
      </c>
      <c r="F417" s="5" t="s">
        <v>43</v>
      </c>
      <c r="G417" s="5" t="s">
        <v>34</v>
      </c>
      <c r="H417" s="6">
        <v>1</v>
      </c>
      <c r="I417" s="6">
        <v>52.02</v>
      </c>
      <c r="J417" s="5">
        <v>0</v>
      </c>
      <c r="K417" s="6">
        <v>9.36</v>
      </c>
      <c r="L417" s="6">
        <v>11.07</v>
      </c>
      <c r="M417" s="6">
        <v>72.45</v>
      </c>
      <c r="N417" s="5" t="s">
        <v>24</v>
      </c>
      <c r="O417" s="5" t="s">
        <v>25</v>
      </c>
      <c r="P417" s="5" t="s">
        <v>178</v>
      </c>
      <c r="Q417" s="5" t="s">
        <v>69</v>
      </c>
      <c r="R417" s="5" t="s">
        <v>38</v>
      </c>
    </row>
    <row r="418" spans="1:18" x14ac:dyDescent="0.3">
      <c r="A418" s="2" t="s">
        <v>1140</v>
      </c>
      <c r="B418" s="1">
        <v>44850</v>
      </c>
      <c r="C418" s="2" t="s">
        <v>1141</v>
      </c>
      <c r="D418" s="2" t="s">
        <v>801</v>
      </c>
      <c r="E418" s="2" t="s">
        <v>164</v>
      </c>
      <c r="F418" s="2" t="s">
        <v>22</v>
      </c>
      <c r="G418" s="2" t="s">
        <v>57</v>
      </c>
      <c r="H418" s="3">
        <v>4</v>
      </c>
      <c r="I418" s="3">
        <v>514.98</v>
      </c>
      <c r="J418" s="2">
        <v>0.05</v>
      </c>
      <c r="K418" s="3">
        <v>0</v>
      </c>
      <c r="L418" s="3">
        <v>3.55</v>
      </c>
      <c r="M418" s="3">
        <v>1960.47</v>
      </c>
      <c r="N418" s="2" t="s">
        <v>58</v>
      </c>
      <c r="O418" s="2" t="s">
        <v>25</v>
      </c>
      <c r="P418" s="2" t="s">
        <v>133</v>
      </c>
      <c r="Q418" s="2" t="s">
        <v>134</v>
      </c>
      <c r="R418" s="2" t="s">
        <v>38</v>
      </c>
    </row>
    <row r="419" spans="1:18" x14ac:dyDescent="0.3">
      <c r="A419" s="5" t="s">
        <v>1142</v>
      </c>
      <c r="B419" s="4">
        <v>44646</v>
      </c>
      <c r="C419" s="5" t="s">
        <v>1143</v>
      </c>
      <c r="D419" s="5" t="s">
        <v>491</v>
      </c>
      <c r="E419" s="5" t="s">
        <v>73</v>
      </c>
      <c r="F419" s="5" t="s">
        <v>143</v>
      </c>
      <c r="G419" s="5" t="s">
        <v>66</v>
      </c>
      <c r="H419" s="6">
        <v>4</v>
      </c>
      <c r="I419" s="6">
        <v>557.57000000000005</v>
      </c>
      <c r="J419" s="5">
        <v>0.15</v>
      </c>
      <c r="K419" s="6">
        <v>151.66</v>
      </c>
      <c r="L419" s="6">
        <v>11.32</v>
      </c>
      <c r="M419" s="6">
        <v>2058.7199999999998</v>
      </c>
      <c r="N419" s="5" t="s">
        <v>58</v>
      </c>
      <c r="O419" s="5" t="s">
        <v>25</v>
      </c>
      <c r="P419" s="5" t="s">
        <v>26</v>
      </c>
      <c r="Q419" s="5" t="s">
        <v>27</v>
      </c>
      <c r="R419" s="5" t="s">
        <v>38</v>
      </c>
    </row>
    <row r="420" spans="1:18" x14ac:dyDescent="0.3">
      <c r="A420" s="2" t="s">
        <v>1144</v>
      </c>
      <c r="B420" s="1">
        <v>44489</v>
      </c>
      <c r="C420" s="2" t="s">
        <v>1145</v>
      </c>
      <c r="D420" s="2" t="s">
        <v>266</v>
      </c>
      <c r="E420" s="2" t="s">
        <v>498</v>
      </c>
      <c r="F420" s="2" t="s">
        <v>33</v>
      </c>
      <c r="G420" s="2" t="s">
        <v>49</v>
      </c>
      <c r="H420" s="3">
        <v>3</v>
      </c>
      <c r="I420" s="3">
        <v>495.51</v>
      </c>
      <c r="J420" s="2">
        <v>0.3</v>
      </c>
      <c r="K420" s="3">
        <v>124.87</v>
      </c>
      <c r="L420" s="3">
        <v>4.78</v>
      </c>
      <c r="M420" s="3">
        <v>1170.22</v>
      </c>
      <c r="N420" s="2" t="s">
        <v>123</v>
      </c>
      <c r="O420" s="2" t="s">
        <v>82</v>
      </c>
      <c r="P420" s="2" t="s">
        <v>150</v>
      </c>
      <c r="Q420" s="2" t="s">
        <v>69</v>
      </c>
      <c r="R420" s="2" t="s">
        <v>38</v>
      </c>
    </row>
    <row r="421" spans="1:18" x14ac:dyDescent="0.3">
      <c r="A421" s="5" t="s">
        <v>1146</v>
      </c>
      <c r="B421" s="4">
        <v>45370</v>
      </c>
      <c r="C421" s="5" t="s">
        <v>1147</v>
      </c>
      <c r="D421" s="5" t="s">
        <v>172</v>
      </c>
      <c r="E421" s="5" t="s">
        <v>177</v>
      </c>
      <c r="F421" s="5" t="s">
        <v>33</v>
      </c>
      <c r="G421" s="5" t="s">
        <v>49</v>
      </c>
      <c r="H421" s="6">
        <v>4</v>
      </c>
      <c r="I421" s="6">
        <v>26.26</v>
      </c>
      <c r="J421" s="5">
        <v>0.1</v>
      </c>
      <c r="K421" s="6">
        <v>4.7300000000000004</v>
      </c>
      <c r="L421" s="6">
        <v>4.1399999999999997</v>
      </c>
      <c r="M421" s="6">
        <v>103.41</v>
      </c>
      <c r="N421" s="5" t="s">
        <v>35</v>
      </c>
      <c r="O421" s="5" t="s">
        <v>107</v>
      </c>
      <c r="P421" s="5" t="s">
        <v>83</v>
      </c>
      <c r="Q421" s="5" t="s">
        <v>84</v>
      </c>
      <c r="R421" s="5" t="s">
        <v>38</v>
      </c>
    </row>
    <row r="422" spans="1:18" x14ac:dyDescent="0.3">
      <c r="A422" s="2" t="s">
        <v>1148</v>
      </c>
      <c r="B422" s="1">
        <v>44377</v>
      </c>
      <c r="C422" s="2" t="s">
        <v>1149</v>
      </c>
      <c r="D422" s="2" t="s">
        <v>539</v>
      </c>
      <c r="E422" s="2" t="s">
        <v>197</v>
      </c>
      <c r="F422" s="2" t="s">
        <v>143</v>
      </c>
      <c r="G422" s="2" t="s">
        <v>203</v>
      </c>
      <c r="H422" s="3">
        <v>3</v>
      </c>
      <c r="I422" s="3">
        <v>177.18</v>
      </c>
      <c r="J422" s="2">
        <v>0</v>
      </c>
      <c r="K422" s="3">
        <v>63.78</v>
      </c>
      <c r="L422" s="3">
        <v>9.18</v>
      </c>
      <c r="M422" s="3">
        <v>604.5</v>
      </c>
      <c r="N422" s="2" t="s">
        <v>50</v>
      </c>
      <c r="O422" s="2" t="s">
        <v>25</v>
      </c>
      <c r="P422" s="2" t="s">
        <v>165</v>
      </c>
      <c r="Q422" s="2" t="s">
        <v>37</v>
      </c>
      <c r="R422" s="2" t="s">
        <v>38</v>
      </c>
    </row>
    <row r="423" spans="1:18" x14ac:dyDescent="0.3">
      <c r="A423" s="5" t="s">
        <v>1150</v>
      </c>
      <c r="B423" s="4">
        <v>45046</v>
      </c>
      <c r="C423" s="5" t="s">
        <v>1151</v>
      </c>
      <c r="D423" s="5" t="s">
        <v>528</v>
      </c>
      <c r="E423" s="5" t="s">
        <v>577</v>
      </c>
      <c r="F423" s="5" t="s">
        <v>22</v>
      </c>
      <c r="G423" s="5" t="s">
        <v>268</v>
      </c>
      <c r="H423" s="6">
        <v>3</v>
      </c>
      <c r="I423" s="6">
        <v>168.62</v>
      </c>
      <c r="J423" s="5">
        <v>0.05</v>
      </c>
      <c r="K423" s="6">
        <v>24.03</v>
      </c>
      <c r="L423" s="6">
        <v>14.43</v>
      </c>
      <c r="M423" s="6">
        <v>519.03</v>
      </c>
      <c r="N423" s="5" t="s">
        <v>67</v>
      </c>
      <c r="O423" s="5" t="s">
        <v>25</v>
      </c>
      <c r="P423" s="5" t="s">
        <v>60</v>
      </c>
      <c r="Q423" s="5" t="s">
        <v>37</v>
      </c>
      <c r="R423" s="5" t="s">
        <v>38</v>
      </c>
    </row>
    <row r="424" spans="1:18" x14ac:dyDescent="0.3">
      <c r="A424" s="2" t="s">
        <v>1152</v>
      </c>
      <c r="B424" s="1">
        <v>44903</v>
      </c>
      <c r="C424" s="2" t="s">
        <v>1153</v>
      </c>
      <c r="D424" s="2" t="s">
        <v>79</v>
      </c>
      <c r="E424" s="2" t="s">
        <v>122</v>
      </c>
      <c r="F424" s="2" t="s">
        <v>33</v>
      </c>
      <c r="G424" s="2" t="s">
        <v>57</v>
      </c>
      <c r="H424" s="3">
        <v>2</v>
      </c>
      <c r="I424" s="3">
        <v>254.34</v>
      </c>
      <c r="J424" s="2">
        <v>0</v>
      </c>
      <c r="K424" s="3">
        <v>40.69</v>
      </c>
      <c r="L424" s="3">
        <v>2.34</v>
      </c>
      <c r="M424" s="3">
        <v>551.71</v>
      </c>
      <c r="N424" s="2" t="s">
        <v>123</v>
      </c>
      <c r="O424" s="2" t="s">
        <v>107</v>
      </c>
      <c r="P424" s="2" t="s">
        <v>44</v>
      </c>
      <c r="Q424" s="2" t="s">
        <v>37</v>
      </c>
      <c r="R424" s="2" t="s">
        <v>38</v>
      </c>
    </row>
    <row r="425" spans="1:18" x14ac:dyDescent="0.3">
      <c r="A425" s="5" t="s">
        <v>1154</v>
      </c>
      <c r="B425" s="4">
        <v>45366</v>
      </c>
      <c r="C425" s="5" t="s">
        <v>1155</v>
      </c>
      <c r="D425" s="5" t="s">
        <v>212</v>
      </c>
      <c r="E425" s="5" t="s">
        <v>197</v>
      </c>
      <c r="F425" s="5" t="s">
        <v>89</v>
      </c>
      <c r="G425" s="5" t="s">
        <v>90</v>
      </c>
      <c r="H425" s="6">
        <v>5</v>
      </c>
      <c r="I425" s="6">
        <v>125.23</v>
      </c>
      <c r="J425" s="5">
        <v>0.15</v>
      </c>
      <c r="K425" s="6">
        <v>26.61</v>
      </c>
      <c r="L425" s="6">
        <v>2.11</v>
      </c>
      <c r="M425" s="6">
        <v>560.95000000000005</v>
      </c>
      <c r="N425" s="5" t="s">
        <v>67</v>
      </c>
      <c r="O425" s="5" t="s">
        <v>25</v>
      </c>
      <c r="P425" s="5" t="s">
        <v>68</v>
      </c>
      <c r="Q425" s="5" t="s">
        <v>69</v>
      </c>
      <c r="R425" s="5" t="s">
        <v>183</v>
      </c>
    </row>
    <row r="426" spans="1:18" x14ac:dyDescent="0.3">
      <c r="A426" s="2" t="s">
        <v>1156</v>
      </c>
      <c r="B426" s="1">
        <v>43847</v>
      </c>
      <c r="C426" s="2" t="s">
        <v>1157</v>
      </c>
      <c r="D426" s="2" t="s">
        <v>1158</v>
      </c>
      <c r="E426" s="2" t="s">
        <v>271</v>
      </c>
      <c r="F426" s="2" t="s">
        <v>33</v>
      </c>
      <c r="G426" s="2" t="s">
        <v>203</v>
      </c>
      <c r="H426" s="3">
        <v>5</v>
      </c>
      <c r="I426" s="3">
        <v>556.34</v>
      </c>
      <c r="J426" s="2">
        <v>0</v>
      </c>
      <c r="K426" s="3">
        <v>333.8</v>
      </c>
      <c r="L426" s="3">
        <v>5.55</v>
      </c>
      <c r="M426" s="3">
        <v>3121.05</v>
      </c>
      <c r="N426" s="2" t="s">
        <v>24</v>
      </c>
      <c r="O426" s="2" t="s">
        <v>107</v>
      </c>
      <c r="P426" s="2" t="s">
        <v>178</v>
      </c>
      <c r="Q426" s="2" t="s">
        <v>69</v>
      </c>
      <c r="R426" s="2" t="s">
        <v>28</v>
      </c>
    </row>
    <row r="427" spans="1:18" x14ac:dyDescent="0.3">
      <c r="A427" s="5" t="s">
        <v>1159</v>
      </c>
      <c r="B427" s="4">
        <v>45026</v>
      </c>
      <c r="C427" s="5" t="s">
        <v>1160</v>
      </c>
      <c r="D427" s="5" t="s">
        <v>336</v>
      </c>
      <c r="E427" s="5" t="s">
        <v>32</v>
      </c>
      <c r="F427" s="5" t="s">
        <v>143</v>
      </c>
      <c r="G427" s="5" t="s">
        <v>23</v>
      </c>
      <c r="H427" s="6">
        <v>1</v>
      </c>
      <c r="I427" s="6">
        <v>124.17</v>
      </c>
      <c r="J427" s="5">
        <v>0.25</v>
      </c>
      <c r="K427" s="6">
        <v>4.66</v>
      </c>
      <c r="L427" s="6">
        <v>3.04</v>
      </c>
      <c r="M427" s="6">
        <v>100.83</v>
      </c>
      <c r="N427" s="5" t="s">
        <v>58</v>
      </c>
      <c r="O427" s="5" t="s">
        <v>25</v>
      </c>
      <c r="P427" s="5" t="s">
        <v>74</v>
      </c>
      <c r="Q427" s="5" t="s">
        <v>75</v>
      </c>
      <c r="R427" s="5" t="s">
        <v>38</v>
      </c>
    </row>
    <row r="428" spans="1:18" x14ac:dyDescent="0.3">
      <c r="A428" s="2" t="s">
        <v>1161</v>
      </c>
      <c r="B428" s="1">
        <v>45074</v>
      </c>
      <c r="C428" s="2" t="s">
        <v>1162</v>
      </c>
      <c r="D428" s="2" t="s">
        <v>634</v>
      </c>
      <c r="E428" s="2" t="s">
        <v>65</v>
      </c>
      <c r="F428" s="2" t="s">
        <v>89</v>
      </c>
      <c r="G428" s="2" t="s">
        <v>23</v>
      </c>
      <c r="H428" s="3">
        <v>3</v>
      </c>
      <c r="I428" s="3">
        <v>234.48</v>
      </c>
      <c r="J428" s="2">
        <v>0</v>
      </c>
      <c r="K428" s="3">
        <v>35.17</v>
      </c>
      <c r="L428" s="3">
        <v>4.3099999999999996</v>
      </c>
      <c r="M428" s="3">
        <v>742.92</v>
      </c>
      <c r="N428" s="2" t="s">
        <v>123</v>
      </c>
      <c r="O428" s="2" t="s">
        <v>25</v>
      </c>
      <c r="P428" s="2" t="s">
        <v>83</v>
      </c>
      <c r="Q428" s="2" t="s">
        <v>84</v>
      </c>
      <c r="R428" s="2" t="s">
        <v>38</v>
      </c>
    </row>
    <row r="429" spans="1:18" x14ac:dyDescent="0.3">
      <c r="A429" s="5" t="s">
        <v>1163</v>
      </c>
      <c r="B429" s="4">
        <v>43988</v>
      </c>
      <c r="C429" s="5" t="s">
        <v>1164</v>
      </c>
      <c r="D429" s="5" t="s">
        <v>897</v>
      </c>
      <c r="E429" s="5" t="s">
        <v>231</v>
      </c>
      <c r="F429" s="5" t="s">
        <v>89</v>
      </c>
      <c r="G429" s="5" t="s">
        <v>198</v>
      </c>
      <c r="H429" s="6">
        <v>5</v>
      </c>
      <c r="I429" s="6">
        <v>326.45999999999998</v>
      </c>
      <c r="J429" s="5">
        <v>0</v>
      </c>
      <c r="K429" s="6">
        <v>293.81</v>
      </c>
      <c r="L429" s="6">
        <v>6.8</v>
      </c>
      <c r="M429" s="6">
        <v>1932.91</v>
      </c>
      <c r="N429" s="5" t="s">
        <v>24</v>
      </c>
      <c r="O429" s="5" t="s">
        <v>25</v>
      </c>
      <c r="P429" s="5" t="s">
        <v>36</v>
      </c>
      <c r="Q429" s="5" t="s">
        <v>37</v>
      </c>
      <c r="R429" s="5" t="s">
        <v>38</v>
      </c>
    </row>
    <row r="430" spans="1:18" x14ac:dyDescent="0.3">
      <c r="A430" s="2" t="s">
        <v>1165</v>
      </c>
      <c r="B430" s="1">
        <v>44307</v>
      </c>
      <c r="C430" s="2" t="s">
        <v>1166</v>
      </c>
      <c r="D430" s="2" t="s">
        <v>110</v>
      </c>
      <c r="E430" s="2" t="s">
        <v>21</v>
      </c>
      <c r="F430" s="2" t="s">
        <v>81</v>
      </c>
      <c r="G430" s="2" t="s">
        <v>268</v>
      </c>
      <c r="H430" s="3">
        <v>4</v>
      </c>
      <c r="I430" s="3">
        <v>147</v>
      </c>
      <c r="J430" s="2">
        <v>0.05</v>
      </c>
      <c r="K430" s="3">
        <v>27.93</v>
      </c>
      <c r="L430" s="3">
        <v>7.9</v>
      </c>
      <c r="M430" s="3">
        <v>594.42999999999995</v>
      </c>
      <c r="N430" s="2" t="s">
        <v>58</v>
      </c>
      <c r="O430" s="2" t="s">
        <v>25</v>
      </c>
      <c r="P430" s="2" t="s">
        <v>178</v>
      </c>
      <c r="Q430" s="2" t="s">
        <v>69</v>
      </c>
      <c r="R430" s="2" t="s">
        <v>38</v>
      </c>
    </row>
    <row r="431" spans="1:18" x14ac:dyDescent="0.3">
      <c r="A431" s="5" t="s">
        <v>1167</v>
      </c>
      <c r="B431" s="4">
        <v>44900</v>
      </c>
      <c r="C431" s="5" t="s">
        <v>1168</v>
      </c>
      <c r="D431" s="5" t="s">
        <v>613</v>
      </c>
      <c r="E431" s="5" t="s">
        <v>32</v>
      </c>
      <c r="F431" s="5" t="s">
        <v>81</v>
      </c>
      <c r="G431" s="5" t="s">
        <v>198</v>
      </c>
      <c r="H431" s="6">
        <v>4</v>
      </c>
      <c r="I431" s="6">
        <v>238.49</v>
      </c>
      <c r="J431" s="5">
        <v>0</v>
      </c>
      <c r="K431" s="6">
        <v>114.48</v>
      </c>
      <c r="L431" s="6">
        <v>3.1</v>
      </c>
      <c r="M431" s="6">
        <v>1071.54</v>
      </c>
      <c r="N431" s="5" t="s">
        <v>35</v>
      </c>
      <c r="O431" s="5" t="s">
        <v>107</v>
      </c>
      <c r="P431" s="5" t="s">
        <v>26</v>
      </c>
      <c r="Q431" s="5" t="s">
        <v>27</v>
      </c>
      <c r="R431" s="5" t="s">
        <v>38</v>
      </c>
    </row>
    <row r="432" spans="1:18" x14ac:dyDescent="0.3">
      <c r="A432" s="2" t="s">
        <v>1169</v>
      </c>
      <c r="B432" s="1">
        <v>45227</v>
      </c>
      <c r="C432" s="2" t="s">
        <v>1170</v>
      </c>
      <c r="D432" s="2" t="s">
        <v>186</v>
      </c>
      <c r="E432" s="2" t="s">
        <v>300</v>
      </c>
      <c r="F432" s="2" t="s">
        <v>81</v>
      </c>
      <c r="G432" s="2" t="s">
        <v>100</v>
      </c>
      <c r="H432" s="3">
        <v>5</v>
      </c>
      <c r="I432" s="3">
        <v>464.26</v>
      </c>
      <c r="J432" s="2">
        <v>0.25</v>
      </c>
      <c r="K432" s="3">
        <v>87.05</v>
      </c>
      <c r="L432" s="3">
        <v>4.41</v>
      </c>
      <c r="M432" s="3">
        <v>1832.44</v>
      </c>
      <c r="N432" s="2" t="s">
        <v>58</v>
      </c>
      <c r="O432" s="2" t="s">
        <v>25</v>
      </c>
      <c r="P432" s="2" t="s">
        <v>257</v>
      </c>
      <c r="Q432" s="2" t="s">
        <v>69</v>
      </c>
      <c r="R432" s="2" t="s">
        <v>38</v>
      </c>
    </row>
    <row r="433" spans="1:18" x14ac:dyDescent="0.3">
      <c r="A433" s="5" t="s">
        <v>1171</v>
      </c>
      <c r="B433" s="4">
        <v>44348</v>
      </c>
      <c r="C433" s="5" t="s">
        <v>1172</v>
      </c>
      <c r="D433" s="5" t="s">
        <v>1173</v>
      </c>
      <c r="E433" s="5" t="s">
        <v>164</v>
      </c>
      <c r="F433" s="5" t="s">
        <v>143</v>
      </c>
      <c r="G433" s="5" t="s">
        <v>203</v>
      </c>
      <c r="H433" s="6">
        <v>3</v>
      </c>
      <c r="I433" s="6">
        <v>162.19</v>
      </c>
      <c r="J433" s="5">
        <v>0</v>
      </c>
      <c r="K433" s="6">
        <v>38.93</v>
      </c>
      <c r="L433" s="6">
        <v>13.08</v>
      </c>
      <c r="M433" s="6">
        <v>538.58000000000004</v>
      </c>
      <c r="N433" s="5" t="s">
        <v>123</v>
      </c>
      <c r="O433" s="5" t="s">
        <v>25</v>
      </c>
      <c r="P433" s="5" t="s">
        <v>173</v>
      </c>
      <c r="Q433" s="5" t="s">
        <v>174</v>
      </c>
      <c r="R433" s="5" t="s">
        <v>76</v>
      </c>
    </row>
    <row r="434" spans="1:18" x14ac:dyDescent="0.3">
      <c r="A434" s="2" t="s">
        <v>1174</v>
      </c>
      <c r="B434" s="1">
        <v>43929</v>
      </c>
      <c r="C434" s="2" t="s">
        <v>1175</v>
      </c>
      <c r="D434" s="2" t="s">
        <v>1176</v>
      </c>
      <c r="E434" s="2" t="s">
        <v>300</v>
      </c>
      <c r="F434" s="2" t="s">
        <v>89</v>
      </c>
      <c r="G434" s="2" t="s">
        <v>49</v>
      </c>
      <c r="H434" s="3">
        <v>4</v>
      </c>
      <c r="I434" s="3">
        <v>416.04</v>
      </c>
      <c r="J434" s="2">
        <v>0</v>
      </c>
      <c r="K434" s="3">
        <v>0</v>
      </c>
      <c r="L434" s="3">
        <v>3.76</v>
      </c>
      <c r="M434" s="3">
        <v>1667.92</v>
      </c>
      <c r="N434" s="2" t="s">
        <v>58</v>
      </c>
      <c r="O434" s="2" t="s">
        <v>107</v>
      </c>
      <c r="P434" s="2" t="s">
        <v>68</v>
      </c>
      <c r="Q434" s="2" t="s">
        <v>69</v>
      </c>
      <c r="R434" s="2" t="s">
        <v>38</v>
      </c>
    </row>
    <row r="435" spans="1:18" x14ac:dyDescent="0.3">
      <c r="A435" s="5" t="s">
        <v>1177</v>
      </c>
      <c r="B435" s="4">
        <v>45599</v>
      </c>
      <c r="C435" s="5" t="s">
        <v>1178</v>
      </c>
      <c r="D435" s="5" t="s">
        <v>415</v>
      </c>
      <c r="E435" s="5" t="s">
        <v>267</v>
      </c>
      <c r="F435" s="5" t="s">
        <v>143</v>
      </c>
      <c r="G435" s="5" t="s">
        <v>57</v>
      </c>
      <c r="H435" s="6">
        <v>5</v>
      </c>
      <c r="I435" s="6">
        <v>446.28</v>
      </c>
      <c r="J435" s="5">
        <v>0</v>
      </c>
      <c r="K435" s="6">
        <v>178.51</v>
      </c>
      <c r="L435" s="6">
        <v>14.42</v>
      </c>
      <c r="M435" s="6">
        <v>2424.33</v>
      </c>
      <c r="N435" s="5" t="s">
        <v>67</v>
      </c>
      <c r="O435" s="5" t="s">
        <v>107</v>
      </c>
      <c r="P435" s="5" t="s">
        <v>257</v>
      </c>
      <c r="Q435" s="5" t="s">
        <v>69</v>
      </c>
      <c r="R435" s="5" t="s">
        <v>38</v>
      </c>
    </row>
    <row r="436" spans="1:18" x14ac:dyDescent="0.3">
      <c r="A436" s="2" t="s">
        <v>1179</v>
      </c>
      <c r="B436" s="1">
        <v>44891</v>
      </c>
      <c r="C436" s="2" t="s">
        <v>1180</v>
      </c>
      <c r="D436" s="2" t="s">
        <v>720</v>
      </c>
      <c r="E436" s="2" t="s">
        <v>267</v>
      </c>
      <c r="F436" s="2" t="s">
        <v>33</v>
      </c>
      <c r="G436" s="2" t="s">
        <v>198</v>
      </c>
      <c r="H436" s="3">
        <v>1</v>
      </c>
      <c r="I436" s="3">
        <v>34.57</v>
      </c>
      <c r="J436" s="2">
        <v>0</v>
      </c>
      <c r="K436" s="3">
        <v>1.73</v>
      </c>
      <c r="L436" s="3">
        <v>5.7</v>
      </c>
      <c r="M436" s="3">
        <v>42</v>
      </c>
      <c r="N436" s="2" t="s">
        <v>50</v>
      </c>
      <c r="O436" s="2" t="s">
        <v>25</v>
      </c>
      <c r="P436" s="2" t="s">
        <v>83</v>
      </c>
      <c r="Q436" s="2" t="s">
        <v>84</v>
      </c>
      <c r="R436" s="2" t="s">
        <v>38</v>
      </c>
    </row>
    <row r="437" spans="1:18" x14ac:dyDescent="0.3">
      <c r="A437" s="5" t="s">
        <v>1181</v>
      </c>
      <c r="B437" s="4">
        <v>44110</v>
      </c>
      <c r="C437" s="5" t="s">
        <v>1182</v>
      </c>
      <c r="D437" s="5" t="s">
        <v>731</v>
      </c>
      <c r="E437" s="5" t="s">
        <v>294</v>
      </c>
      <c r="F437" s="5" t="s">
        <v>81</v>
      </c>
      <c r="G437" s="5" t="s">
        <v>203</v>
      </c>
      <c r="H437" s="6">
        <v>2</v>
      </c>
      <c r="I437" s="6">
        <v>281.76</v>
      </c>
      <c r="J437" s="5">
        <v>0.15</v>
      </c>
      <c r="K437" s="6">
        <v>57.48</v>
      </c>
      <c r="L437" s="6">
        <v>6.97</v>
      </c>
      <c r="M437" s="6">
        <v>543.44000000000005</v>
      </c>
      <c r="N437" s="5" t="s">
        <v>123</v>
      </c>
      <c r="O437" s="5" t="s">
        <v>25</v>
      </c>
      <c r="P437" s="5" t="s">
        <v>44</v>
      </c>
      <c r="Q437" s="5" t="s">
        <v>37</v>
      </c>
      <c r="R437" s="5" t="s">
        <v>38</v>
      </c>
    </row>
    <row r="438" spans="1:18" x14ac:dyDescent="0.3">
      <c r="A438" s="2" t="s">
        <v>1183</v>
      </c>
      <c r="B438" s="1">
        <v>45203</v>
      </c>
      <c r="C438" s="2" t="s">
        <v>1184</v>
      </c>
      <c r="D438" s="2" t="s">
        <v>219</v>
      </c>
      <c r="E438" s="2" t="s">
        <v>142</v>
      </c>
      <c r="F438" s="2" t="s">
        <v>33</v>
      </c>
      <c r="G438" s="2" t="s">
        <v>49</v>
      </c>
      <c r="H438" s="3">
        <v>5</v>
      </c>
      <c r="I438" s="3">
        <v>36.14</v>
      </c>
      <c r="J438" s="2">
        <v>0.05</v>
      </c>
      <c r="K438" s="3">
        <v>8.58</v>
      </c>
      <c r="L438" s="3">
        <v>11.65</v>
      </c>
      <c r="M438" s="3">
        <v>191.9</v>
      </c>
      <c r="N438" s="2" t="s">
        <v>24</v>
      </c>
      <c r="O438" s="2" t="s">
        <v>107</v>
      </c>
      <c r="P438" s="2" t="s">
        <v>124</v>
      </c>
      <c r="Q438" s="2" t="s">
        <v>125</v>
      </c>
      <c r="R438" s="2" t="s">
        <v>183</v>
      </c>
    </row>
    <row r="439" spans="1:18" x14ac:dyDescent="0.3">
      <c r="A439" s="5" t="s">
        <v>1185</v>
      </c>
      <c r="B439" s="4">
        <v>44327</v>
      </c>
      <c r="C439" s="5" t="s">
        <v>1186</v>
      </c>
      <c r="D439" s="5" t="s">
        <v>596</v>
      </c>
      <c r="E439" s="5" t="s">
        <v>300</v>
      </c>
      <c r="F439" s="5" t="s">
        <v>43</v>
      </c>
      <c r="G439" s="5" t="s">
        <v>66</v>
      </c>
      <c r="H439" s="6">
        <v>5</v>
      </c>
      <c r="I439" s="6">
        <v>589.23</v>
      </c>
      <c r="J439" s="5">
        <v>0.15</v>
      </c>
      <c r="K439" s="6">
        <v>0</v>
      </c>
      <c r="L439" s="6">
        <v>0.03</v>
      </c>
      <c r="M439" s="6">
        <v>2504.2600000000002</v>
      </c>
      <c r="N439" s="5" t="s">
        <v>67</v>
      </c>
      <c r="O439" s="5" t="s">
        <v>25</v>
      </c>
      <c r="P439" s="5" t="s">
        <v>145</v>
      </c>
      <c r="Q439" s="5" t="s">
        <v>146</v>
      </c>
      <c r="R439" s="5" t="s">
        <v>183</v>
      </c>
    </row>
    <row r="440" spans="1:18" x14ac:dyDescent="0.3">
      <c r="A440" s="2" t="s">
        <v>1187</v>
      </c>
      <c r="B440" s="1">
        <v>44132</v>
      </c>
      <c r="C440" s="2" t="s">
        <v>1188</v>
      </c>
      <c r="D440" s="2" t="s">
        <v>1189</v>
      </c>
      <c r="E440" s="2" t="s">
        <v>425</v>
      </c>
      <c r="F440" s="2" t="s">
        <v>89</v>
      </c>
      <c r="G440" s="2" t="s">
        <v>268</v>
      </c>
      <c r="H440" s="3">
        <v>3</v>
      </c>
      <c r="I440" s="3">
        <v>108.48</v>
      </c>
      <c r="J440" s="2">
        <v>0.05</v>
      </c>
      <c r="K440" s="3">
        <v>37.1</v>
      </c>
      <c r="L440" s="3">
        <v>14.17</v>
      </c>
      <c r="M440" s="3">
        <v>360.44</v>
      </c>
      <c r="N440" s="2" t="s">
        <v>24</v>
      </c>
      <c r="O440" s="2" t="s">
        <v>25</v>
      </c>
      <c r="P440" s="2" t="s">
        <v>145</v>
      </c>
      <c r="Q440" s="2" t="s">
        <v>146</v>
      </c>
      <c r="R440" s="2" t="s">
        <v>38</v>
      </c>
    </row>
    <row r="441" spans="1:18" x14ac:dyDescent="0.3">
      <c r="A441" s="5" t="s">
        <v>1190</v>
      </c>
      <c r="B441" s="4">
        <v>44011</v>
      </c>
      <c r="C441" s="5" t="s">
        <v>1191</v>
      </c>
      <c r="D441" s="5" t="s">
        <v>483</v>
      </c>
      <c r="E441" s="5" t="s">
        <v>88</v>
      </c>
      <c r="F441" s="5" t="s">
        <v>81</v>
      </c>
      <c r="G441" s="5" t="s">
        <v>34</v>
      </c>
      <c r="H441" s="6">
        <v>5</v>
      </c>
      <c r="I441" s="6">
        <v>446.24</v>
      </c>
      <c r="J441" s="5">
        <v>0</v>
      </c>
      <c r="K441" s="6">
        <v>111.56</v>
      </c>
      <c r="L441" s="6">
        <v>9.36</v>
      </c>
      <c r="M441" s="6">
        <v>2352.12</v>
      </c>
      <c r="N441" s="5" t="s">
        <v>58</v>
      </c>
      <c r="O441" s="5" t="s">
        <v>25</v>
      </c>
      <c r="P441" s="5" t="s">
        <v>145</v>
      </c>
      <c r="Q441" s="5" t="s">
        <v>146</v>
      </c>
      <c r="R441" s="5" t="s">
        <v>38</v>
      </c>
    </row>
    <row r="442" spans="1:18" x14ac:dyDescent="0.3">
      <c r="A442" s="2" t="s">
        <v>1192</v>
      </c>
      <c r="B442" s="1">
        <v>44437</v>
      </c>
      <c r="C442" s="2" t="s">
        <v>1193</v>
      </c>
      <c r="D442" s="2" t="s">
        <v>172</v>
      </c>
      <c r="E442" s="2" t="s">
        <v>88</v>
      </c>
      <c r="F442" s="2" t="s">
        <v>143</v>
      </c>
      <c r="G442" s="2" t="s">
        <v>268</v>
      </c>
      <c r="H442" s="3">
        <v>5</v>
      </c>
      <c r="I442" s="3">
        <v>439.14</v>
      </c>
      <c r="J442" s="2">
        <v>0.2</v>
      </c>
      <c r="K442" s="3">
        <v>140.52000000000001</v>
      </c>
      <c r="L442" s="3">
        <v>3.78</v>
      </c>
      <c r="M442" s="3">
        <v>1900.86</v>
      </c>
      <c r="N442" s="2" t="s">
        <v>58</v>
      </c>
      <c r="O442" s="2" t="s">
        <v>25</v>
      </c>
      <c r="P442" s="2" t="s">
        <v>173</v>
      </c>
      <c r="Q442" s="2" t="s">
        <v>174</v>
      </c>
      <c r="R442" s="2" t="s">
        <v>38</v>
      </c>
    </row>
    <row r="443" spans="1:18" x14ac:dyDescent="0.3">
      <c r="A443" s="5" t="s">
        <v>1194</v>
      </c>
      <c r="B443" s="4">
        <v>44953</v>
      </c>
      <c r="C443" s="5" t="s">
        <v>1195</v>
      </c>
      <c r="D443" s="5" t="s">
        <v>754</v>
      </c>
      <c r="E443" s="5" t="s">
        <v>425</v>
      </c>
      <c r="F443" s="5" t="s">
        <v>43</v>
      </c>
      <c r="G443" s="5" t="s">
        <v>66</v>
      </c>
      <c r="H443" s="6">
        <v>4</v>
      </c>
      <c r="I443" s="6">
        <v>225.16</v>
      </c>
      <c r="J443" s="5">
        <v>0</v>
      </c>
      <c r="K443" s="6">
        <v>72.05</v>
      </c>
      <c r="L443" s="6">
        <v>0.92</v>
      </c>
      <c r="M443" s="6">
        <v>973.61</v>
      </c>
      <c r="N443" s="5" t="s">
        <v>58</v>
      </c>
      <c r="O443" s="5" t="s">
        <v>25</v>
      </c>
      <c r="P443" s="5" t="s">
        <v>173</v>
      </c>
      <c r="Q443" s="5" t="s">
        <v>174</v>
      </c>
      <c r="R443" s="5" t="s">
        <v>38</v>
      </c>
    </row>
    <row r="444" spans="1:18" x14ac:dyDescent="0.3">
      <c r="A444" s="2" t="s">
        <v>1196</v>
      </c>
      <c r="B444" s="1">
        <v>44530</v>
      </c>
      <c r="C444" s="2" t="s">
        <v>1197</v>
      </c>
      <c r="D444" s="2" t="s">
        <v>1176</v>
      </c>
      <c r="E444" s="2" t="s">
        <v>349</v>
      </c>
      <c r="F444" s="2" t="s">
        <v>33</v>
      </c>
      <c r="G444" s="2" t="s">
        <v>66</v>
      </c>
      <c r="H444" s="3">
        <v>2</v>
      </c>
      <c r="I444" s="3">
        <v>430.44</v>
      </c>
      <c r="J444" s="2">
        <v>0.15</v>
      </c>
      <c r="K444" s="3">
        <v>87.81</v>
      </c>
      <c r="L444" s="3">
        <v>0.26</v>
      </c>
      <c r="M444" s="3">
        <v>819.82</v>
      </c>
      <c r="N444" s="2" t="s">
        <v>24</v>
      </c>
      <c r="O444" s="2" t="s">
        <v>25</v>
      </c>
      <c r="P444" s="2" t="s">
        <v>133</v>
      </c>
      <c r="Q444" s="2" t="s">
        <v>134</v>
      </c>
      <c r="R444" s="2" t="s">
        <v>38</v>
      </c>
    </row>
    <row r="445" spans="1:18" x14ac:dyDescent="0.3">
      <c r="A445" s="5" t="s">
        <v>1198</v>
      </c>
      <c r="B445" s="4">
        <v>44823</v>
      </c>
      <c r="C445" s="5" t="s">
        <v>1199</v>
      </c>
      <c r="D445" s="5" t="s">
        <v>491</v>
      </c>
      <c r="E445" s="5" t="s">
        <v>386</v>
      </c>
      <c r="F445" s="5" t="s">
        <v>81</v>
      </c>
      <c r="G445" s="5" t="s">
        <v>203</v>
      </c>
      <c r="H445" s="6">
        <v>4</v>
      </c>
      <c r="I445" s="6">
        <v>197.15</v>
      </c>
      <c r="J445" s="5">
        <v>0.05</v>
      </c>
      <c r="K445" s="6">
        <v>134.85</v>
      </c>
      <c r="L445" s="6">
        <v>3.07</v>
      </c>
      <c r="M445" s="6">
        <v>887.09</v>
      </c>
      <c r="N445" s="5" t="s">
        <v>123</v>
      </c>
      <c r="O445" s="5" t="s">
        <v>144</v>
      </c>
      <c r="P445" s="5" t="s">
        <v>257</v>
      </c>
      <c r="Q445" s="5" t="s">
        <v>69</v>
      </c>
      <c r="R445" s="5" t="s">
        <v>183</v>
      </c>
    </row>
    <row r="446" spans="1:18" x14ac:dyDescent="0.3">
      <c r="A446" s="2" t="s">
        <v>1200</v>
      </c>
      <c r="B446" s="1">
        <v>44970</v>
      </c>
      <c r="C446" s="2" t="s">
        <v>1201</v>
      </c>
      <c r="D446" s="2" t="s">
        <v>196</v>
      </c>
      <c r="E446" s="2" t="s">
        <v>99</v>
      </c>
      <c r="F446" s="2" t="s">
        <v>33</v>
      </c>
      <c r="G446" s="2" t="s">
        <v>268</v>
      </c>
      <c r="H446" s="3">
        <v>1</v>
      </c>
      <c r="I446" s="3">
        <v>68.55</v>
      </c>
      <c r="J446" s="2">
        <v>0</v>
      </c>
      <c r="K446" s="3">
        <v>3.43</v>
      </c>
      <c r="L446" s="3">
        <v>1.06</v>
      </c>
      <c r="M446" s="3">
        <v>73.040000000000006</v>
      </c>
      <c r="N446" s="2" t="s">
        <v>35</v>
      </c>
      <c r="O446" s="2" t="s">
        <v>25</v>
      </c>
      <c r="P446" s="2" t="s">
        <v>150</v>
      </c>
      <c r="Q446" s="2" t="s">
        <v>69</v>
      </c>
      <c r="R446" s="2" t="s">
        <v>38</v>
      </c>
    </row>
    <row r="447" spans="1:18" x14ac:dyDescent="0.3">
      <c r="A447" s="5" t="s">
        <v>1202</v>
      </c>
      <c r="B447" s="4">
        <v>44021</v>
      </c>
      <c r="C447" s="5" t="s">
        <v>1203</v>
      </c>
      <c r="D447" s="5" t="s">
        <v>517</v>
      </c>
      <c r="E447" s="5" t="s">
        <v>365</v>
      </c>
      <c r="F447" s="5" t="s">
        <v>22</v>
      </c>
      <c r="G447" s="5" t="s">
        <v>49</v>
      </c>
      <c r="H447" s="6">
        <v>1</v>
      </c>
      <c r="I447" s="6">
        <v>565.14</v>
      </c>
      <c r="J447" s="5">
        <v>0.2</v>
      </c>
      <c r="K447" s="6">
        <v>22.61</v>
      </c>
      <c r="L447" s="6">
        <v>14.44</v>
      </c>
      <c r="M447" s="6">
        <v>489.16</v>
      </c>
      <c r="N447" s="5" t="s">
        <v>123</v>
      </c>
      <c r="O447" s="5" t="s">
        <v>25</v>
      </c>
      <c r="P447" s="5" t="s">
        <v>74</v>
      </c>
      <c r="Q447" s="5" t="s">
        <v>75</v>
      </c>
      <c r="R447" s="5" t="s">
        <v>61</v>
      </c>
    </row>
    <row r="448" spans="1:18" x14ac:dyDescent="0.3">
      <c r="A448" s="2" t="s">
        <v>1204</v>
      </c>
      <c r="B448" s="1">
        <v>44083</v>
      </c>
      <c r="C448" s="2" t="s">
        <v>1205</v>
      </c>
      <c r="D448" s="2" t="s">
        <v>477</v>
      </c>
      <c r="E448" s="2" t="s">
        <v>88</v>
      </c>
      <c r="F448" s="2" t="s">
        <v>33</v>
      </c>
      <c r="G448" s="2" t="s">
        <v>34</v>
      </c>
      <c r="H448" s="3">
        <v>4</v>
      </c>
      <c r="I448" s="3">
        <v>380.51</v>
      </c>
      <c r="J448" s="2">
        <v>0</v>
      </c>
      <c r="K448" s="3">
        <v>76.099999999999994</v>
      </c>
      <c r="L448" s="3">
        <v>6.78</v>
      </c>
      <c r="M448" s="3">
        <v>1604.92</v>
      </c>
      <c r="N448" s="2" t="s">
        <v>35</v>
      </c>
      <c r="O448" s="2" t="s">
        <v>25</v>
      </c>
      <c r="P448" s="2" t="s">
        <v>112</v>
      </c>
      <c r="Q448" s="2" t="s">
        <v>113</v>
      </c>
      <c r="R448" s="2" t="s">
        <v>38</v>
      </c>
    </row>
    <row r="449" spans="1:18" x14ac:dyDescent="0.3">
      <c r="A449" s="5" t="s">
        <v>1206</v>
      </c>
      <c r="B449" s="4">
        <v>44811</v>
      </c>
      <c r="C449" s="5" t="s">
        <v>1207</v>
      </c>
      <c r="D449" s="5" t="s">
        <v>55</v>
      </c>
      <c r="E449" s="5" t="s">
        <v>425</v>
      </c>
      <c r="F449" s="5" t="s">
        <v>89</v>
      </c>
      <c r="G449" s="5" t="s">
        <v>90</v>
      </c>
      <c r="H449" s="6">
        <v>5</v>
      </c>
      <c r="I449" s="6">
        <v>73.63</v>
      </c>
      <c r="J449" s="5">
        <v>0.2</v>
      </c>
      <c r="K449" s="6">
        <v>14.73</v>
      </c>
      <c r="L449" s="6">
        <v>1.28</v>
      </c>
      <c r="M449" s="6">
        <v>310.52999999999997</v>
      </c>
      <c r="N449" s="5" t="s">
        <v>67</v>
      </c>
      <c r="O449" s="5" t="s">
        <v>25</v>
      </c>
      <c r="P449" s="5" t="s">
        <v>145</v>
      </c>
      <c r="Q449" s="5" t="s">
        <v>146</v>
      </c>
      <c r="R449" s="5" t="s">
        <v>38</v>
      </c>
    </row>
    <row r="450" spans="1:18" x14ac:dyDescent="0.3">
      <c r="A450" s="2" t="s">
        <v>1208</v>
      </c>
      <c r="B450" s="1">
        <v>44758</v>
      </c>
      <c r="C450" s="2" t="s">
        <v>1209</v>
      </c>
      <c r="D450" s="2" t="s">
        <v>445</v>
      </c>
      <c r="E450" s="2" t="s">
        <v>21</v>
      </c>
      <c r="F450" s="2" t="s">
        <v>33</v>
      </c>
      <c r="G450" s="2" t="s">
        <v>198</v>
      </c>
      <c r="H450" s="3">
        <v>5</v>
      </c>
      <c r="I450" s="3">
        <v>126.64</v>
      </c>
      <c r="J450" s="2">
        <v>0.25</v>
      </c>
      <c r="K450" s="3">
        <v>0</v>
      </c>
      <c r="L450" s="3">
        <v>7.13</v>
      </c>
      <c r="M450" s="3">
        <v>482.03</v>
      </c>
      <c r="N450" s="2" t="s">
        <v>24</v>
      </c>
      <c r="O450" s="2" t="s">
        <v>25</v>
      </c>
      <c r="P450" s="2" t="s">
        <v>95</v>
      </c>
      <c r="Q450" s="2" t="s">
        <v>37</v>
      </c>
      <c r="R450" s="2" t="s">
        <v>28</v>
      </c>
    </row>
    <row r="451" spans="1:18" x14ac:dyDescent="0.3">
      <c r="A451" s="5" t="s">
        <v>1210</v>
      </c>
      <c r="B451" s="4">
        <v>45015</v>
      </c>
      <c r="C451" s="5" t="s">
        <v>1211</v>
      </c>
      <c r="D451" s="5" t="s">
        <v>734</v>
      </c>
      <c r="E451" s="5" t="s">
        <v>256</v>
      </c>
      <c r="F451" s="5" t="s">
        <v>143</v>
      </c>
      <c r="G451" s="5" t="s">
        <v>198</v>
      </c>
      <c r="H451" s="6">
        <v>1</v>
      </c>
      <c r="I451" s="6">
        <v>81.66</v>
      </c>
      <c r="J451" s="5">
        <v>0.1</v>
      </c>
      <c r="K451" s="6">
        <v>5.88</v>
      </c>
      <c r="L451" s="6">
        <v>0.62</v>
      </c>
      <c r="M451" s="6">
        <v>79.989999999999995</v>
      </c>
      <c r="N451" s="5" t="s">
        <v>58</v>
      </c>
      <c r="O451" s="5" t="s">
        <v>25</v>
      </c>
      <c r="P451" s="5" t="s">
        <v>36</v>
      </c>
      <c r="Q451" s="5" t="s">
        <v>37</v>
      </c>
      <c r="R451" s="5" t="s">
        <v>28</v>
      </c>
    </row>
    <row r="452" spans="1:18" x14ac:dyDescent="0.3">
      <c r="A452" s="2" t="s">
        <v>1212</v>
      </c>
      <c r="B452" s="1">
        <v>45110</v>
      </c>
      <c r="C452" s="2" t="s">
        <v>1213</v>
      </c>
      <c r="D452" s="2" t="s">
        <v>116</v>
      </c>
      <c r="E452" s="2" t="s">
        <v>111</v>
      </c>
      <c r="F452" s="2" t="s">
        <v>33</v>
      </c>
      <c r="G452" s="2" t="s">
        <v>203</v>
      </c>
      <c r="H452" s="3">
        <v>3</v>
      </c>
      <c r="I452" s="3">
        <v>32.950000000000003</v>
      </c>
      <c r="J452" s="2">
        <v>0.1</v>
      </c>
      <c r="K452" s="3">
        <v>10.68</v>
      </c>
      <c r="L452" s="3">
        <v>10.47</v>
      </c>
      <c r="M452" s="3">
        <v>110.12</v>
      </c>
      <c r="N452" s="2" t="s">
        <v>123</v>
      </c>
      <c r="O452" s="2" t="s">
        <v>107</v>
      </c>
      <c r="P452" s="2" t="s">
        <v>36</v>
      </c>
      <c r="Q452" s="2" t="s">
        <v>37</v>
      </c>
      <c r="R452" s="2" t="s">
        <v>183</v>
      </c>
    </row>
    <row r="453" spans="1:18" x14ac:dyDescent="0.3">
      <c r="A453" s="5" t="s">
        <v>1214</v>
      </c>
      <c r="B453" s="4">
        <v>45177</v>
      </c>
      <c r="C453" s="5" t="s">
        <v>1215</v>
      </c>
      <c r="D453" s="5" t="s">
        <v>472</v>
      </c>
      <c r="E453" s="5" t="s">
        <v>65</v>
      </c>
      <c r="F453" s="5" t="s">
        <v>81</v>
      </c>
      <c r="G453" s="5" t="s">
        <v>100</v>
      </c>
      <c r="H453" s="6">
        <v>1</v>
      </c>
      <c r="I453" s="6">
        <v>481.52</v>
      </c>
      <c r="J453" s="5">
        <v>0.1</v>
      </c>
      <c r="K453" s="6">
        <v>0</v>
      </c>
      <c r="L453" s="6">
        <v>5.9</v>
      </c>
      <c r="M453" s="6">
        <v>439.27</v>
      </c>
      <c r="N453" s="5" t="s">
        <v>58</v>
      </c>
      <c r="O453" s="5" t="s">
        <v>25</v>
      </c>
      <c r="P453" s="5" t="s">
        <v>60</v>
      </c>
      <c r="Q453" s="5" t="s">
        <v>37</v>
      </c>
      <c r="R453" s="5" t="s">
        <v>38</v>
      </c>
    </row>
    <row r="454" spans="1:18" x14ac:dyDescent="0.3">
      <c r="A454" s="2" t="s">
        <v>1216</v>
      </c>
      <c r="B454" s="1">
        <v>43958</v>
      </c>
      <c r="C454" s="2" t="s">
        <v>1217</v>
      </c>
      <c r="D454" s="2" t="s">
        <v>424</v>
      </c>
      <c r="E454" s="2" t="s">
        <v>21</v>
      </c>
      <c r="F454" s="2" t="s">
        <v>89</v>
      </c>
      <c r="G454" s="2" t="s">
        <v>66</v>
      </c>
      <c r="H454" s="3">
        <v>1</v>
      </c>
      <c r="I454" s="3">
        <v>30.73</v>
      </c>
      <c r="J454" s="2">
        <v>0.05</v>
      </c>
      <c r="K454" s="3">
        <v>1.46</v>
      </c>
      <c r="L454" s="3">
        <v>2.2999999999999998</v>
      </c>
      <c r="M454" s="3">
        <v>32.950000000000003</v>
      </c>
      <c r="N454" s="2" t="s">
        <v>67</v>
      </c>
      <c r="O454" s="2" t="s">
        <v>25</v>
      </c>
      <c r="P454" s="2" t="s">
        <v>83</v>
      </c>
      <c r="Q454" s="2" t="s">
        <v>84</v>
      </c>
      <c r="R454" s="2" t="s">
        <v>38</v>
      </c>
    </row>
    <row r="455" spans="1:18" x14ac:dyDescent="0.3">
      <c r="A455" s="5" t="s">
        <v>1218</v>
      </c>
      <c r="B455" s="4">
        <v>43848</v>
      </c>
      <c r="C455" s="5" t="s">
        <v>1219</v>
      </c>
      <c r="D455" s="5" t="s">
        <v>317</v>
      </c>
      <c r="E455" s="5" t="s">
        <v>42</v>
      </c>
      <c r="F455" s="5" t="s">
        <v>22</v>
      </c>
      <c r="G455" s="5" t="s">
        <v>203</v>
      </c>
      <c r="H455" s="6">
        <v>1</v>
      </c>
      <c r="I455" s="6">
        <v>425.5</v>
      </c>
      <c r="J455" s="5">
        <v>0.05</v>
      </c>
      <c r="K455" s="6">
        <v>20.21</v>
      </c>
      <c r="L455" s="6">
        <v>9.18</v>
      </c>
      <c r="M455" s="6">
        <v>433.61</v>
      </c>
      <c r="N455" s="5" t="s">
        <v>58</v>
      </c>
      <c r="O455" s="5" t="s">
        <v>107</v>
      </c>
      <c r="P455" s="5" t="s">
        <v>36</v>
      </c>
      <c r="Q455" s="5" t="s">
        <v>37</v>
      </c>
      <c r="R455" s="5" t="s">
        <v>38</v>
      </c>
    </row>
    <row r="456" spans="1:18" x14ac:dyDescent="0.3">
      <c r="A456" s="2" t="s">
        <v>1220</v>
      </c>
      <c r="B456" s="1">
        <v>45647</v>
      </c>
      <c r="C456" s="2" t="s">
        <v>1221</v>
      </c>
      <c r="D456" s="2" t="s">
        <v>911</v>
      </c>
      <c r="E456" s="2" t="s">
        <v>138</v>
      </c>
      <c r="F456" s="2" t="s">
        <v>89</v>
      </c>
      <c r="G456" s="2" t="s">
        <v>268</v>
      </c>
      <c r="H456" s="3">
        <v>4</v>
      </c>
      <c r="I456" s="3">
        <v>456.47</v>
      </c>
      <c r="J456" s="2">
        <v>0.15</v>
      </c>
      <c r="K456" s="3">
        <v>77.599999999999994</v>
      </c>
      <c r="L456" s="3">
        <v>0.88</v>
      </c>
      <c r="M456" s="3">
        <v>1630.48</v>
      </c>
      <c r="N456" s="2" t="s">
        <v>58</v>
      </c>
      <c r="O456" s="2" t="s">
        <v>25</v>
      </c>
      <c r="P456" s="2" t="s">
        <v>51</v>
      </c>
      <c r="Q456" s="2" t="s">
        <v>52</v>
      </c>
      <c r="R456" s="2" t="s">
        <v>38</v>
      </c>
    </row>
    <row r="457" spans="1:18" x14ac:dyDescent="0.3">
      <c r="A457" s="5" t="s">
        <v>1222</v>
      </c>
      <c r="B457" s="4">
        <v>45589</v>
      </c>
      <c r="C457" s="5" t="s">
        <v>1223</v>
      </c>
      <c r="D457" s="5" t="s">
        <v>223</v>
      </c>
      <c r="E457" s="5" t="s">
        <v>577</v>
      </c>
      <c r="F457" s="5" t="s">
        <v>33</v>
      </c>
      <c r="G457" s="5" t="s">
        <v>57</v>
      </c>
      <c r="H457" s="6">
        <v>3</v>
      </c>
      <c r="I457" s="6">
        <v>129.68</v>
      </c>
      <c r="J457" s="5">
        <v>0.05</v>
      </c>
      <c r="K457" s="6">
        <v>29.57</v>
      </c>
      <c r="L457" s="6">
        <v>10.42</v>
      </c>
      <c r="M457" s="6">
        <v>409.58</v>
      </c>
      <c r="N457" s="5" t="s">
        <v>50</v>
      </c>
      <c r="O457" s="5" t="s">
        <v>25</v>
      </c>
      <c r="P457" s="5" t="s">
        <v>36</v>
      </c>
      <c r="Q457" s="5" t="s">
        <v>37</v>
      </c>
      <c r="R457" s="5" t="s">
        <v>28</v>
      </c>
    </row>
    <row r="458" spans="1:18" x14ac:dyDescent="0.3">
      <c r="A458" s="2" t="s">
        <v>1224</v>
      </c>
      <c r="B458" s="1">
        <v>44396</v>
      </c>
      <c r="C458" s="2" t="s">
        <v>1225</v>
      </c>
      <c r="D458" s="2" t="s">
        <v>385</v>
      </c>
      <c r="E458" s="2" t="s">
        <v>498</v>
      </c>
      <c r="F458" s="2" t="s">
        <v>43</v>
      </c>
      <c r="G458" s="2" t="s">
        <v>23</v>
      </c>
      <c r="H458" s="3">
        <v>4</v>
      </c>
      <c r="I458" s="3">
        <v>436.19</v>
      </c>
      <c r="J458" s="2">
        <v>0.2</v>
      </c>
      <c r="K458" s="3">
        <v>111.66</v>
      </c>
      <c r="L458" s="3">
        <v>9.43</v>
      </c>
      <c r="M458" s="3">
        <v>1516.9</v>
      </c>
      <c r="N458" s="2" t="s">
        <v>58</v>
      </c>
      <c r="O458" s="2" t="s">
        <v>25</v>
      </c>
      <c r="P458" s="2" t="s">
        <v>36</v>
      </c>
      <c r="Q458" s="2" t="s">
        <v>37</v>
      </c>
      <c r="R458" s="2" t="s">
        <v>76</v>
      </c>
    </row>
    <row r="459" spans="1:18" x14ac:dyDescent="0.3">
      <c r="A459" s="5" t="s">
        <v>1226</v>
      </c>
      <c r="B459" s="4">
        <v>44400</v>
      </c>
      <c r="C459" s="5" t="s">
        <v>1227</v>
      </c>
      <c r="D459" s="5" t="s">
        <v>255</v>
      </c>
      <c r="E459" s="5" t="s">
        <v>340</v>
      </c>
      <c r="F459" s="5" t="s">
        <v>89</v>
      </c>
      <c r="G459" s="5" t="s">
        <v>203</v>
      </c>
      <c r="H459" s="6">
        <v>4</v>
      </c>
      <c r="I459" s="6">
        <v>406.52</v>
      </c>
      <c r="J459" s="5">
        <v>0.2</v>
      </c>
      <c r="K459" s="6">
        <v>65.040000000000006</v>
      </c>
      <c r="L459" s="6">
        <v>5.64</v>
      </c>
      <c r="M459" s="6">
        <v>1371.54</v>
      </c>
      <c r="N459" s="5" t="s">
        <v>35</v>
      </c>
      <c r="O459" s="5" t="s">
        <v>25</v>
      </c>
      <c r="P459" s="5" t="s">
        <v>124</v>
      </c>
      <c r="Q459" s="5" t="s">
        <v>125</v>
      </c>
      <c r="R459" s="5" t="s">
        <v>38</v>
      </c>
    </row>
    <row r="460" spans="1:18" x14ac:dyDescent="0.3">
      <c r="A460" s="2" t="s">
        <v>1228</v>
      </c>
      <c r="B460" s="1">
        <v>45177</v>
      </c>
      <c r="C460" s="2" t="s">
        <v>1229</v>
      </c>
      <c r="D460" s="2" t="s">
        <v>266</v>
      </c>
      <c r="E460" s="2" t="s">
        <v>365</v>
      </c>
      <c r="F460" s="2" t="s">
        <v>33</v>
      </c>
      <c r="G460" s="2" t="s">
        <v>203</v>
      </c>
      <c r="H460" s="3">
        <v>4</v>
      </c>
      <c r="I460" s="3">
        <v>533.72</v>
      </c>
      <c r="J460" s="2">
        <v>0.05</v>
      </c>
      <c r="K460" s="3">
        <v>0</v>
      </c>
      <c r="L460" s="3">
        <v>0.17</v>
      </c>
      <c r="M460" s="3">
        <v>2028.31</v>
      </c>
      <c r="N460" s="2" t="s">
        <v>67</v>
      </c>
      <c r="O460" s="2" t="s">
        <v>25</v>
      </c>
      <c r="P460" s="2" t="s">
        <v>124</v>
      </c>
      <c r="Q460" s="2" t="s">
        <v>125</v>
      </c>
      <c r="R460" s="2" t="s">
        <v>38</v>
      </c>
    </row>
    <row r="461" spans="1:18" x14ac:dyDescent="0.3">
      <c r="A461" s="5" t="s">
        <v>1230</v>
      </c>
      <c r="B461" s="4">
        <v>44516</v>
      </c>
      <c r="C461" s="5" t="s">
        <v>1231</v>
      </c>
      <c r="D461" s="5" t="s">
        <v>279</v>
      </c>
      <c r="E461" s="5" t="s">
        <v>138</v>
      </c>
      <c r="F461" s="5" t="s">
        <v>143</v>
      </c>
      <c r="G461" s="5" t="s">
        <v>198</v>
      </c>
      <c r="H461" s="6">
        <v>1</v>
      </c>
      <c r="I461" s="6">
        <v>93.25</v>
      </c>
      <c r="J461" s="5">
        <v>0</v>
      </c>
      <c r="K461" s="6">
        <v>7.46</v>
      </c>
      <c r="L461" s="6">
        <v>3.43</v>
      </c>
      <c r="M461" s="6">
        <v>104.14</v>
      </c>
      <c r="N461" s="5" t="s">
        <v>58</v>
      </c>
      <c r="O461" s="5" t="s">
        <v>25</v>
      </c>
      <c r="P461" s="5" t="s">
        <v>60</v>
      </c>
      <c r="Q461" s="5" t="s">
        <v>37</v>
      </c>
      <c r="R461" s="5" t="s">
        <v>38</v>
      </c>
    </row>
    <row r="462" spans="1:18" x14ac:dyDescent="0.3">
      <c r="A462" s="2" t="s">
        <v>1232</v>
      </c>
      <c r="B462" s="1">
        <v>45646</v>
      </c>
      <c r="C462" s="2" t="s">
        <v>1233</v>
      </c>
      <c r="D462" s="2" t="s">
        <v>1025</v>
      </c>
      <c r="E462" s="2" t="s">
        <v>597</v>
      </c>
      <c r="F462" s="2" t="s">
        <v>22</v>
      </c>
      <c r="G462" s="2" t="s">
        <v>203</v>
      </c>
      <c r="H462" s="3">
        <v>3</v>
      </c>
      <c r="I462" s="3">
        <v>445.46</v>
      </c>
      <c r="J462" s="2">
        <v>0.1</v>
      </c>
      <c r="K462" s="3">
        <v>96.22</v>
      </c>
      <c r="L462" s="3">
        <v>12.49</v>
      </c>
      <c r="M462" s="3">
        <v>1311.45</v>
      </c>
      <c r="N462" s="2" t="s">
        <v>123</v>
      </c>
      <c r="O462" s="2" t="s">
        <v>25</v>
      </c>
      <c r="P462" s="2" t="s">
        <v>150</v>
      </c>
      <c r="Q462" s="2" t="s">
        <v>69</v>
      </c>
      <c r="R462" s="2" t="s">
        <v>28</v>
      </c>
    </row>
    <row r="463" spans="1:18" x14ac:dyDescent="0.3">
      <c r="A463" s="5" t="s">
        <v>1234</v>
      </c>
      <c r="B463" s="4">
        <v>44456</v>
      </c>
      <c r="C463" s="5" t="s">
        <v>1235</v>
      </c>
      <c r="D463" s="5" t="s">
        <v>711</v>
      </c>
      <c r="E463" s="5" t="s">
        <v>177</v>
      </c>
      <c r="F463" s="5" t="s">
        <v>22</v>
      </c>
      <c r="G463" s="5" t="s">
        <v>268</v>
      </c>
      <c r="H463" s="6">
        <v>2</v>
      </c>
      <c r="I463" s="6">
        <v>197.42</v>
      </c>
      <c r="J463" s="5">
        <v>0</v>
      </c>
      <c r="K463" s="6">
        <v>47.38</v>
      </c>
      <c r="L463" s="6">
        <v>5.37</v>
      </c>
      <c r="M463" s="6">
        <v>447.59</v>
      </c>
      <c r="N463" s="5" t="s">
        <v>67</v>
      </c>
      <c r="O463" s="5" t="s">
        <v>25</v>
      </c>
      <c r="P463" s="5" t="s">
        <v>60</v>
      </c>
      <c r="Q463" s="5" t="s">
        <v>37</v>
      </c>
      <c r="R463" s="5" t="s">
        <v>61</v>
      </c>
    </row>
    <row r="464" spans="1:18" x14ac:dyDescent="0.3">
      <c r="A464" s="2" t="s">
        <v>1236</v>
      </c>
      <c r="B464" s="1">
        <v>45142</v>
      </c>
      <c r="C464" s="2" t="s">
        <v>1237</v>
      </c>
      <c r="D464" s="2" t="s">
        <v>137</v>
      </c>
      <c r="E464" s="2" t="s">
        <v>80</v>
      </c>
      <c r="F464" s="2" t="s">
        <v>33</v>
      </c>
      <c r="G464" s="2" t="s">
        <v>49</v>
      </c>
      <c r="H464" s="3">
        <v>3</v>
      </c>
      <c r="I464" s="3">
        <v>15.36</v>
      </c>
      <c r="J464" s="2">
        <v>0</v>
      </c>
      <c r="K464" s="3">
        <v>3.69</v>
      </c>
      <c r="L464" s="3">
        <v>7.65</v>
      </c>
      <c r="M464" s="3">
        <v>57.42</v>
      </c>
      <c r="N464" s="2" t="s">
        <v>67</v>
      </c>
      <c r="O464" s="2" t="s">
        <v>25</v>
      </c>
      <c r="P464" s="2" t="s">
        <v>173</v>
      </c>
      <c r="Q464" s="2" t="s">
        <v>174</v>
      </c>
      <c r="R464" s="2" t="s">
        <v>38</v>
      </c>
    </row>
    <row r="465" spans="1:18" x14ac:dyDescent="0.3">
      <c r="A465" s="5" t="s">
        <v>1238</v>
      </c>
      <c r="B465" s="4">
        <v>44684</v>
      </c>
      <c r="C465" s="5" t="s">
        <v>1239</v>
      </c>
      <c r="D465" s="5" t="s">
        <v>206</v>
      </c>
      <c r="E465" s="5" t="s">
        <v>243</v>
      </c>
      <c r="F465" s="5" t="s">
        <v>89</v>
      </c>
      <c r="G465" s="5" t="s">
        <v>23</v>
      </c>
      <c r="H465" s="6">
        <v>3</v>
      </c>
      <c r="I465" s="6">
        <v>204.5</v>
      </c>
      <c r="J465" s="5">
        <v>0.05</v>
      </c>
      <c r="K465" s="6">
        <v>29.14</v>
      </c>
      <c r="L465" s="6">
        <v>13.05</v>
      </c>
      <c r="M465" s="6">
        <v>625.01</v>
      </c>
      <c r="N465" s="5" t="s">
        <v>50</v>
      </c>
      <c r="O465" s="5" t="s">
        <v>25</v>
      </c>
      <c r="P465" s="5" t="s">
        <v>124</v>
      </c>
      <c r="Q465" s="5" t="s">
        <v>125</v>
      </c>
      <c r="R465" s="5" t="s">
        <v>38</v>
      </c>
    </row>
    <row r="466" spans="1:18" x14ac:dyDescent="0.3">
      <c r="A466" s="2" t="s">
        <v>1240</v>
      </c>
      <c r="B466" s="1">
        <v>45517</v>
      </c>
      <c r="C466" s="2" t="s">
        <v>1241</v>
      </c>
      <c r="D466" s="2" t="s">
        <v>440</v>
      </c>
      <c r="E466" s="2" t="s">
        <v>32</v>
      </c>
      <c r="F466" s="2" t="s">
        <v>43</v>
      </c>
      <c r="G466" s="2" t="s">
        <v>90</v>
      </c>
      <c r="H466" s="3">
        <v>4</v>
      </c>
      <c r="I466" s="3">
        <v>220.98</v>
      </c>
      <c r="J466" s="2">
        <v>0</v>
      </c>
      <c r="K466" s="3">
        <v>44.2</v>
      </c>
      <c r="L466" s="3">
        <v>9.39</v>
      </c>
      <c r="M466" s="3">
        <v>937.51</v>
      </c>
      <c r="N466" s="2" t="s">
        <v>35</v>
      </c>
      <c r="O466" s="2" t="s">
        <v>25</v>
      </c>
      <c r="P466" s="2" t="s">
        <v>117</v>
      </c>
      <c r="Q466" s="2" t="s">
        <v>118</v>
      </c>
      <c r="R466" s="2" t="s">
        <v>38</v>
      </c>
    </row>
    <row r="467" spans="1:18" x14ac:dyDescent="0.3">
      <c r="A467" s="5" t="s">
        <v>1242</v>
      </c>
      <c r="B467" s="4">
        <v>44792</v>
      </c>
      <c r="C467" s="5" t="s">
        <v>1243</v>
      </c>
      <c r="D467" s="5" t="s">
        <v>312</v>
      </c>
      <c r="E467" s="5" t="s">
        <v>597</v>
      </c>
      <c r="F467" s="5" t="s">
        <v>33</v>
      </c>
      <c r="G467" s="5" t="s">
        <v>198</v>
      </c>
      <c r="H467" s="6">
        <v>3</v>
      </c>
      <c r="I467" s="6">
        <v>336</v>
      </c>
      <c r="J467" s="5">
        <v>0</v>
      </c>
      <c r="K467" s="6">
        <v>50.4</v>
      </c>
      <c r="L467" s="6">
        <v>5.81</v>
      </c>
      <c r="M467" s="6">
        <v>1064.21</v>
      </c>
      <c r="N467" s="5" t="s">
        <v>123</v>
      </c>
      <c r="O467" s="5" t="s">
        <v>25</v>
      </c>
      <c r="P467" s="5" t="s">
        <v>26</v>
      </c>
      <c r="Q467" s="5" t="s">
        <v>27</v>
      </c>
      <c r="R467" s="5" t="s">
        <v>28</v>
      </c>
    </row>
    <row r="468" spans="1:18" x14ac:dyDescent="0.3">
      <c r="A468" s="2" t="s">
        <v>1244</v>
      </c>
      <c r="B468" s="1">
        <v>45493</v>
      </c>
      <c r="C468" s="2" t="s">
        <v>1245</v>
      </c>
      <c r="D468" s="2" t="s">
        <v>469</v>
      </c>
      <c r="E468" s="2" t="s">
        <v>156</v>
      </c>
      <c r="F468" s="2" t="s">
        <v>89</v>
      </c>
      <c r="G468" s="2" t="s">
        <v>23</v>
      </c>
      <c r="H468" s="3">
        <v>3</v>
      </c>
      <c r="I468" s="3">
        <v>533.12</v>
      </c>
      <c r="J468" s="2">
        <v>0</v>
      </c>
      <c r="K468" s="3">
        <v>79.97</v>
      </c>
      <c r="L468" s="3">
        <v>6.18</v>
      </c>
      <c r="M468" s="3">
        <v>1685.51</v>
      </c>
      <c r="N468" s="2" t="s">
        <v>58</v>
      </c>
      <c r="O468" s="2" t="s">
        <v>107</v>
      </c>
      <c r="P468" s="2" t="s">
        <v>117</v>
      </c>
      <c r="Q468" s="2" t="s">
        <v>118</v>
      </c>
      <c r="R468" s="2" t="s">
        <v>28</v>
      </c>
    </row>
    <row r="469" spans="1:18" x14ac:dyDescent="0.3">
      <c r="A469" s="5" t="s">
        <v>1246</v>
      </c>
      <c r="B469" s="4">
        <v>43985</v>
      </c>
      <c r="C469" s="5" t="s">
        <v>1247</v>
      </c>
      <c r="D469" s="5" t="s">
        <v>1176</v>
      </c>
      <c r="E469" s="5" t="s">
        <v>340</v>
      </c>
      <c r="F469" s="5" t="s">
        <v>33</v>
      </c>
      <c r="G469" s="5" t="s">
        <v>23</v>
      </c>
      <c r="H469" s="6">
        <v>4</v>
      </c>
      <c r="I469" s="6">
        <v>346.72</v>
      </c>
      <c r="J469" s="5">
        <v>0</v>
      </c>
      <c r="K469" s="6">
        <v>69.34</v>
      </c>
      <c r="L469" s="6">
        <v>12.25</v>
      </c>
      <c r="M469" s="6">
        <v>1468.47</v>
      </c>
      <c r="N469" s="5" t="s">
        <v>123</v>
      </c>
      <c r="O469" s="5" t="s">
        <v>25</v>
      </c>
      <c r="P469" s="5" t="s">
        <v>36</v>
      </c>
      <c r="Q469" s="5" t="s">
        <v>37</v>
      </c>
      <c r="R469" s="5" t="s">
        <v>38</v>
      </c>
    </row>
    <row r="470" spans="1:18" x14ac:dyDescent="0.3">
      <c r="A470" s="2" t="s">
        <v>1248</v>
      </c>
      <c r="B470" s="1">
        <v>44320</v>
      </c>
      <c r="C470" s="2" t="s">
        <v>1249</v>
      </c>
      <c r="D470" s="2" t="s">
        <v>128</v>
      </c>
      <c r="E470" s="2" t="s">
        <v>138</v>
      </c>
      <c r="F470" s="2" t="s">
        <v>81</v>
      </c>
      <c r="G470" s="2" t="s">
        <v>23</v>
      </c>
      <c r="H470" s="3">
        <v>2</v>
      </c>
      <c r="I470" s="3">
        <v>54.96</v>
      </c>
      <c r="J470" s="2">
        <v>0</v>
      </c>
      <c r="K470" s="3">
        <v>19.79</v>
      </c>
      <c r="L470" s="3">
        <v>5.73</v>
      </c>
      <c r="M470" s="3">
        <v>135.44</v>
      </c>
      <c r="N470" s="2" t="s">
        <v>24</v>
      </c>
      <c r="O470" s="2" t="s">
        <v>25</v>
      </c>
      <c r="P470" s="2" t="s">
        <v>74</v>
      </c>
      <c r="Q470" s="2" t="s">
        <v>75</v>
      </c>
      <c r="R470" s="2" t="s">
        <v>38</v>
      </c>
    </row>
    <row r="471" spans="1:18" x14ac:dyDescent="0.3">
      <c r="A471" s="5" t="s">
        <v>1250</v>
      </c>
      <c r="B471" s="4">
        <v>45240</v>
      </c>
      <c r="C471" s="5" t="s">
        <v>1251</v>
      </c>
      <c r="D471" s="5" t="s">
        <v>137</v>
      </c>
      <c r="E471" s="5" t="s">
        <v>340</v>
      </c>
      <c r="F471" s="5" t="s">
        <v>81</v>
      </c>
      <c r="G471" s="5" t="s">
        <v>90</v>
      </c>
      <c r="H471" s="6">
        <v>3</v>
      </c>
      <c r="I471" s="6">
        <v>398.54</v>
      </c>
      <c r="J471" s="5">
        <v>0.05</v>
      </c>
      <c r="K471" s="6">
        <v>204.45</v>
      </c>
      <c r="L471" s="6">
        <v>9.0500000000000007</v>
      </c>
      <c r="M471" s="6">
        <v>1349.34</v>
      </c>
      <c r="N471" s="5" t="s">
        <v>24</v>
      </c>
      <c r="O471" s="5" t="s">
        <v>25</v>
      </c>
      <c r="P471" s="5" t="s">
        <v>68</v>
      </c>
      <c r="Q471" s="5" t="s">
        <v>69</v>
      </c>
      <c r="R471" s="5" t="s">
        <v>38</v>
      </c>
    </row>
    <row r="472" spans="1:18" x14ac:dyDescent="0.3">
      <c r="A472" s="2" t="s">
        <v>1252</v>
      </c>
      <c r="B472" s="1">
        <v>44615</v>
      </c>
      <c r="C472" s="2" t="s">
        <v>1253</v>
      </c>
      <c r="D472" s="2" t="s">
        <v>696</v>
      </c>
      <c r="E472" s="2" t="s">
        <v>197</v>
      </c>
      <c r="F472" s="2" t="s">
        <v>89</v>
      </c>
      <c r="G472" s="2" t="s">
        <v>34</v>
      </c>
      <c r="H472" s="3">
        <v>4</v>
      </c>
      <c r="I472" s="3">
        <v>237.92</v>
      </c>
      <c r="J472" s="2">
        <v>0.15</v>
      </c>
      <c r="K472" s="3">
        <v>64.709999999999994</v>
      </c>
      <c r="L472" s="3">
        <v>13.11</v>
      </c>
      <c r="M472" s="3">
        <v>886.75</v>
      </c>
      <c r="N472" s="2" t="s">
        <v>24</v>
      </c>
      <c r="O472" s="2" t="s">
        <v>25</v>
      </c>
      <c r="P472" s="2" t="s">
        <v>44</v>
      </c>
      <c r="Q472" s="2" t="s">
        <v>37</v>
      </c>
      <c r="R472" s="2" t="s">
        <v>38</v>
      </c>
    </row>
    <row r="473" spans="1:18" x14ac:dyDescent="0.3">
      <c r="A473" s="5" t="s">
        <v>1254</v>
      </c>
      <c r="B473" s="4">
        <v>44958</v>
      </c>
      <c r="C473" s="5" t="s">
        <v>1255</v>
      </c>
      <c r="D473" s="5" t="s">
        <v>93</v>
      </c>
      <c r="E473" s="5" t="s">
        <v>324</v>
      </c>
      <c r="F473" s="5" t="s">
        <v>143</v>
      </c>
      <c r="G473" s="5" t="s">
        <v>66</v>
      </c>
      <c r="H473" s="6">
        <v>1</v>
      </c>
      <c r="I473" s="6">
        <v>197.91</v>
      </c>
      <c r="J473" s="5">
        <v>0.1</v>
      </c>
      <c r="K473" s="6">
        <v>32.06</v>
      </c>
      <c r="L473" s="6">
        <v>13.59</v>
      </c>
      <c r="M473" s="6">
        <v>223.77</v>
      </c>
      <c r="N473" s="5" t="s">
        <v>67</v>
      </c>
      <c r="O473" s="5" t="s">
        <v>25</v>
      </c>
      <c r="P473" s="5" t="s">
        <v>178</v>
      </c>
      <c r="Q473" s="5" t="s">
        <v>69</v>
      </c>
      <c r="R473" s="5" t="s">
        <v>76</v>
      </c>
    </row>
    <row r="474" spans="1:18" x14ac:dyDescent="0.3">
      <c r="A474" s="2" t="s">
        <v>1256</v>
      </c>
      <c r="B474" s="1">
        <v>45247</v>
      </c>
      <c r="C474" s="2" t="s">
        <v>1257</v>
      </c>
      <c r="D474" s="2" t="s">
        <v>796</v>
      </c>
      <c r="E474" s="2" t="s">
        <v>256</v>
      </c>
      <c r="F474" s="2" t="s">
        <v>33</v>
      </c>
      <c r="G474" s="2" t="s">
        <v>198</v>
      </c>
      <c r="H474" s="3">
        <v>5</v>
      </c>
      <c r="I474" s="3">
        <v>132.25</v>
      </c>
      <c r="J474" s="2">
        <v>0.1</v>
      </c>
      <c r="K474" s="3">
        <v>47.61</v>
      </c>
      <c r="L474" s="3">
        <v>10.62</v>
      </c>
      <c r="M474" s="3">
        <v>653.36</v>
      </c>
      <c r="N474" s="2" t="s">
        <v>35</v>
      </c>
      <c r="O474" s="2" t="s">
        <v>107</v>
      </c>
      <c r="P474" s="2" t="s">
        <v>68</v>
      </c>
      <c r="Q474" s="2" t="s">
        <v>69</v>
      </c>
      <c r="R474" s="2" t="s">
        <v>183</v>
      </c>
    </row>
    <row r="475" spans="1:18" x14ac:dyDescent="0.3">
      <c r="A475" s="5" t="s">
        <v>1258</v>
      </c>
      <c r="B475" s="4">
        <v>44076</v>
      </c>
      <c r="C475" s="5" t="s">
        <v>1259</v>
      </c>
      <c r="D475" s="5" t="s">
        <v>186</v>
      </c>
      <c r="E475" s="5" t="s">
        <v>80</v>
      </c>
      <c r="F475" s="5" t="s">
        <v>89</v>
      </c>
      <c r="G475" s="5" t="s">
        <v>198</v>
      </c>
      <c r="H475" s="6">
        <v>5</v>
      </c>
      <c r="I475" s="6">
        <v>361.27</v>
      </c>
      <c r="J475" s="5">
        <v>0.1</v>
      </c>
      <c r="K475" s="6">
        <v>195.09</v>
      </c>
      <c r="L475" s="6">
        <v>7.04</v>
      </c>
      <c r="M475" s="6">
        <v>1827.84</v>
      </c>
      <c r="N475" s="5" t="s">
        <v>58</v>
      </c>
      <c r="O475" s="5" t="s">
        <v>25</v>
      </c>
      <c r="P475" s="5" t="s">
        <v>117</v>
      </c>
      <c r="Q475" s="5" t="s">
        <v>118</v>
      </c>
      <c r="R475" s="5" t="s">
        <v>38</v>
      </c>
    </row>
    <row r="476" spans="1:18" x14ac:dyDescent="0.3">
      <c r="A476" s="2" t="s">
        <v>1260</v>
      </c>
      <c r="B476" s="1">
        <v>45030</v>
      </c>
      <c r="C476" s="2" t="s">
        <v>1261</v>
      </c>
      <c r="D476" s="2" t="s">
        <v>1262</v>
      </c>
      <c r="E476" s="2" t="s">
        <v>283</v>
      </c>
      <c r="F476" s="2" t="s">
        <v>33</v>
      </c>
      <c r="G476" s="2" t="s">
        <v>198</v>
      </c>
      <c r="H476" s="3">
        <v>1</v>
      </c>
      <c r="I476" s="3">
        <v>225.88</v>
      </c>
      <c r="J476" s="2">
        <v>0</v>
      </c>
      <c r="K476" s="3">
        <v>18.07</v>
      </c>
      <c r="L476" s="3">
        <v>8.59</v>
      </c>
      <c r="M476" s="3">
        <v>252.54</v>
      </c>
      <c r="N476" s="2" t="s">
        <v>67</v>
      </c>
      <c r="O476" s="2" t="s">
        <v>25</v>
      </c>
      <c r="P476" s="2" t="s">
        <v>83</v>
      </c>
      <c r="Q476" s="2" t="s">
        <v>84</v>
      </c>
      <c r="R476" s="2" t="s">
        <v>28</v>
      </c>
    </row>
    <row r="477" spans="1:18" x14ac:dyDescent="0.3">
      <c r="A477" s="5" t="s">
        <v>1263</v>
      </c>
      <c r="B477" s="4">
        <v>44893</v>
      </c>
      <c r="C477" s="5" t="s">
        <v>1264</v>
      </c>
      <c r="D477" s="5" t="s">
        <v>1265</v>
      </c>
      <c r="E477" s="5" t="s">
        <v>498</v>
      </c>
      <c r="F477" s="5" t="s">
        <v>43</v>
      </c>
      <c r="G477" s="5" t="s">
        <v>57</v>
      </c>
      <c r="H477" s="6">
        <v>2</v>
      </c>
      <c r="I477" s="6">
        <v>595.48</v>
      </c>
      <c r="J477" s="5">
        <v>0.2</v>
      </c>
      <c r="K477" s="6">
        <v>47.64</v>
      </c>
      <c r="L477" s="6">
        <v>5.69</v>
      </c>
      <c r="M477" s="6">
        <v>1006.1</v>
      </c>
      <c r="N477" s="5" t="s">
        <v>67</v>
      </c>
      <c r="O477" s="5" t="s">
        <v>25</v>
      </c>
      <c r="P477" s="5" t="s">
        <v>83</v>
      </c>
      <c r="Q477" s="5" t="s">
        <v>84</v>
      </c>
      <c r="R477" s="5" t="s">
        <v>38</v>
      </c>
    </row>
    <row r="478" spans="1:18" x14ac:dyDescent="0.3">
      <c r="A478" s="2" t="s">
        <v>1266</v>
      </c>
      <c r="B478" s="1">
        <v>45331</v>
      </c>
      <c r="C478" s="2" t="s">
        <v>1267</v>
      </c>
      <c r="D478" s="2" t="s">
        <v>1268</v>
      </c>
      <c r="E478" s="2" t="s">
        <v>182</v>
      </c>
      <c r="F478" s="2" t="s">
        <v>89</v>
      </c>
      <c r="G478" s="2" t="s">
        <v>268</v>
      </c>
      <c r="H478" s="3">
        <v>1</v>
      </c>
      <c r="I478" s="3">
        <v>443.67</v>
      </c>
      <c r="J478" s="2">
        <v>0.2</v>
      </c>
      <c r="K478" s="3">
        <v>17.75</v>
      </c>
      <c r="L478" s="3">
        <v>13.76</v>
      </c>
      <c r="M478" s="3">
        <v>386.45</v>
      </c>
      <c r="N478" s="2" t="s">
        <v>123</v>
      </c>
      <c r="O478" s="2" t="s">
        <v>107</v>
      </c>
      <c r="P478" s="2" t="s">
        <v>36</v>
      </c>
      <c r="Q478" s="2" t="s">
        <v>37</v>
      </c>
      <c r="R478" s="2" t="s">
        <v>183</v>
      </c>
    </row>
    <row r="479" spans="1:18" x14ac:dyDescent="0.3">
      <c r="A479" s="5" t="s">
        <v>1269</v>
      </c>
      <c r="B479" s="4">
        <v>45536</v>
      </c>
      <c r="C479" s="5" t="s">
        <v>1270</v>
      </c>
      <c r="D479" s="5" t="s">
        <v>501</v>
      </c>
      <c r="E479" s="5" t="s">
        <v>294</v>
      </c>
      <c r="F479" s="5" t="s">
        <v>81</v>
      </c>
      <c r="G479" s="5" t="s">
        <v>57</v>
      </c>
      <c r="H479" s="6">
        <v>5</v>
      </c>
      <c r="I479" s="6">
        <v>71.95</v>
      </c>
      <c r="J479" s="5">
        <v>0.3</v>
      </c>
      <c r="K479" s="6">
        <v>20.149999999999999</v>
      </c>
      <c r="L479" s="6">
        <v>6.15</v>
      </c>
      <c r="M479" s="6">
        <v>278.12</v>
      </c>
      <c r="N479" s="5" t="s">
        <v>67</v>
      </c>
      <c r="O479" s="5" t="s">
        <v>25</v>
      </c>
      <c r="P479" s="5" t="s">
        <v>74</v>
      </c>
      <c r="Q479" s="5" t="s">
        <v>75</v>
      </c>
      <c r="R479" s="5" t="s">
        <v>38</v>
      </c>
    </row>
    <row r="480" spans="1:18" x14ac:dyDescent="0.3">
      <c r="A480" s="2" t="s">
        <v>1271</v>
      </c>
      <c r="B480" s="1">
        <v>44589</v>
      </c>
      <c r="C480" s="2" t="s">
        <v>1272</v>
      </c>
      <c r="D480" s="2" t="s">
        <v>421</v>
      </c>
      <c r="E480" s="2" t="s">
        <v>32</v>
      </c>
      <c r="F480" s="2" t="s">
        <v>33</v>
      </c>
      <c r="G480" s="2" t="s">
        <v>198</v>
      </c>
      <c r="H480" s="3">
        <v>3</v>
      </c>
      <c r="I480" s="3">
        <v>132.25</v>
      </c>
      <c r="J480" s="2">
        <v>0</v>
      </c>
      <c r="K480" s="3">
        <v>0</v>
      </c>
      <c r="L480" s="3">
        <v>12.37</v>
      </c>
      <c r="M480" s="3">
        <v>409.12</v>
      </c>
      <c r="N480" s="2" t="s">
        <v>58</v>
      </c>
      <c r="O480" s="2" t="s">
        <v>25</v>
      </c>
      <c r="P480" s="2" t="s">
        <v>60</v>
      </c>
      <c r="Q480" s="2" t="s">
        <v>37</v>
      </c>
      <c r="R480" s="2" t="s">
        <v>38</v>
      </c>
    </row>
    <row r="481" spans="1:18" x14ac:dyDescent="0.3">
      <c r="A481" s="5" t="s">
        <v>1273</v>
      </c>
      <c r="B481" s="4">
        <v>44368</v>
      </c>
      <c r="C481" s="5" t="s">
        <v>1274</v>
      </c>
      <c r="D481" s="5" t="s">
        <v>558</v>
      </c>
      <c r="E481" s="5" t="s">
        <v>392</v>
      </c>
      <c r="F481" s="5" t="s">
        <v>33</v>
      </c>
      <c r="G481" s="5" t="s">
        <v>100</v>
      </c>
      <c r="H481" s="6">
        <v>1</v>
      </c>
      <c r="I481" s="6">
        <v>196.79</v>
      </c>
      <c r="J481" s="5">
        <v>0</v>
      </c>
      <c r="K481" s="6">
        <v>9.84</v>
      </c>
      <c r="L481" s="6">
        <v>12.51</v>
      </c>
      <c r="M481" s="6">
        <v>219.14</v>
      </c>
      <c r="N481" s="5" t="s">
        <v>35</v>
      </c>
      <c r="O481" s="5" t="s">
        <v>25</v>
      </c>
      <c r="P481" s="5" t="s">
        <v>133</v>
      </c>
      <c r="Q481" s="5" t="s">
        <v>134</v>
      </c>
      <c r="R481" s="5" t="s">
        <v>38</v>
      </c>
    </row>
    <row r="482" spans="1:18" x14ac:dyDescent="0.3">
      <c r="A482" s="2" t="s">
        <v>1275</v>
      </c>
      <c r="B482" s="1">
        <v>44751</v>
      </c>
      <c r="C482" s="2" t="s">
        <v>1276</v>
      </c>
      <c r="D482" s="2" t="s">
        <v>279</v>
      </c>
      <c r="E482" s="2" t="s">
        <v>177</v>
      </c>
      <c r="F482" s="2" t="s">
        <v>22</v>
      </c>
      <c r="G482" s="2" t="s">
        <v>23</v>
      </c>
      <c r="H482" s="3">
        <v>1</v>
      </c>
      <c r="I482" s="3">
        <v>521.70000000000005</v>
      </c>
      <c r="J482" s="2">
        <v>0.1</v>
      </c>
      <c r="K482" s="3">
        <v>0</v>
      </c>
      <c r="L482" s="3">
        <v>7.95</v>
      </c>
      <c r="M482" s="3">
        <v>477.48</v>
      </c>
      <c r="N482" s="2" t="s">
        <v>67</v>
      </c>
      <c r="O482" s="2" t="s">
        <v>25</v>
      </c>
      <c r="P482" s="2" t="s">
        <v>178</v>
      </c>
      <c r="Q482" s="2" t="s">
        <v>69</v>
      </c>
      <c r="R482" s="2" t="s">
        <v>28</v>
      </c>
    </row>
    <row r="483" spans="1:18" x14ac:dyDescent="0.3">
      <c r="A483" s="5" t="s">
        <v>1277</v>
      </c>
      <c r="B483" s="4">
        <v>44238</v>
      </c>
      <c r="C483" s="5" t="s">
        <v>1278</v>
      </c>
      <c r="D483" s="5" t="s">
        <v>877</v>
      </c>
      <c r="E483" s="5" t="s">
        <v>231</v>
      </c>
      <c r="F483" s="5" t="s">
        <v>81</v>
      </c>
      <c r="G483" s="5" t="s">
        <v>34</v>
      </c>
      <c r="H483" s="6">
        <v>1</v>
      </c>
      <c r="I483" s="6">
        <v>19.59</v>
      </c>
      <c r="J483" s="5">
        <v>0.1</v>
      </c>
      <c r="K483" s="6">
        <v>0.88</v>
      </c>
      <c r="L483" s="6">
        <v>1.9</v>
      </c>
      <c r="M483" s="6">
        <v>20.41</v>
      </c>
      <c r="N483" s="5" t="s">
        <v>58</v>
      </c>
      <c r="O483" s="5" t="s">
        <v>144</v>
      </c>
      <c r="P483" s="5" t="s">
        <v>101</v>
      </c>
      <c r="Q483" s="5" t="s">
        <v>102</v>
      </c>
      <c r="R483" s="5" t="s">
        <v>61</v>
      </c>
    </row>
    <row r="484" spans="1:18" x14ac:dyDescent="0.3">
      <c r="A484" s="2" t="s">
        <v>1279</v>
      </c>
      <c r="B484" s="1">
        <v>44355</v>
      </c>
      <c r="C484" s="2" t="s">
        <v>689</v>
      </c>
      <c r="D484" s="2" t="s">
        <v>41</v>
      </c>
      <c r="E484" s="2" t="s">
        <v>73</v>
      </c>
      <c r="F484" s="2" t="s">
        <v>33</v>
      </c>
      <c r="G484" s="2" t="s">
        <v>49</v>
      </c>
      <c r="H484" s="3">
        <v>3</v>
      </c>
      <c r="I484" s="3">
        <v>570.89</v>
      </c>
      <c r="J484" s="2">
        <v>0.05</v>
      </c>
      <c r="K484" s="3">
        <v>81.349999999999994</v>
      </c>
      <c r="L484" s="3">
        <v>8.56</v>
      </c>
      <c r="M484" s="3">
        <v>1716.95</v>
      </c>
      <c r="N484" s="2" t="s">
        <v>123</v>
      </c>
      <c r="O484" s="2" t="s">
        <v>25</v>
      </c>
      <c r="P484" s="2" t="s">
        <v>51</v>
      </c>
      <c r="Q484" s="2" t="s">
        <v>52</v>
      </c>
      <c r="R484" s="2" t="s">
        <v>38</v>
      </c>
    </row>
    <row r="485" spans="1:18" x14ac:dyDescent="0.3">
      <c r="A485" s="5" t="s">
        <v>1280</v>
      </c>
      <c r="B485" s="4">
        <v>44658</v>
      </c>
      <c r="C485" s="5" t="s">
        <v>1281</v>
      </c>
      <c r="D485" s="5" t="s">
        <v>327</v>
      </c>
      <c r="E485" s="5" t="s">
        <v>291</v>
      </c>
      <c r="F485" s="5" t="s">
        <v>89</v>
      </c>
      <c r="G485" s="5" t="s">
        <v>90</v>
      </c>
      <c r="H485" s="6">
        <v>2</v>
      </c>
      <c r="I485" s="6">
        <v>173.59</v>
      </c>
      <c r="J485" s="5">
        <v>0</v>
      </c>
      <c r="K485" s="6">
        <v>27.77</v>
      </c>
      <c r="L485" s="6">
        <v>5.12</v>
      </c>
      <c r="M485" s="6">
        <v>380.07</v>
      </c>
      <c r="N485" s="5" t="s">
        <v>58</v>
      </c>
      <c r="O485" s="5" t="s">
        <v>25</v>
      </c>
      <c r="P485" s="5" t="s">
        <v>178</v>
      </c>
      <c r="Q485" s="5" t="s">
        <v>69</v>
      </c>
      <c r="R485" s="5" t="s">
        <v>38</v>
      </c>
    </row>
    <row r="486" spans="1:18" x14ac:dyDescent="0.3">
      <c r="A486" s="2" t="s">
        <v>1282</v>
      </c>
      <c r="B486" s="1">
        <v>45360</v>
      </c>
      <c r="C486" s="2" t="s">
        <v>1283</v>
      </c>
      <c r="D486" s="2" t="s">
        <v>93</v>
      </c>
      <c r="E486" s="2" t="s">
        <v>256</v>
      </c>
      <c r="F486" s="2" t="s">
        <v>22</v>
      </c>
      <c r="G486" s="2" t="s">
        <v>198</v>
      </c>
      <c r="H486" s="3">
        <v>2</v>
      </c>
      <c r="I486" s="3">
        <v>421.75</v>
      </c>
      <c r="J486" s="2">
        <v>0.05</v>
      </c>
      <c r="K486" s="3">
        <v>64.11</v>
      </c>
      <c r="L486" s="3">
        <v>12.2</v>
      </c>
      <c r="M486" s="3">
        <v>877.64</v>
      </c>
      <c r="N486" s="2" t="s">
        <v>123</v>
      </c>
      <c r="O486" s="2" t="s">
        <v>25</v>
      </c>
      <c r="P486" s="2" t="s">
        <v>178</v>
      </c>
      <c r="Q486" s="2" t="s">
        <v>69</v>
      </c>
      <c r="R486" s="2" t="s">
        <v>38</v>
      </c>
    </row>
    <row r="487" spans="1:18" x14ac:dyDescent="0.3">
      <c r="A487" s="5" t="s">
        <v>1284</v>
      </c>
      <c r="B487" s="4">
        <v>44733</v>
      </c>
      <c r="C487" s="5" t="s">
        <v>1285</v>
      </c>
      <c r="D487" s="5" t="s">
        <v>731</v>
      </c>
      <c r="E487" s="5" t="s">
        <v>597</v>
      </c>
      <c r="F487" s="5" t="s">
        <v>22</v>
      </c>
      <c r="G487" s="5" t="s">
        <v>90</v>
      </c>
      <c r="H487" s="6">
        <v>2</v>
      </c>
      <c r="I487" s="6">
        <v>167.15</v>
      </c>
      <c r="J487" s="5">
        <v>0</v>
      </c>
      <c r="K487" s="6">
        <v>26.74</v>
      </c>
      <c r="L487" s="6">
        <v>1.77</v>
      </c>
      <c r="M487" s="6">
        <v>362.81</v>
      </c>
      <c r="N487" s="5" t="s">
        <v>58</v>
      </c>
      <c r="O487" s="5" t="s">
        <v>25</v>
      </c>
      <c r="P487" s="5" t="s">
        <v>60</v>
      </c>
      <c r="Q487" s="5" t="s">
        <v>37</v>
      </c>
      <c r="R487" s="5" t="s">
        <v>183</v>
      </c>
    </row>
    <row r="488" spans="1:18" x14ac:dyDescent="0.3">
      <c r="A488" s="2" t="s">
        <v>1286</v>
      </c>
      <c r="B488" s="1">
        <v>43866</v>
      </c>
      <c r="C488" s="2" t="s">
        <v>1287</v>
      </c>
      <c r="D488" s="2" t="s">
        <v>193</v>
      </c>
      <c r="E488" s="2" t="s">
        <v>111</v>
      </c>
      <c r="F488" s="2" t="s">
        <v>33</v>
      </c>
      <c r="G488" s="2" t="s">
        <v>203</v>
      </c>
      <c r="H488" s="3">
        <v>1</v>
      </c>
      <c r="I488" s="3">
        <v>88.21</v>
      </c>
      <c r="J488" s="2">
        <v>0.2</v>
      </c>
      <c r="K488" s="3">
        <v>3.53</v>
      </c>
      <c r="L488" s="3">
        <v>10.93</v>
      </c>
      <c r="M488" s="3">
        <v>85.03</v>
      </c>
      <c r="N488" s="2" t="s">
        <v>24</v>
      </c>
      <c r="O488" s="2" t="s">
        <v>25</v>
      </c>
      <c r="P488" s="2" t="s">
        <v>112</v>
      </c>
      <c r="Q488" s="2" t="s">
        <v>113</v>
      </c>
      <c r="R488" s="2" t="s">
        <v>38</v>
      </c>
    </row>
    <row r="489" spans="1:18" x14ac:dyDescent="0.3">
      <c r="A489" s="5" t="s">
        <v>1288</v>
      </c>
      <c r="B489" s="4">
        <v>44515</v>
      </c>
      <c r="C489" s="5" t="s">
        <v>1289</v>
      </c>
      <c r="D489" s="5" t="s">
        <v>1176</v>
      </c>
      <c r="E489" s="5" t="s">
        <v>202</v>
      </c>
      <c r="F489" s="5" t="s">
        <v>89</v>
      </c>
      <c r="G489" s="5" t="s">
        <v>100</v>
      </c>
      <c r="H489" s="6">
        <v>4</v>
      </c>
      <c r="I489" s="6">
        <v>178.94</v>
      </c>
      <c r="J489" s="5">
        <v>0</v>
      </c>
      <c r="K489" s="6">
        <v>128.84</v>
      </c>
      <c r="L489" s="6">
        <v>10.83</v>
      </c>
      <c r="M489" s="6">
        <v>855.43</v>
      </c>
      <c r="N489" s="5" t="s">
        <v>58</v>
      </c>
      <c r="O489" s="5" t="s">
        <v>25</v>
      </c>
      <c r="P489" s="5" t="s">
        <v>26</v>
      </c>
      <c r="Q489" s="5" t="s">
        <v>27</v>
      </c>
      <c r="R489" s="5" t="s">
        <v>38</v>
      </c>
    </row>
    <row r="490" spans="1:18" x14ac:dyDescent="0.3">
      <c r="A490" s="2" t="s">
        <v>1290</v>
      </c>
      <c r="B490" s="1">
        <v>43850</v>
      </c>
      <c r="C490" s="2" t="s">
        <v>1291</v>
      </c>
      <c r="D490" s="2" t="s">
        <v>916</v>
      </c>
      <c r="E490" s="2" t="s">
        <v>88</v>
      </c>
      <c r="F490" s="2" t="s">
        <v>143</v>
      </c>
      <c r="G490" s="2" t="s">
        <v>268</v>
      </c>
      <c r="H490" s="3">
        <v>3</v>
      </c>
      <c r="I490" s="3">
        <v>12.33</v>
      </c>
      <c r="J490" s="2">
        <v>0</v>
      </c>
      <c r="K490" s="3">
        <v>0</v>
      </c>
      <c r="L490" s="3">
        <v>4.63</v>
      </c>
      <c r="M490" s="3">
        <v>41.62</v>
      </c>
      <c r="N490" s="2" t="s">
        <v>58</v>
      </c>
      <c r="O490" s="2" t="s">
        <v>25</v>
      </c>
      <c r="P490" s="2" t="s">
        <v>74</v>
      </c>
      <c r="Q490" s="2" t="s">
        <v>75</v>
      </c>
      <c r="R490" s="2" t="s">
        <v>38</v>
      </c>
    </row>
    <row r="491" spans="1:18" x14ac:dyDescent="0.3">
      <c r="A491" s="5" t="s">
        <v>1292</v>
      </c>
      <c r="B491" s="4">
        <v>44151</v>
      </c>
      <c r="C491" s="5" t="s">
        <v>1293</v>
      </c>
      <c r="D491" s="5" t="s">
        <v>327</v>
      </c>
      <c r="E491" s="5" t="s">
        <v>577</v>
      </c>
      <c r="F491" s="5" t="s">
        <v>22</v>
      </c>
      <c r="G491" s="5" t="s">
        <v>203</v>
      </c>
      <c r="H491" s="6">
        <v>3</v>
      </c>
      <c r="I491" s="6">
        <v>381.52</v>
      </c>
      <c r="J491" s="5">
        <v>0</v>
      </c>
      <c r="K491" s="6">
        <v>57.23</v>
      </c>
      <c r="L491" s="6">
        <v>4.1900000000000004</v>
      </c>
      <c r="M491" s="6">
        <v>1205.98</v>
      </c>
      <c r="N491" s="5" t="s">
        <v>58</v>
      </c>
      <c r="O491" s="5" t="s">
        <v>59</v>
      </c>
      <c r="P491" s="5" t="s">
        <v>173</v>
      </c>
      <c r="Q491" s="5" t="s">
        <v>174</v>
      </c>
      <c r="R491" s="5" t="s">
        <v>38</v>
      </c>
    </row>
    <row r="492" spans="1:18" x14ac:dyDescent="0.3">
      <c r="A492" s="2" t="s">
        <v>1294</v>
      </c>
      <c r="B492" s="1">
        <v>45630</v>
      </c>
      <c r="C492" s="2" t="s">
        <v>1295</v>
      </c>
      <c r="D492" s="2" t="s">
        <v>921</v>
      </c>
      <c r="E492" s="2" t="s">
        <v>182</v>
      </c>
      <c r="F492" s="2" t="s">
        <v>43</v>
      </c>
      <c r="G492" s="2" t="s">
        <v>198</v>
      </c>
      <c r="H492" s="3">
        <v>5</v>
      </c>
      <c r="I492" s="3">
        <v>475.22</v>
      </c>
      <c r="J492" s="2">
        <v>0.1</v>
      </c>
      <c r="K492" s="3">
        <v>256.62</v>
      </c>
      <c r="L492" s="3">
        <v>11.58</v>
      </c>
      <c r="M492" s="3">
        <v>2406.69</v>
      </c>
      <c r="N492" s="2" t="s">
        <v>58</v>
      </c>
      <c r="O492" s="2" t="s">
        <v>107</v>
      </c>
      <c r="P492" s="2" t="s">
        <v>133</v>
      </c>
      <c r="Q492" s="2" t="s">
        <v>134</v>
      </c>
      <c r="R492" s="2" t="s">
        <v>76</v>
      </c>
    </row>
    <row r="493" spans="1:18" x14ac:dyDescent="0.3">
      <c r="A493" s="5" t="s">
        <v>1296</v>
      </c>
      <c r="B493" s="4">
        <v>44342</v>
      </c>
      <c r="C493" s="5" t="s">
        <v>1297</v>
      </c>
      <c r="D493" s="5" t="s">
        <v>477</v>
      </c>
      <c r="E493" s="5" t="s">
        <v>48</v>
      </c>
      <c r="F493" s="5" t="s">
        <v>22</v>
      </c>
      <c r="G493" s="5" t="s">
        <v>268</v>
      </c>
      <c r="H493" s="6">
        <v>3</v>
      </c>
      <c r="I493" s="6">
        <v>5.3</v>
      </c>
      <c r="J493" s="5">
        <v>0.05</v>
      </c>
      <c r="K493" s="6">
        <v>0.76</v>
      </c>
      <c r="L493" s="6">
        <v>4.6100000000000003</v>
      </c>
      <c r="M493" s="6">
        <v>20.47</v>
      </c>
      <c r="N493" s="5" t="s">
        <v>24</v>
      </c>
      <c r="O493" s="5" t="s">
        <v>25</v>
      </c>
      <c r="P493" s="5" t="s">
        <v>74</v>
      </c>
      <c r="Q493" s="5" t="s">
        <v>75</v>
      </c>
      <c r="R493" s="5" t="s">
        <v>38</v>
      </c>
    </row>
    <row r="494" spans="1:18" x14ac:dyDescent="0.3">
      <c r="A494" s="2" t="s">
        <v>1298</v>
      </c>
      <c r="B494" s="1">
        <v>44230</v>
      </c>
      <c r="C494" s="2" t="s">
        <v>1299</v>
      </c>
      <c r="D494" s="2" t="s">
        <v>791</v>
      </c>
      <c r="E494" s="2" t="s">
        <v>138</v>
      </c>
      <c r="F494" s="2" t="s">
        <v>81</v>
      </c>
      <c r="G494" s="2" t="s">
        <v>268</v>
      </c>
      <c r="H494" s="3">
        <v>2</v>
      </c>
      <c r="I494" s="3">
        <v>348.26</v>
      </c>
      <c r="J494" s="2">
        <v>0.2</v>
      </c>
      <c r="K494" s="3">
        <v>66.87</v>
      </c>
      <c r="L494" s="3">
        <v>1.02</v>
      </c>
      <c r="M494" s="3">
        <v>625.11</v>
      </c>
      <c r="N494" s="2" t="s">
        <v>24</v>
      </c>
      <c r="O494" s="2" t="s">
        <v>25</v>
      </c>
      <c r="P494" s="2" t="s">
        <v>26</v>
      </c>
      <c r="Q494" s="2" t="s">
        <v>27</v>
      </c>
      <c r="R494" s="2" t="s">
        <v>38</v>
      </c>
    </row>
    <row r="495" spans="1:18" x14ac:dyDescent="0.3">
      <c r="A495" s="5" t="s">
        <v>1300</v>
      </c>
      <c r="B495" s="4">
        <v>44484</v>
      </c>
      <c r="C495" s="5" t="s">
        <v>1301</v>
      </c>
      <c r="D495" s="5" t="s">
        <v>421</v>
      </c>
      <c r="E495" s="5" t="s">
        <v>122</v>
      </c>
      <c r="F495" s="5" t="s">
        <v>143</v>
      </c>
      <c r="G495" s="5" t="s">
        <v>203</v>
      </c>
      <c r="H495" s="6">
        <v>2</v>
      </c>
      <c r="I495" s="6">
        <v>247.81</v>
      </c>
      <c r="J495" s="5">
        <v>0.15</v>
      </c>
      <c r="K495" s="6">
        <v>21.06</v>
      </c>
      <c r="L495" s="6">
        <v>1.38</v>
      </c>
      <c r="M495" s="6">
        <v>443.72</v>
      </c>
      <c r="N495" s="5" t="s">
        <v>24</v>
      </c>
      <c r="O495" s="5" t="s">
        <v>25</v>
      </c>
      <c r="P495" s="5" t="s">
        <v>117</v>
      </c>
      <c r="Q495" s="5" t="s">
        <v>118</v>
      </c>
      <c r="R495" s="5" t="s">
        <v>38</v>
      </c>
    </row>
    <row r="496" spans="1:18" x14ac:dyDescent="0.3">
      <c r="A496" s="2" t="s">
        <v>1302</v>
      </c>
      <c r="B496" s="1">
        <v>44802</v>
      </c>
      <c r="C496" s="2" t="s">
        <v>1303</v>
      </c>
      <c r="D496" s="2" t="s">
        <v>804</v>
      </c>
      <c r="E496" s="2" t="s">
        <v>106</v>
      </c>
      <c r="F496" s="2" t="s">
        <v>33</v>
      </c>
      <c r="G496" s="2" t="s">
        <v>268</v>
      </c>
      <c r="H496" s="3">
        <v>2</v>
      </c>
      <c r="I496" s="3">
        <v>442.68</v>
      </c>
      <c r="J496" s="2">
        <v>0</v>
      </c>
      <c r="K496" s="3">
        <v>0</v>
      </c>
      <c r="L496" s="3">
        <v>8.41</v>
      </c>
      <c r="M496" s="3">
        <v>893.77</v>
      </c>
      <c r="N496" s="2" t="s">
        <v>58</v>
      </c>
      <c r="O496" s="2" t="s">
        <v>25</v>
      </c>
      <c r="P496" s="2" t="s">
        <v>124</v>
      </c>
      <c r="Q496" s="2" t="s">
        <v>125</v>
      </c>
      <c r="R496" s="2" t="s">
        <v>38</v>
      </c>
    </row>
    <row r="497" spans="1:18" x14ac:dyDescent="0.3">
      <c r="A497" s="5" t="s">
        <v>1304</v>
      </c>
      <c r="B497" s="4">
        <v>44301</v>
      </c>
      <c r="C497" s="5" t="s">
        <v>1305</v>
      </c>
      <c r="D497" s="5" t="s">
        <v>589</v>
      </c>
      <c r="E497" s="5" t="s">
        <v>324</v>
      </c>
      <c r="F497" s="5" t="s">
        <v>33</v>
      </c>
      <c r="G497" s="5" t="s">
        <v>198</v>
      </c>
      <c r="H497" s="6">
        <v>4</v>
      </c>
      <c r="I497" s="6">
        <v>99.57</v>
      </c>
      <c r="J497" s="5">
        <v>0.1</v>
      </c>
      <c r="K497" s="6">
        <v>28.68</v>
      </c>
      <c r="L497" s="6">
        <v>0.28000000000000003</v>
      </c>
      <c r="M497" s="6">
        <v>387.41</v>
      </c>
      <c r="N497" s="5" t="s">
        <v>58</v>
      </c>
      <c r="O497" s="5" t="s">
        <v>25</v>
      </c>
      <c r="P497" s="5" t="s">
        <v>95</v>
      </c>
      <c r="Q497" s="5" t="s">
        <v>37</v>
      </c>
      <c r="R497" s="5" t="s">
        <v>28</v>
      </c>
    </row>
    <row r="498" spans="1:18" x14ac:dyDescent="0.3">
      <c r="A498" s="2" t="s">
        <v>1306</v>
      </c>
      <c r="B498" s="1">
        <v>44997</v>
      </c>
      <c r="C498" s="2" t="s">
        <v>1307</v>
      </c>
      <c r="D498" s="2" t="s">
        <v>1189</v>
      </c>
      <c r="E498" s="2" t="s">
        <v>349</v>
      </c>
      <c r="F498" s="2" t="s">
        <v>22</v>
      </c>
      <c r="G498" s="2" t="s">
        <v>203</v>
      </c>
      <c r="H498" s="3">
        <v>4</v>
      </c>
      <c r="I498" s="3">
        <v>231.07</v>
      </c>
      <c r="J498" s="2">
        <v>0</v>
      </c>
      <c r="K498" s="3">
        <v>73.94</v>
      </c>
      <c r="L498" s="3">
        <v>4.72</v>
      </c>
      <c r="M498" s="3">
        <v>1002.94</v>
      </c>
      <c r="N498" s="2" t="s">
        <v>24</v>
      </c>
      <c r="O498" s="2" t="s">
        <v>25</v>
      </c>
      <c r="P498" s="2" t="s">
        <v>83</v>
      </c>
      <c r="Q498" s="2" t="s">
        <v>84</v>
      </c>
      <c r="R498" s="2" t="s">
        <v>38</v>
      </c>
    </row>
    <row r="499" spans="1:18" x14ac:dyDescent="0.3">
      <c r="A499" s="5" t="s">
        <v>1308</v>
      </c>
      <c r="B499" s="4">
        <v>44946</v>
      </c>
      <c r="C499" s="5" t="s">
        <v>1309</v>
      </c>
      <c r="D499" s="5" t="s">
        <v>921</v>
      </c>
      <c r="E499" s="5" t="s">
        <v>32</v>
      </c>
      <c r="F499" s="5" t="s">
        <v>22</v>
      </c>
      <c r="G499" s="5" t="s">
        <v>268</v>
      </c>
      <c r="H499" s="6">
        <v>3</v>
      </c>
      <c r="I499" s="6">
        <v>514.01</v>
      </c>
      <c r="J499" s="5">
        <v>0.05</v>
      </c>
      <c r="K499" s="6">
        <v>117.19</v>
      </c>
      <c r="L499" s="6">
        <v>5.0599999999999996</v>
      </c>
      <c r="M499" s="6">
        <v>1587.18</v>
      </c>
      <c r="N499" s="5" t="s">
        <v>123</v>
      </c>
      <c r="O499" s="5" t="s">
        <v>25</v>
      </c>
      <c r="P499" s="5" t="s">
        <v>51</v>
      </c>
      <c r="Q499" s="5" t="s">
        <v>52</v>
      </c>
      <c r="R499" s="5" t="s">
        <v>38</v>
      </c>
    </row>
    <row r="500" spans="1:18" x14ac:dyDescent="0.3">
      <c r="A500" s="2" t="s">
        <v>1310</v>
      </c>
      <c r="B500" s="1">
        <v>45208</v>
      </c>
      <c r="C500" s="2" t="s">
        <v>1311</v>
      </c>
      <c r="D500" s="2" t="s">
        <v>1312</v>
      </c>
      <c r="E500" s="2" t="s">
        <v>271</v>
      </c>
      <c r="F500" s="2" t="s">
        <v>143</v>
      </c>
      <c r="G500" s="2" t="s">
        <v>34</v>
      </c>
      <c r="H500" s="3">
        <v>5</v>
      </c>
      <c r="I500" s="3">
        <v>181.03</v>
      </c>
      <c r="J500" s="2">
        <v>0.05</v>
      </c>
      <c r="K500" s="3">
        <v>68.790000000000006</v>
      </c>
      <c r="L500" s="3">
        <v>8.75</v>
      </c>
      <c r="M500" s="3">
        <v>937.43</v>
      </c>
      <c r="N500" s="2" t="s">
        <v>123</v>
      </c>
      <c r="O500" s="2" t="s">
        <v>25</v>
      </c>
      <c r="P500" s="2" t="s">
        <v>101</v>
      </c>
      <c r="Q500" s="2" t="s">
        <v>102</v>
      </c>
      <c r="R500" s="2" t="s">
        <v>38</v>
      </c>
    </row>
    <row r="501" spans="1:18" x14ac:dyDescent="0.3">
      <c r="A501" s="5" t="s">
        <v>1313</v>
      </c>
      <c r="B501" s="4">
        <v>44664</v>
      </c>
      <c r="C501" s="5" t="s">
        <v>1314</v>
      </c>
      <c r="D501" s="5" t="s">
        <v>116</v>
      </c>
      <c r="E501" s="5" t="s">
        <v>597</v>
      </c>
      <c r="F501" s="5" t="s">
        <v>89</v>
      </c>
      <c r="G501" s="5" t="s">
        <v>34</v>
      </c>
      <c r="H501" s="6">
        <v>5</v>
      </c>
      <c r="I501" s="6">
        <v>214.2</v>
      </c>
      <c r="J501" s="5">
        <v>0.2</v>
      </c>
      <c r="K501" s="6">
        <v>154.22</v>
      </c>
      <c r="L501" s="6">
        <v>8.69</v>
      </c>
      <c r="M501" s="6">
        <v>1019.71</v>
      </c>
      <c r="N501" s="5" t="s">
        <v>58</v>
      </c>
      <c r="O501" s="5" t="s">
        <v>25</v>
      </c>
      <c r="P501" s="5" t="s">
        <v>26</v>
      </c>
      <c r="Q501" s="5" t="s">
        <v>27</v>
      </c>
      <c r="R501" s="5" t="s">
        <v>38</v>
      </c>
    </row>
    <row r="502" spans="1:18" x14ac:dyDescent="0.3">
      <c r="A502" s="2" t="s">
        <v>1315</v>
      </c>
      <c r="B502" s="1">
        <v>45654</v>
      </c>
      <c r="C502" s="2" t="s">
        <v>1316</v>
      </c>
      <c r="D502" s="2" t="s">
        <v>1173</v>
      </c>
      <c r="E502" s="2" t="s">
        <v>160</v>
      </c>
      <c r="F502" s="2" t="s">
        <v>89</v>
      </c>
      <c r="G502" s="2" t="s">
        <v>100</v>
      </c>
      <c r="H502" s="3">
        <v>2</v>
      </c>
      <c r="I502" s="3">
        <v>512.67999999999995</v>
      </c>
      <c r="J502" s="2">
        <v>0</v>
      </c>
      <c r="K502" s="3">
        <v>123.04</v>
      </c>
      <c r="L502" s="3">
        <v>2.95</v>
      </c>
      <c r="M502" s="3">
        <v>1151.3499999999999</v>
      </c>
      <c r="N502" s="2" t="s">
        <v>24</v>
      </c>
      <c r="O502" s="2" t="s">
        <v>25</v>
      </c>
      <c r="P502" s="2" t="s">
        <v>112</v>
      </c>
      <c r="Q502" s="2" t="s">
        <v>113</v>
      </c>
      <c r="R502" s="2" t="s">
        <v>28</v>
      </c>
    </row>
    <row r="503" spans="1:18" x14ac:dyDescent="0.3">
      <c r="A503" s="5" t="s">
        <v>1317</v>
      </c>
      <c r="B503" s="4">
        <v>44557</v>
      </c>
      <c r="C503" s="5" t="s">
        <v>1318</v>
      </c>
      <c r="D503" s="5" t="s">
        <v>424</v>
      </c>
      <c r="E503" s="5" t="s">
        <v>169</v>
      </c>
      <c r="F503" s="5" t="s">
        <v>143</v>
      </c>
      <c r="G503" s="5" t="s">
        <v>198</v>
      </c>
      <c r="H503" s="6">
        <v>5</v>
      </c>
      <c r="I503" s="6">
        <v>385.04</v>
      </c>
      <c r="J503" s="5">
        <v>0</v>
      </c>
      <c r="K503" s="6">
        <v>96.26</v>
      </c>
      <c r="L503" s="6">
        <v>1.42</v>
      </c>
      <c r="M503" s="6">
        <v>2022.88</v>
      </c>
      <c r="N503" s="5" t="s">
        <v>24</v>
      </c>
      <c r="O503" s="5" t="s">
        <v>107</v>
      </c>
      <c r="P503" s="5" t="s">
        <v>112</v>
      </c>
      <c r="Q503" s="5" t="s">
        <v>113</v>
      </c>
      <c r="R503" s="5" t="s">
        <v>38</v>
      </c>
    </row>
    <row r="504" spans="1:18" x14ac:dyDescent="0.3">
      <c r="A504" s="2" t="s">
        <v>1319</v>
      </c>
      <c r="B504" s="1">
        <v>44684</v>
      </c>
      <c r="C504" s="2" t="s">
        <v>1320</v>
      </c>
      <c r="D504" s="2" t="s">
        <v>497</v>
      </c>
      <c r="E504" s="2" t="s">
        <v>142</v>
      </c>
      <c r="F504" s="2" t="s">
        <v>81</v>
      </c>
      <c r="G504" s="2" t="s">
        <v>57</v>
      </c>
      <c r="H504" s="3">
        <v>2</v>
      </c>
      <c r="I504" s="3">
        <v>342.87</v>
      </c>
      <c r="J504" s="2">
        <v>0.05</v>
      </c>
      <c r="K504" s="3">
        <v>52.12</v>
      </c>
      <c r="L504" s="3">
        <v>1.57</v>
      </c>
      <c r="M504" s="3">
        <v>705.14</v>
      </c>
      <c r="N504" s="2" t="s">
        <v>123</v>
      </c>
      <c r="O504" s="2" t="s">
        <v>25</v>
      </c>
      <c r="P504" s="2" t="s">
        <v>165</v>
      </c>
      <c r="Q504" s="2" t="s">
        <v>37</v>
      </c>
      <c r="R504" s="2" t="s">
        <v>38</v>
      </c>
    </row>
    <row r="505" spans="1:18" x14ac:dyDescent="0.3">
      <c r="A505" s="5" t="s">
        <v>1321</v>
      </c>
      <c r="B505" s="4">
        <v>43881</v>
      </c>
      <c r="C505" s="5" t="s">
        <v>1322</v>
      </c>
      <c r="D505" s="5" t="s">
        <v>159</v>
      </c>
      <c r="E505" s="5" t="s">
        <v>80</v>
      </c>
      <c r="F505" s="5" t="s">
        <v>89</v>
      </c>
      <c r="G505" s="5" t="s">
        <v>198</v>
      </c>
      <c r="H505" s="6">
        <v>2</v>
      </c>
      <c r="I505" s="6">
        <v>14.71</v>
      </c>
      <c r="J505" s="5">
        <v>0</v>
      </c>
      <c r="K505" s="6">
        <v>2.35</v>
      </c>
      <c r="L505" s="6">
        <v>4.47</v>
      </c>
      <c r="M505" s="6">
        <v>36.24</v>
      </c>
      <c r="N505" s="5" t="s">
        <v>67</v>
      </c>
      <c r="O505" s="5" t="s">
        <v>25</v>
      </c>
      <c r="P505" s="5" t="s">
        <v>26</v>
      </c>
      <c r="Q505" s="5" t="s">
        <v>27</v>
      </c>
      <c r="R505" s="5" t="s">
        <v>38</v>
      </c>
    </row>
    <row r="506" spans="1:18" x14ac:dyDescent="0.3">
      <c r="A506" s="2" t="s">
        <v>1323</v>
      </c>
      <c r="B506" s="1">
        <v>45519</v>
      </c>
      <c r="C506" s="2" t="s">
        <v>1324</v>
      </c>
      <c r="D506" s="2" t="s">
        <v>1025</v>
      </c>
      <c r="E506" s="2" t="s">
        <v>169</v>
      </c>
      <c r="F506" s="2" t="s">
        <v>43</v>
      </c>
      <c r="G506" s="2" t="s">
        <v>100</v>
      </c>
      <c r="H506" s="3">
        <v>4</v>
      </c>
      <c r="I506" s="3">
        <v>95.35</v>
      </c>
      <c r="J506" s="2">
        <v>0</v>
      </c>
      <c r="K506" s="3">
        <v>19.07</v>
      </c>
      <c r="L506" s="3">
        <v>9.8000000000000007</v>
      </c>
      <c r="M506" s="3">
        <v>410.27</v>
      </c>
      <c r="N506" s="2" t="s">
        <v>24</v>
      </c>
      <c r="O506" s="2" t="s">
        <v>25</v>
      </c>
      <c r="P506" s="2" t="s">
        <v>117</v>
      </c>
      <c r="Q506" s="2" t="s">
        <v>118</v>
      </c>
      <c r="R506" s="2" t="s">
        <v>76</v>
      </c>
    </row>
    <row r="507" spans="1:18" x14ac:dyDescent="0.3">
      <c r="A507" s="5" t="s">
        <v>1325</v>
      </c>
      <c r="B507" s="4">
        <v>45552</v>
      </c>
      <c r="C507" s="5" t="s">
        <v>1326</v>
      </c>
      <c r="D507" s="5" t="s">
        <v>1312</v>
      </c>
      <c r="E507" s="5" t="s">
        <v>256</v>
      </c>
      <c r="F507" s="5" t="s">
        <v>33</v>
      </c>
      <c r="G507" s="5" t="s">
        <v>66</v>
      </c>
      <c r="H507" s="6">
        <v>4</v>
      </c>
      <c r="I507" s="6">
        <v>128.54</v>
      </c>
      <c r="J507" s="5">
        <v>0</v>
      </c>
      <c r="K507" s="6">
        <v>25.71</v>
      </c>
      <c r="L507" s="6">
        <v>7.28</v>
      </c>
      <c r="M507" s="6">
        <v>547.15</v>
      </c>
      <c r="N507" s="5" t="s">
        <v>50</v>
      </c>
      <c r="O507" s="5" t="s">
        <v>25</v>
      </c>
      <c r="P507" s="5" t="s">
        <v>44</v>
      </c>
      <c r="Q507" s="5" t="s">
        <v>37</v>
      </c>
      <c r="R507" s="5" t="s">
        <v>38</v>
      </c>
    </row>
    <row r="508" spans="1:18" x14ac:dyDescent="0.3">
      <c r="A508" s="2" t="s">
        <v>1327</v>
      </c>
      <c r="B508" s="1">
        <v>44405</v>
      </c>
      <c r="C508" s="2" t="s">
        <v>1328</v>
      </c>
      <c r="D508" s="2" t="s">
        <v>1329</v>
      </c>
      <c r="E508" s="2" t="s">
        <v>138</v>
      </c>
      <c r="F508" s="2" t="s">
        <v>81</v>
      </c>
      <c r="G508" s="2" t="s">
        <v>66</v>
      </c>
      <c r="H508" s="3">
        <v>1</v>
      </c>
      <c r="I508" s="3">
        <v>345.37</v>
      </c>
      <c r="J508" s="2">
        <v>0.05</v>
      </c>
      <c r="K508" s="3">
        <v>26.25</v>
      </c>
      <c r="L508" s="3">
        <v>7.68</v>
      </c>
      <c r="M508" s="3">
        <v>362.03</v>
      </c>
      <c r="N508" s="2" t="s">
        <v>24</v>
      </c>
      <c r="O508" s="2" t="s">
        <v>82</v>
      </c>
      <c r="P508" s="2" t="s">
        <v>112</v>
      </c>
      <c r="Q508" s="2" t="s">
        <v>113</v>
      </c>
      <c r="R508" s="2" t="s">
        <v>28</v>
      </c>
    </row>
    <row r="509" spans="1:18" x14ac:dyDescent="0.3">
      <c r="A509" s="5" t="s">
        <v>1330</v>
      </c>
      <c r="B509" s="4">
        <v>45044</v>
      </c>
      <c r="C509" s="5" t="s">
        <v>444</v>
      </c>
      <c r="D509" s="5" t="s">
        <v>201</v>
      </c>
      <c r="E509" s="5" t="s">
        <v>142</v>
      </c>
      <c r="F509" s="5" t="s">
        <v>43</v>
      </c>
      <c r="G509" s="5" t="s">
        <v>100</v>
      </c>
      <c r="H509" s="6">
        <v>1</v>
      </c>
      <c r="I509" s="6">
        <v>478.42</v>
      </c>
      <c r="J509" s="5">
        <v>0</v>
      </c>
      <c r="K509" s="6">
        <v>57.41</v>
      </c>
      <c r="L509" s="6">
        <v>3.92</v>
      </c>
      <c r="M509" s="6">
        <v>539.75</v>
      </c>
      <c r="N509" s="5" t="s">
        <v>35</v>
      </c>
      <c r="O509" s="5" t="s">
        <v>25</v>
      </c>
      <c r="P509" s="5" t="s">
        <v>44</v>
      </c>
      <c r="Q509" s="5" t="s">
        <v>37</v>
      </c>
      <c r="R509" s="5" t="s">
        <v>38</v>
      </c>
    </row>
    <row r="510" spans="1:18" x14ac:dyDescent="0.3">
      <c r="A510" s="2" t="s">
        <v>1331</v>
      </c>
      <c r="B510" s="1">
        <v>44979</v>
      </c>
      <c r="C510" s="2" t="s">
        <v>1332</v>
      </c>
      <c r="D510" s="2" t="s">
        <v>79</v>
      </c>
      <c r="E510" s="2" t="s">
        <v>437</v>
      </c>
      <c r="F510" s="2" t="s">
        <v>81</v>
      </c>
      <c r="G510" s="2" t="s">
        <v>268</v>
      </c>
      <c r="H510" s="3">
        <v>1</v>
      </c>
      <c r="I510" s="3">
        <v>127.81</v>
      </c>
      <c r="J510" s="2">
        <v>0</v>
      </c>
      <c r="K510" s="3">
        <v>10.220000000000001</v>
      </c>
      <c r="L510" s="3">
        <v>4.1100000000000003</v>
      </c>
      <c r="M510" s="3">
        <v>142.13999999999999</v>
      </c>
      <c r="N510" s="2" t="s">
        <v>35</v>
      </c>
      <c r="O510" s="2" t="s">
        <v>25</v>
      </c>
      <c r="P510" s="2" t="s">
        <v>95</v>
      </c>
      <c r="Q510" s="2" t="s">
        <v>37</v>
      </c>
      <c r="R510" s="2" t="s">
        <v>38</v>
      </c>
    </row>
    <row r="511" spans="1:18" x14ac:dyDescent="0.3">
      <c r="A511" s="5" t="s">
        <v>1333</v>
      </c>
      <c r="B511" s="4">
        <v>43980</v>
      </c>
      <c r="C511" s="5" t="s">
        <v>1334</v>
      </c>
      <c r="D511" s="5" t="s">
        <v>266</v>
      </c>
      <c r="E511" s="5" t="s">
        <v>132</v>
      </c>
      <c r="F511" s="5" t="s">
        <v>33</v>
      </c>
      <c r="G511" s="5" t="s">
        <v>34</v>
      </c>
      <c r="H511" s="6">
        <v>3</v>
      </c>
      <c r="I511" s="6">
        <v>86.48</v>
      </c>
      <c r="J511" s="5">
        <v>0.05</v>
      </c>
      <c r="K511" s="6">
        <v>12.32</v>
      </c>
      <c r="L511" s="6">
        <v>3.55</v>
      </c>
      <c r="M511" s="6">
        <v>262.33999999999997</v>
      </c>
      <c r="N511" s="5" t="s">
        <v>123</v>
      </c>
      <c r="O511" s="5" t="s">
        <v>25</v>
      </c>
      <c r="P511" s="5" t="s">
        <v>257</v>
      </c>
      <c r="Q511" s="5" t="s">
        <v>69</v>
      </c>
      <c r="R511" s="5" t="s">
        <v>38</v>
      </c>
    </row>
    <row r="512" spans="1:18" x14ac:dyDescent="0.3">
      <c r="A512" s="2" t="s">
        <v>1335</v>
      </c>
      <c r="B512" s="1">
        <v>44144</v>
      </c>
      <c r="C512" s="2" t="s">
        <v>1336</v>
      </c>
      <c r="D512" s="2" t="s">
        <v>531</v>
      </c>
      <c r="E512" s="2" t="s">
        <v>156</v>
      </c>
      <c r="F512" s="2" t="s">
        <v>81</v>
      </c>
      <c r="G512" s="2" t="s">
        <v>66</v>
      </c>
      <c r="H512" s="3">
        <v>5</v>
      </c>
      <c r="I512" s="3">
        <v>96.58</v>
      </c>
      <c r="J512" s="2">
        <v>0</v>
      </c>
      <c r="K512" s="3">
        <v>38.630000000000003</v>
      </c>
      <c r="L512" s="3">
        <v>6.68</v>
      </c>
      <c r="M512" s="3">
        <v>528.21</v>
      </c>
      <c r="N512" s="2" t="s">
        <v>24</v>
      </c>
      <c r="O512" s="2" t="s">
        <v>25</v>
      </c>
      <c r="P512" s="2" t="s">
        <v>60</v>
      </c>
      <c r="Q512" s="2" t="s">
        <v>37</v>
      </c>
      <c r="R512" s="2" t="s">
        <v>76</v>
      </c>
    </row>
    <row r="513" spans="1:18" x14ac:dyDescent="0.3">
      <c r="A513" s="5" t="s">
        <v>1337</v>
      </c>
      <c r="B513" s="4">
        <v>44400</v>
      </c>
      <c r="C513" s="5" t="s">
        <v>1338</v>
      </c>
      <c r="D513" s="5" t="s">
        <v>410</v>
      </c>
      <c r="E513" s="5" t="s">
        <v>132</v>
      </c>
      <c r="F513" s="5" t="s">
        <v>89</v>
      </c>
      <c r="G513" s="5" t="s">
        <v>23</v>
      </c>
      <c r="H513" s="6">
        <v>1</v>
      </c>
      <c r="I513" s="6">
        <v>169.23</v>
      </c>
      <c r="J513" s="5">
        <v>0.05</v>
      </c>
      <c r="K513" s="6">
        <v>8.0399999999999991</v>
      </c>
      <c r="L513" s="6">
        <v>2.9</v>
      </c>
      <c r="M513" s="6">
        <v>171.71</v>
      </c>
      <c r="N513" s="5" t="s">
        <v>58</v>
      </c>
      <c r="O513" s="5" t="s">
        <v>107</v>
      </c>
      <c r="P513" s="5" t="s">
        <v>68</v>
      </c>
      <c r="Q513" s="5" t="s">
        <v>69</v>
      </c>
      <c r="R513" s="5" t="s">
        <v>38</v>
      </c>
    </row>
    <row r="514" spans="1:18" x14ac:dyDescent="0.3">
      <c r="A514" s="2" t="s">
        <v>1339</v>
      </c>
      <c r="B514" s="1">
        <v>45196</v>
      </c>
      <c r="C514" s="2" t="s">
        <v>1340</v>
      </c>
      <c r="D514" s="2" t="s">
        <v>249</v>
      </c>
      <c r="E514" s="2" t="s">
        <v>425</v>
      </c>
      <c r="F514" s="2" t="s">
        <v>143</v>
      </c>
      <c r="G514" s="2" t="s">
        <v>57</v>
      </c>
      <c r="H514" s="3">
        <v>2</v>
      </c>
      <c r="I514" s="3">
        <v>145.09</v>
      </c>
      <c r="J514" s="2">
        <v>0.3</v>
      </c>
      <c r="K514" s="3">
        <v>16.25</v>
      </c>
      <c r="L514" s="3">
        <v>9.67</v>
      </c>
      <c r="M514" s="3">
        <v>229.05</v>
      </c>
      <c r="N514" s="2" t="s">
        <v>24</v>
      </c>
      <c r="O514" s="2" t="s">
        <v>25</v>
      </c>
      <c r="P514" s="2" t="s">
        <v>36</v>
      </c>
      <c r="Q514" s="2" t="s">
        <v>37</v>
      </c>
      <c r="R514" s="2" t="s">
        <v>38</v>
      </c>
    </row>
    <row r="515" spans="1:18" x14ac:dyDescent="0.3">
      <c r="A515" s="5" t="s">
        <v>1341</v>
      </c>
      <c r="B515" s="4">
        <v>44135</v>
      </c>
      <c r="C515" s="5" t="s">
        <v>1342</v>
      </c>
      <c r="D515" s="5" t="s">
        <v>555</v>
      </c>
      <c r="E515" s="5" t="s">
        <v>132</v>
      </c>
      <c r="F515" s="5" t="s">
        <v>43</v>
      </c>
      <c r="G515" s="5" t="s">
        <v>268</v>
      </c>
      <c r="H515" s="6">
        <v>3</v>
      </c>
      <c r="I515" s="6">
        <v>313.08</v>
      </c>
      <c r="J515" s="5">
        <v>0</v>
      </c>
      <c r="K515" s="6">
        <v>46.96</v>
      </c>
      <c r="L515" s="6">
        <v>2.29</v>
      </c>
      <c r="M515" s="6">
        <v>988.49</v>
      </c>
      <c r="N515" s="5" t="s">
        <v>67</v>
      </c>
      <c r="O515" s="5" t="s">
        <v>107</v>
      </c>
      <c r="P515" s="5" t="s">
        <v>68</v>
      </c>
      <c r="Q515" s="5" t="s">
        <v>69</v>
      </c>
      <c r="R515" s="5" t="s">
        <v>38</v>
      </c>
    </row>
    <row r="516" spans="1:18" x14ac:dyDescent="0.3">
      <c r="A516" s="2" t="s">
        <v>1343</v>
      </c>
      <c r="B516" s="1">
        <v>45546</v>
      </c>
      <c r="C516" s="2" t="s">
        <v>1344</v>
      </c>
      <c r="D516" s="2" t="s">
        <v>346</v>
      </c>
      <c r="E516" s="2" t="s">
        <v>267</v>
      </c>
      <c r="F516" s="2" t="s">
        <v>89</v>
      </c>
      <c r="G516" s="2" t="s">
        <v>23</v>
      </c>
      <c r="H516" s="3">
        <v>5</v>
      </c>
      <c r="I516" s="3">
        <v>210.72</v>
      </c>
      <c r="J516" s="2">
        <v>0.05</v>
      </c>
      <c r="K516" s="3">
        <v>180.17</v>
      </c>
      <c r="L516" s="3">
        <v>2.68</v>
      </c>
      <c r="M516" s="3">
        <v>1183.77</v>
      </c>
      <c r="N516" s="2" t="s">
        <v>35</v>
      </c>
      <c r="O516" s="2" t="s">
        <v>25</v>
      </c>
      <c r="P516" s="2" t="s">
        <v>173</v>
      </c>
      <c r="Q516" s="2" t="s">
        <v>174</v>
      </c>
      <c r="R516" s="2" t="s">
        <v>38</v>
      </c>
    </row>
    <row r="517" spans="1:18" x14ac:dyDescent="0.3">
      <c r="A517" s="5" t="s">
        <v>1345</v>
      </c>
      <c r="B517" s="4">
        <v>44512</v>
      </c>
      <c r="C517" s="5" t="s">
        <v>1346</v>
      </c>
      <c r="D517" s="5" t="s">
        <v>276</v>
      </c>
      <c r="E517" s="5" t="s">
        <v>271</v>
      </c>
      <c r="F517" s="5" t="s">
        <v>143</v>
      </c>
      <c r="G517" s="5" t="s">
        <v>203</v>
      </c>
      <c r="H517" s="6">
        <v>1</v>
      </c>
      <c r="I517" s="6">
        <v>147.57</v>
      </c>
      <c r="J517" s="5">
        <v>0.1</v>
      </c>
      <c r="K517" s="6">
        <v>6.64</v>
      </c>
      <c r="L517" s="6">
        <v>1.35</v>
      </c>
      <c r="M517" s="6">
        <v>140.80000000000001</v>
      </c>
      <c r="N517" s="5" t="s">
        <v>24</v>
      </c>
      <c r="O517" s="5" t="s">
        <v>25</v>
      </c>
      <c r="P517" s="5" t="s">
        <v>26</v>
      </c>
      <c r="Q517" s="5" t="s">
        <v>27</v>
      </c>
      <c r="R517" s="5" t="s">
        <v>38</v>
      </c>
    </row>
    <row r="518" spans="1:18" x14ac:dyDescent="0.3">
      <c r="A518" s="2" t="s">
        <v>1347</v>
      </c>
      <c r="B518" s="1">
        <v>44668</v>
      </c>
      <c r="C518" s="2" t="s">
        <v>1348</v>
      </c>
      <c r="D518" s="2" t="s">
        <v>1349</v>
      </c>
      <c r="E518" s="2" t="s">
        <v>291</v>
      </c>
      <c r="F518" s="2" t="s">
        <v>89</v>
      </c>
      <c r="G518" s="2" t="s">
        <v>268</v>
      </c>
      <c r="H518" s="3">
        <v>5</v>
      </c>
      <c r="I518" s="3">
        <v>77.319999999999993</v>
      </c>
      <c r="J518" s="2">
        <v>0.05</v>
      </c>
      <c r="K518" s="3">
        <v>18.36</v>
      </c>
      <c r="L518" s="3">
        <v>14.21</v>
      </c>
      <c r="M518" s="3">
        <v>399.84</v>
      </c>
      <c r="N518" s="2" t="s">
        <v>58</v>
      </c>
      <c r="O518" s="2" t="s">
        <v>25</v>
      </c>
      <c r="P518" s="2" t="s">
        <v>173</v>
      </c>
      <c r="Q518" s="2" t="s">
        <v>174</v>
      </c>
      <c r="R518" s="2" t="s">
        <v>28</v>
      </c>
    </row>
    <row r="519" spans="1:18" x14ac:dyDescent="0.3">
      <c r="A519" s="5" t="s">
        <v>1350</v>
      </c>
      <c r="B519" s="4">
        <v>45637</v>
      </c>
      <c r="C519" s="5" t="s">
        <v>1351</v>
      </c>
      <c r="D519" s="5" t="s">
        <v>1352</v>
      </c>
      <c r="E519" s="5" t="s">
        <v>111</v>
      </c>
      <c r="F519" s="5" t="s">
        <v>33</v>
      </c>
      <c r="G519" s="5" t="s">
        <v>57</v>
      </c>
      <c r="H519" s="6">
        <v>1</v>
      </c>
      <c r="I519" s="6">
        <v>379.07</v>
      </c>
      <c r="J519" s="5">
        <v>0</v>
      </c>
      <c r="K519" s="6">
        <v>0</v>
      </c>
      <c r="L519" s="6">
        <v>10.43</v>
      </c>
      <c r="M519" s="6">
        <v>389.5</v>
      </c>
      <c r="N519" s="5" t="s">
        <v>24</v>
      </c>
      <c r="O519" s="5" t="s">
        <v>25</v>
      </c>
      <c r="P519" s="5" t="s">
        <v>133</v>
      </c>
      <c r="Q519" s="5" t="s">
        <v>134</v>
      </c>
      <c r="R519" s="5" t="s">
        <v>38</v>
      </c>
    </row>
    <row r="520" spans="1:18" x14ac:dyDescent="0.3">
      <c r="A520" s="2" t="s">
        <v>1353</v>
      </c>
      <c r="B520" s="1">
        <v>44908</v>
      </c>
      <c r="C520" s="2" t="s">
        <v>1354</v>
      </c>
      <c r="D520" s="2" t="s">
        <v>47</v>
      </c>
      <c r="E520" s="2" t="s">
        <v>267</v>
      </c>
      <c r="F520" s="2" t="s">
        <v>22</v>
      </c>
      <c r="G520" s="2" t="s">
        <v>90</v>
      </c>
      <c r="H520" s="3">
        <v>2</v>
      </c>
      <c r="I520" s="3">
        <v>232.39</v>
      </c>
      <c r="J520" s="2">
        <v>0.1</v>
      </c>
      <c r="K520" s="3">
        <v>75.290000000000006</v>
      </c>
      <c r="L520" s="3">
        <v>11.76</v>
      </c>
      <c r="M520" s="3">
        <v>505.35</v>
      </c>
      <c r="N520" s="2" t="s">
        <v>24</v>
      </c>
      <c r="O520" s="2" t="s">
        <v>25</v>
      </c>
      <c r="P520" s="2" t="s">
        <v>101</v>
      </c>
      <c r="Q520" s="2" t="s">
        <v>102</v>
      </c>
      <c r="R520" s="2" t="s">
        <v>28</v>
      </c>
    </row>
    <row r="521" spans="1:18" x14ac:dyDescent="0.3">
      <c r="A521" s="5" t="s">
        <v>1355</v>
      </c>
      <c r="B521" s="4">
        <v>44833</v>
      </c>
      <c r="C521" s="5" t="s">
        <v>1356</v>
      </c>
      <c r="D521" s="5" t="s">
        <v>1268</v>
      </c>
      <c r="E521" s="5" t="s">
        <v>142</v>
      </c>
      <c r="F521" s="5" t="s">
        <v>43</v>
      </c>
      <c r="G521" s="5" t="s">
        <v>57</v>
      </c>
      <c r="H521" s="6">
        <v>4</v>
      </c>
      <c r="I521" s="6">
        <v>452.96</v>
      </c>
      <c r="J521" s="5">
        <v>0.3</v>
      </c>
      <c r="K521" s="6">
        <v>63.41</v>
      </c>
      <c r="L521" s="6">
        <v>7.04</v>
      </c>
      <c r="M521" s="6">
        <v>1338.74</v>
      </c>
      <c r="N521" s="5" t="s">
        <v>24</v>
      </c>
      <c r="O521" s="5" t="s">
        <v>25</v>
      </c>
      <c r="P521" s="5" t="s">
        <v>173</v>
      </c>
      <c r="Q521" s="5" t="s">
        <v>174</v>
      </c>
      <c r="R521" s="5" t="s">
        <v>38</v>
      </c>
    </row>
    <row r="522" spans="1:18" x14ac:dyDescent="0.3">
      <c r="A522" s="2" t="s">
        <v>1357</v>
      </c>
      <c r="B522" s="1">
        <v>44274</v>
      </c>
      <c r="C522" s="2" t="s">
        <v>1358</v>
      </c>
      <c r="D522" s="2" t="s">
        <v>998</v>
      </c>
      <c r="E522" s="2" t="s">
        <v>287</v>
      </c>
      <c r="F522" s="2" t="s">
        <v>81</v>
      </c>
      <c r="G522" s="2" t="s">
        <v>198</v>
      </c>
      <c r="H522" s="3">
        <v>5</v>
      </c>
      <c r="I522" s="3">
        <v>550.04</v>
      </c>
      <c r="J522" s="2">
        <v>0.25</v>
      </c>
      <c r="K522" s="3">
        <v>0</v>
      </c>
      <c r="L522" s="3">
        <v>8.27</v>
      </c>
      <c r="M522" s="3">
        <v>2070.92</v>
      </c>
      <c r="N522" s="2" t="s">
        <v>35</v>
      </c>
      <c r="O522" s="2" t="s">
        <v>107</v>
      </c>
      <c r="P522" s="2" t="s">
        <v>101</v>
      </c>
      <c r="Q522" s="2" t="s">
        <v>102</v>
      </c>
      <c r="R522" s="2" t="s">
        <v>38</v>
      </c>
    </row>
    <row r="523" spans="1:18" x14ac:dyDescent="0.3">
      <c r="A523" s="5" t="s">
        <v>1359</v>
      </c>
      <c r="B523" s="4">
        <v>44443</v>
      </c>
      <c r="C523" s="5" t="s">
        <v>1360</v>
      </c>
      <c r="D523" s="5" t="s">
        <v>1189</v>
      </c>
      <c r="E523" s="5" t="s">
        <v>111</v>
      </c>
      <c r="F523" s="5" t="s">
        <v>33</v>
      </c>
      <c r="G523" s="5" t="s">
        <v>90</v>
      </c>
      <c r="H523" s="6">
        <v>4</v>
      </c>
      <c r="I523" s="6">
        <v>222.81</v>
      </c>
      <c r="J523" s="5">
        <v>0.1</v>
      </c>
      <c r="K523" s="6">
        <v>64.17</v>
      </c>
      <c r="L523" s="6">
        <v>7.89</v>
      </c>
      <c r="M523" s="6">
        <v>874.18</v>
      </c>
      <c r="N523" s="5" t="s">
        <v>58</v>
      </c>
      <c r="O523" s="5" t="s">
        <v>25</v>
      </c>
      <c r="P523" s="5" t="s">
        <v>74</v>
      </c>
      <c r="Q523" s="5" t="s">
        <v>75</v>
      </c>
      <c r="R523" s="5" t="s">
        <v>61</v>
      </c>
    </row>
    <row r="524" spans="1:18" x14ac:dyDescent="0.3">
      <c r="A524" s="2" t="s">
        <v>1361</v>
      </c>
      <c r="B524" s="1">
        <v>44823</v>
      </c>
      <c r="C524" s="2" t="s">
        <v>1362</v>
      </c>
      <c r="D524" s="2" t="s">
        <v>613</v>
      </c>
      <c r="E524" s="2" t="s">
        <v>156</v>
      </c>
      <c r="F524" s="2" t="s">
        <v>143</v>
      </c>
      <c r="G524" s="2" t="s">
        <v>23</v>
      </c>
      <c r="H524" s="3">
        <v>4</v>
      </c>
      <c r="I524" s="3">
        <v>463.05</v>
      </c>
      <c r="J524" s="2">
        <v>0</v>
      </c>
      <c r="K524" s="3">
        <v>0</v>
      </c>
      <c r="L524" s="3">
        <v>14.83</v>
      </c>
      <c r="M524" s="3">
        <v>1867.03</v>
      </c>
      <c r="N524" s="2" t="s">
        <v>35</v>
      </c>
      <c r="O524" s="2" t="s">
        <v>107</v>
      </c>
      <c r="P524" s="2" t="s">
        <v>117</v>
      </c>
      <c r="Q524" s="2" t="s">
        <v>118</v>
      </c>
      <c r="R524" s="2" t="s">
        <v>28</v>
      </c>
    </row>
    <row r="525" spans="1:18" x14ac:dyDescent="0.3">
      <c r="A525" s="5" t="s">
        <v>1363</v>
      </c>
      <c r="B525" s="4">
        <v>44094</v>
      </c>
      <c r="C525" s="5" t="s">
        <v>1364</v>
      </c>
      <c r="D525" s="5" t="s">
        <v>734</v>
      </c>
      <c r="E525" s="5" t="s">
        <v>32</v>
      </c>
      <c r="F525" s="5" t="s">
        <v>43</v>
      </c>
      <c r="G525" s="5" t="s">
        <v>203</v>
      </c>
      <c r="H525" s="6">
        <v>2</v>
      </c>
      <c r="I525" s="6">
        <v>226.3</v>
      </c>
      <c r="J525" s="5">
        <v>0</v>
      </c>
      <c r="K525" s="6">
        <v>36.21</v>
      </c>
      <c r="L525" s="6">
        <v>14.7</v>
      </c>
      <c r="M525" s="6">
        <v>503.51</v>
      </c>
      <c r="N525" s="5" t="s">
        <v>35</v>
      </c>
      <c r="O525" s="5" t="s">
        <v>144</v>
      </c>
      <c r="P525" s="5" t="s">
        <v>178</v>
      </c>
      <c r="Q525" s="5" t="s">
        <v>69</v>
      </c>
      <c r="R525" s="5" t="s">
        <v>38</v>
      </c>
    </row>
    <row r="526" spans="1:18" x14ac:dyDescent="0.3">
      <c r="A526" s="2" t="s">
        <v>1365</v>
      </c>
      <c r="B526" s="1">
        <v>44907</v>
      </c>
      <c r="C526" s="2" t="s">
        <v>1366</v>
      </c>
      <c r="D526" s="2" t="s">
        <v>1367</v>
      </c>
      <c r="E526" s="2" t="s">
        <v>243</v>
      </c>
      <c r="F526" s="2" t="s">
        <v>89</v>
      </c>
      <c r="G526" s="2" t="s">
        <v>100</v>
      </c>
      <c r="H526" s="3">
        <v>4</v>
      </c>
      <c r="I526" s="3">
        <v>562.49</v>
      </c>
      <c r="J526" s="2">
        <v>0.05</v>
      </c>
      <c r="K526" s="3">
        <v>106.87</v>
      </c>
      <c r="L526" s="3">
        <v>10.79</v>
      </c>
      <c r="M526" s="3">
        <v>2255.12</v>
      </c>
      <c r="N526" s="2" t="s">
        <v>24</v>
      </c>
      <c r="O526" s="2" t="s">
        <v>82</v>
      </c>
      <c r="P526" s="2" t="s">
        <v>145</v>
      </c>
      <c r="Q526" s="2" t="s">
        <v>146</v>
      </c>
      <c r="R526" s="2" t="s">
        <v>38</v>
      </c>
    </row>
    <row r="527" spans="1:18" x14ac:dyDescent="0.3">
      <c r="A527" s="5" t="s">
        <v>1368</v>
      </c>
      <c r="B527" s="4">
        <v>45426</v>
      </c>
      <c r="C527" s="5" t="s">
        <v>1369</v>
      </c>
      <c r="D527" s="5" t="s">
        <v>1312</v>
      </c>
      <c r="E527" s="5" t="s">
        <v>142</v>
      </c>
      <c r="F527" s="5" t="s">
        <v>143</v>
      </c>
      <c r="G527" s="5" t="s">
        <v>203</v>
      </c>
      <c r="H527" s="6">
        <v>5</v>
      </c>
      <c r="I527" s="6">
        <v>176.63</v>
      </c>
      <c r="J527" s="5">
        <v>0.1</v>
      </c>
      <c r="K527" s="6">
        <v>95.38</v>
      </c>
      <c r="L527" s="6">
        <v>14.05</v>
      </c>
      <c r="M527" s="6">
        <v>904.26</v>
      </c>
      <c r="N527" s="5" t="s">
        <v>58</v>
      </c>
      <c r="O527" s="5" t="s">
        <v>25</v>
      </c>
      <c r="P527" s="5" t="s">
        <v>150</v>
      </c>
      <c r="Q527" s="5" t="s">
        <v>69</v>
      </c>
      <c r="R527" s="5" t="s">
        <v>76</v>
      </c>
    </row>
    <row r="528" spans="1:18" x14ac:dyDescent="0.3">
      <c r="A528" s="2" t="s">
        <v>1370</v>
      </c>
      <c r="B528" s="1">
        <v>44834</v>
      </c>
      <c r="C528" s="2" t="s">
        <v>1371</v>
      </c>
      <c r="D528" s="2" t="s">
        <v>1372</v>
      </c>
      <c r="E528" s="2" t="s">
        <v>392</v>
      </c>
      <c r="F528" s="2" t="s">
        <v>89</v>
      </c>
      <c r="G528" s="2" t="s">
        <v>90</v>
      </c>
      <c r="H528" s="3">
        <v>3</v>
      </c>
      <c r="I528" s="3">
        <v>300.62</v>
      </c>
      <c r="J528" s="2">
        <v>0</v>
      </c>
      <c r="K528" s="3">
        <v>72.150000000000006</v>
      </c>
      <c r="L528" s="3">
        <v>5.26</v>
      </c>
      <c r="M528" s="3">
        <v>979.27</v>
      </c>
      <c r="N528" s="2" t="s">
        <v>58</v>
      </c>
      <c r="O528" s="2" t="s">
        <v>25</v>
      </c>
      <c r="P528" s="2" t="s">
        <v>36</v>
      </c>
      <c r="Q528" s="2" t="s">
        <v>37</v>
      </c>
      <c r="R528" s="2" t="s">
        <v>38</v>
      </c>
    </row>
    <row r="529" spans="1:18" x14ac:dyDescent="0.3">
      <c r="A529" s="5" t="s">
        <v>1373</v>
      </c>
      <c r="B529" s="4">
        <v>45474</v>
      </c>
      <c r="C529" s="5" t="s">
        <v>1374</v>
      </c>
      <c r="D529" s="5" t="s">
        <v>368</v>
      </c>
      <c r="E529" s="5" t="s">
        <v>122</v>
      </c>
      <c r="F529" s="5" t="s">
        <v>43</v>
      </c>
      <c r="G529" s="5" t="s">
        <v>268</v>
      </c>
      <c r="H529" s="6">
        <v>5</v>
      </c>
      <c r="I529" s="6">
        <v>9.07</v>
      </c>
      <c r="J529" s="5">
        <v>0.1</v>
      </c>
      <c r="K529" s="6">
        <v>4.9000000000000004</v>
      </c>
      <c r="L529" s="6">
        <v>2.42</v>
      </c>
      <c r="M529" s="6">
        <v>48.14</v>
      </c>
      <c r="N529" s="5" t="s">
        <v>35</v>
      </c>
      <c r="O529" s="5" t="s">
        <v>107</v>
      </c>
      <c r="P529" s="5" t="s">
        <v>36</v>
      </c>
      <c r="Q529" s="5" t="s">
        <v>37</v>
      </c>
      <c r="R529" s="5" t="s">
        <v>38</v>
      </c>
    </row>
    <row r="530" spans="1:18" x14ac:dyDescent="0.3">
      <c r="A530" s="2" t="s">
        <v>1375</v>
      </c>
      <c r="B530" s="1">
        <v>43835</v>
      </c>
      <c r="C530" s="2" t="s">
        <v>1376</v>
      </c>
      <c r="D530" s="2" t="s">
        <v>1377</v>
      </c>
      <c r="E530" s="2" t="s">
        <v>577</v>
      </c>
      <c r="F530" s="2" t="s">
        <v>81</v>
      </c>
      <c r="G530" s="2" t="s">
        <v>100</v>
      </c>
      <c r="H530" s="3">
        <v>1</v>
      </c>
      <c r="I530" s="3">
        <v>148.63999999999999</v>
      </c>
      <c r="J530" s="2">
        <v>0.25</v>
      </c>
      <c r="K530" s="3">
        <v>8.92</v>
      </c>
      <c r="L530" s="3">
        <v>6.7</v>
      </c>
      <c r="M530" s="3">
        <v>127.1</v>
      </c>
      <c r="N530" s="2" t="s">
        <v>58</v>
      </c>
      <c r="O530" s="2" t="s">
        <v>25</v>
      </c>
      <c r="P530" s="2" t="s">
        <v>124</v>
      </c>
      <c r="Q530" s="2" t="s">
        <v>125</v>
      </c>
      <c r="R530" s="2" t="s">
        <v>61</v>
      </c>
    </row>
    <row r="531" spans="1:18" x14ac:dyDescent="0.3">
      <c r="A531" s="5" t="s">
        <v>1378</v>
      </c>
      <c r="B531" s="4">
        <v>44957</v>
      </c>
      <c r="C531" s="5" t="s">
        <v>1379</v>
      </c>
      <c r="D531" s="5" t="s">
        <v>472</v>
      </c>
      <c r="E531" s="5" t="s">
        <v>691</v>
      </c>
      <c r="F531" s="5" t="s">
        <v>81</v>
      </c>
      <c r="G531" s="5" t="s">
        <v>49</v>
      </c>
      <c r="H531" s="6">
        <v>1</v>
      </c>
      <c r="I531" s="6">
        <v>95.29</v>
      </c>
      <c r="J531" s="5">
        <v>0</v>
      </c>
      <c r="K531" s="6">
        <v>4.76</v>
      </c>
      <c r="L531" s="6">
        <v>10.99</v>
      </c>
      <c r="M531" s="6">
        <v>111.04</v>
      </c>
      <c r="N531" s="5" t="s">
        <v>58</v>
      </c>
      <c r="O531" s="5" t="s">
        <v>25</v>
      </c>
      <c r="P531" s="5" t="s">
        <v>51</v>
      </c>
      <c r="Q531" s="5" t="s">
        <v>52</v>
      </c>
      <c r="R531" s="5" t="s">
        <v>38</v>
      </c>
    </row>
    <row r="532" spans="1:18" x14ac:dyDescent="0.3">
      <c r="A532" s="2" t="s">
        <v>1380</v>
      </c>
      <c r="B532" s="1">
        <v>45050</v>
      </c>
      <c r="C532" s="2" t="s">
        <v>1381</v>
      </c>
      <c r="D532" s="2" t="s">
        <v>352</v>
      </c>
      <c r="E532" s="2" t="s">
        <v>392</v>
      </c>
      <c r="F532" s="2" t="s">
        <v>43</v>
      </c>
      <c r="G532" s="2" t="s">
        <v>100</v>
      </c>
      <c r="H532" s="3">
        <v>1</v>
      </c>
      <c r="I532" s="3">
        <v>430.27</v>
      </c>
      <c r="J532" s="2">
        <v>0.2</v>
      </c>
      <c r="K532" s="3">
        <v>27.54</v>
      </c>
      <c r="L532" s="3">
        <v>3.66</v>
      </c>
      <c r="M532" s="3">
        <v>375.42</v>
      </c>
      <c r="N532" s="2" t="s">
        <v>67</v>
      </c>
      <c r="O532" s="2" t="s">
        <v>107</v>
      </c>
      <c r="P532" s="2" t="s">
        <v>257</v>
      </c>
      <c r="Q532" s="2" t="s">
        <v>69</v>
      </c>
      <c r="R532" s="2" t="s">
        <v>38</v>
      </c>
    </row>
    <row r="533" spans="1:18" x14ac:dyDescent="0.3">
      <c r="A533" s="5" t="s">
        <v>1382</v>
      </c>
      <c r="B533" s="4">
        <v>44604</v>
      </c>
      <c r="C533" s="5" t="s">
        <v>1383</v>
      </c>
      <c r="D533" s="5" t="s">
        <v>141</v>
      </c>
      <c r="E533" s="5" t="s">
        <v>349</v>
      </c>
      <c r="F533" s="5" t="s">
        <v>22</v>
      </c>
      <c r="G533" s="5" t="s">
        <v>90</v>
      </c>
      <c r="H533" s="6">
        <v>5</v>
      </c>
      <c r="I533" s="6">
        <v>46.86</v>
      </c>
      <c r="J533" s="5">
        <v>0.05</v>
      </c>
      <c r="K533" s="6">
        <v>0</v>
      </c>
      <c r="L533" s="6">
        <v>13.63</v>
      </c>
      <c r="M533" s="6">
        <v>236.22</v>
      </c>
      <c r="N533" s="5" t="s">
        <v>24</v>
      </c>
      <c r="O533" s="5" t="s">
        <v>107</v>
      </c>
      <c r="P533" s="5" t="s">
        <v>60</v>
      </c>
      <c r="Q533" s="5" t="s">
        <v>37</v>
      </c>
      <c r="R533" s="5" t="s">
        <v>38</v>
      </c>
    </row>
    <row r="534" spans="1:18" x14ac:dyDescent="0.3">
      <c r="A534" s="2" t="s">
        <v>1384</v>
      </c>
      <c r="B534" s="1">
        <v>44707</v>
      </c>
      <c r="C534" s="2" t="s">
        <v>1385</v>
      </c>
      <c r="D534" s="2" t="s">
        <v>569</v>
      </c>
      <c r="E534" s="2" t="s">
        <v>340</v>
      </c>
      <c r="F534" s="2" t="s">
        <v>81</v>
      </c>
      <c r="G534" s="2" t="s">
        <v>23</v>
      </c>
      <c r="H534" s="3">
        <v>5</v>
      </c>
      <c r="I534" s="3">
        <v>362.31</v>
      </c>
      <c r="J534" s="2">
        <v>0</v>
      </c>
      <c r="K534" s="3">
        <v>90.58</v>
      </c>
      <c r="L534" s="3">
        <v>3.51</v>
      </c>
      <c r="M534" s="3">
        <v>1905.64</v>
      </c>
      <c r="N534" s="2" t="s">
        <v>67</v>
      </c>
      <c r="O534" s="2" t="s">
        <v>59</v>
      </c>
      <c r="P534" s="2" t="s">
        <v>101</v>
      </c>
      <c r="Q534" s="2" t="s">
        <v>102</v>
      </c>
      <c r="R534" s="2" t="s">
        <v>38</v>
      </c>
    </row>
    <row r="535" spans="1:18" x14ac:dyDescent="0.3">
      <c r="A535" s="5" t="s">
        <v>1386</v>
      </c>
      <c r="B535" s="4">
        <v>44822</v>
      </c>
      <c r="C535" s="5" t="s">
        <v>1387</v>
      </c>
      <c r="D535" s="5" t="s">
        <v>252</v>
      </c>
      <c r="E535" s="5" t="s">
        <v>111</v>
      </c>
      <c r="F535" s="5" t="s">
        <v>81</v>
      </c>
      <c r="G535" s="5" t="s">
        <v>49</v>
      </c>
      <c r="H535" s="6">
        <v>4</v>
      </c>
      <c r="I535" s="6">
        <v>117.96</v>
      </c>
      <c r="J535" s="5">
        <v>0.05</v>
      </c>
      <c r="K535" s="6">
        <v>22.41</v>
      </c>
      <c r="L535" s="6">
        <v>12.41</v>
      </c>
      <c r="M535" s="6">
        <v>483.07</v>
      </c>
      <c r="N535" s="5" t="s">
        <v>24</v>
      </c>
      <c r="O535" s="5" t="s">
        <v>82</v>
      </c>
      <c r="P535" s="5" t="s">
        <v>101</v>
      </c>
      <c r="Q535" s="5" t="s">
        <v>102</v>
      </c>
      <c r="R535" s="5" t="s">
        <v>38</v>
      </c>
    </row>
    <row r="536" spans="1:18" x14ac:dyDescent="0.3">
      <c r="A536" s="2" t="s">
        <v>1388</v>
      </c>
      <c r="B536" s="1">
        <v>44714</v>
      </c>
      <c r="C536" s="2" t="s">
        <v>1389</v>
      </c>
      <c r="D536" s="2" t="s">
        <v>1096</v>
      </c>
      <c r="E536" s="2" t="s">
        <v>160</v>
      </c>
      <c r="F536" s="2" t="s">
        <v>33</v>
      </c>
      <c r="G536" s="2" t="s">
        <v>100</v>
      </c>
      <c r="H536" s="3">
        <v>4</v>
      </c>
      <c r="I536" s="3">
        <v>469.66</v>
      </c>
      <c r="J536" s="2">
        <v>0</v>
      </c>
      <c r="K536" s="3">
        <v>0</v>
      </c>
      <c r="L536" s="3">
        <v>7.48</v>
      </c>
      <c r="M536" s="3">
        <v>1886.12</v>
      </c>
      <c r="N536" s="2" t="s">
        <v>50</v>
      </c>
      <c r="O536" s="2" t="s">
        <v>25</v>
      </c>
      <c r="P536" s="2" t="s">
        <v>83</v>
      </c>
      <c r="Q536" s="2" t="s">
        <v>84</v>
      </c>
      <c r="R536" s="2" t="s">
        <v>28</v>
      </c>
    </row>
    <row r="537" spans="1:18" x14ac:dyDescent="0.3">
      <c r="A537" s="5" t="s">
        <v>1390</v>
      </c>
      <c r="B537" s="4">
        <v>45204</v>
      </c>
      <c r="C537" s="5" t="s">
        <v>1391</v>
      </c>
      <c r="D537" s="5" t="s">
        <v>410</v>
      </c>
      <c r="E537" s="5" t="s">
        <v>80</v>
      </c>
      <c r="F537" s="5" t="s">
        <v>22</v>
      </c>
      <c r="G537" s="5" t="s">
        <v>23</v>
      </c>
      <c r="H537" s="6">
        <v>5</v>
      </c>
      <c r="I537" s="6">
        <v>397.96</v>
      </c>
      <c r="J537" s="5">
        <v>0</v>
      </c>
      <c r="K537" s="6">
        <v>159.18</v>
      </c>
      <c r="L537" s="6">
        <v>6.39</v>
      </c>
      <c r="M537" s="6">
        <v>2155.37</v>
      </c>
      <c r="N537" s="5" t="s">
        <v>58</v>
      </c>
      <c r="O537" s="5" t="s">
        <v>25</v>
      </c>
      <c r="P537" s="5" t="s">
        <v>112</v>
      </c>
      <c r="Q537" s="5" t="s">
        <v>113</v>
      </c>
      <c r="R537" s="5" t="s">
        <v>38</v>
      </c>
    </row>
    <row r="538" spans="1:18" x14ac:dyDescent="0.3">
      <c r="A538" s="2" t="s">
        <v>1392</v>
      </c>
      <c r="B538" s="1">
        <v>43877</v>
      </c>
      <c r="C538" s="2" t="s">
        <v>1393</v>
      </c>
      <c r="D538" s="2" t="s">
        <v>645</v>
      </c>
      <c r="E538" s="2" t="s">
        <v>243</v>
      </c>
      <c r="F538" s="2" t="s">
        <v>33</v>
      </c>
      <c r="G538" s="2" t="s">
        <v>100</v>
      </c>
      <c r="H538" s="3">
        <v>3</v>
      </c>
      <c r="I538" s="3">
        <v>476.51</v>
      </c>
      <c r="J538" s="2">
        <v>0</v>
      </c>
      <c r="K538" s="3">
        <v>114.36</v>
      </c>
      <c r="L538" s="3">
        <v>13.08</v>
      </c>
      <c r="M538" s="3">
        <v>1556.97</v>
      </c>
      <c r="N538" s="2" t="s">
        <v>58</v>
      </c>
      <c r="O538" s="2" t="s">
        <v>25</v>
      </c>
      <c r="P538" s="2" t="s">
        <v>257</v>
      </c>
      <c r="Q538" s="2" t="s">
        <v>69</v>
      </c>
      <c r="R538" s="2" t="s">
        <v>38</v>
      </c>
    </row>
    <row r="539" spans="1:18" x14ac:dyDescent="0.3">
      <c r="A539" s="5" t="s">
        <v>1394</v>
      </c>
      <c r="B539" s="4">
        <v>44697</v>
      </c>
      <c r="C539" s="5" t="s">
        <v>1395</v>
      </c>
      <c r="D539" s="5" t="s">
        <v>1396</v>
      </c>
      <c r="E539" s="5" t="s">
        <v>164</v>
      </c>
      <c r="F539" s="5" t="s">
        <v>33</v>
      </c>
      <c r="G539" s="5" t="s">
        <v>23</v>
      </c>
      <c r="H539" s="6">
        <v>2</v>
      </c>
      <c r="I539" s="6">
        <v>67.33</v>
      </c>
      <c r="J539" s="5">
        <v>0.05</v>
      </c>
      <c r="K539" s="6">
        <v>6.4</v>
      </c>
      <c r="L539" s="6">
        <v>3.61</v>
      </c>
      <c r="M539" s="6">
        <v>137.94</v>
      </c>
      <c r="N539" s="5" t="s">
        <v>58</v>
      </c>
      <c r="O539" s="5" t="s">
        <v>25</v>
      </c>
      <c r="P539" s="5" t="s">
        <v>101</v>
      </c>
      <c r="Q539" s="5" t="s">
        <v>102</v>
      </c>
      <c r="R539" s="5" t="s">
        <v>38</v>
      </c>
    </row>
    <row r="540" spans="1:18" x14ac:dyDescent="0.3">
      <c r="A540" s="2" t="s">
        <v>1397</v>
      </c>
      <c r="B540" s="1">
        <v>44653</v>
      </c>
      <c r="C540" s="2" t="s">
        <v>1398</v>
      </c>
      <c r="D540" s="2" t="s">
        <v>457</v>
      </c>
      <c r="E540" s="2" t="s">
        <v>48</v>
      </c>
      <c r="F540" s="2" t="s">
        <v>81</v>
      </c>
      <c r="G540" s="2" t="s">
        <v>100</v>
      </c>
      <c r="H540" s="3">
        <v>4</v>
      </c>
      <c r="I540" s="3">
        <v>446.49</v>
      </c>
      <c r="J540" s="2">
        <v>0</v>
      </c>
      <c r="K540" s="3">
        <v>142.88</v>
      </c>
      <c r="L540" s="3">
        <v>9.2200000000000006</v>
      </c>
      <c r="M540" s="3">
        <v>1938.06</v>
      </c>
      <c r="N540" s="2" t="s">
        <v>67</v>
      </c>
      <c r="O540" s="2" t="s">
        <v>25</v>
      </c>
      <c r="P540" s="2" t="s">
        <v>68</v>
      </c>
      <c r="Q540" s="2" t="s">
        <v>69</v>
      </c>
      <c r="R540" s="2" t="s">
        <v>61</v>
      </c>
    </row>
    <row r="541" spans="1:18" x14ac:dyDescent="0.3">
      <c r="A541" s="5" t="s">
        <v>1399</v>
      </c>
      <c r="B541" s="4">
        <v>44766</v>
      </c>
      <c r="C541" s="5" t="s">
        <v>1400</v>
      </c>
      <c r="D541" s="5" t="s">
        <v>260</v>
      </c>
      <c r="E541" s="5" t="s">
        <v>106</v>
      </c>
      <c r="F541" s="5" t="s">
        <v>33</v>
      </c>
      <c r="G541" s="5" t="s">
        <v>100</v>
      </c>
      <c r="H541" s="6">
        <v>4</v>
      </c>
      <c r="I541" s="6">
        <v>238.18</v>
      </c>
      <c r="J541" s="5">
        <v>0.05</v>
      </c>
      <c r="K541" s="6">
        <v>0</v>
      </c>
      <c r="L541" s="6">
        <v>0.62</v>
      </c>
      <c r="M541" s="6">
        <v>905.7</v>
      </c>
      <c r="N541" s="5" t="s">
        <v>58</v>
      </c>
      <c r="O541" s="5" t="s">
        <v>25</v>
      </c>
      <c r="P541" s="5" t="s">
        <v>74</v>
      </c>
      <c r="Q541" s="5" t="s">
        <v>75</v>
      </c>
      <c r="R541" s="5" t="s">
        <v>61</v>
      </c>
    </row>
    <row r="542" spans="1:18" x14ac:dyDescent="0.3">
      <c r="A542" s="2" t="s">
        <v>1401</v>
      </c>
      <c r="B542" s="1">
        <v>44486</v>
      </c>
      <c r="C542" s="2" t="s">
        <v>1402</v>
      </c>
      <c r="D542" s="2" t="s">
        <v>290</v>
      </c>
      <c r="E542" s="2" t="s">
        <v>42</v>
      </c>
      <c r="F542" s="2" t="s">
        <v>143</v>
      </c>
      <c r="G542" s="2" t="s">
        <v>23</v>
      </c>
      <c r="H542" s="3">
        <v>5</v>
      </c>
      <c r="I542" s="3">
        <v>351.03</v>
      </c>
      <c r="J542" s="2">
        <v>0.3</v>
      </c>
      <c r="K542" s="3">
        <v>98.29</v>
      </c>
      <c r="L542" s="3">
        <v>6.7</v>
      </c>
      <c r="M542" s="3">
        <v>1333.59</v>
      </c>
      <c r="N542" s="2" t="s">
        <v>24</v>
      </c>
      <c r="O542" s="2" t="s">
        <v>25</v>
      </c>
      <c r="P542" s="2" t="s">
        <v>26</v>
      </c>
      <c r="Q542" s="2" t="s">
        <v>27</v>
      </c>
      <c r="R542" s="2" t="s">
        <v>38</v>
      </c>
    </row>
    <row r="543" spans="1:18" x14ac:dyDescent="0.3">
      <c r="A543" s="5" t="s">
        <v>1403</v>
      </c>
      <c r="B543" s="4">
        <v>44099</v>
      </c>
      <c r="C543" s="5" t="s">
        <v>1404</v>
      </c>
      <c r="D543" s="5" t="s">
        <v>662</v>
      </c>
      <c r="E543" s="5" t="s">
        <v>56</v>
      </c>
      <c r="F543" s="5" t="s">
        <v>81</v>
      </c>
      <c r="G543" s="5" t="s">
        <v>198</v>
      </c>
      <c r="H543" s="6">
        <v>3</v>
      </c>
      <c r="I543" s="6">
        <v>40.4</v>
      </c>
      <c r="J543" s="5">
        <v>0.1</v>
      </c>
      <c r="K543" s="6">
        <v>8.73</v>
      </c>
      <c r="L543" s="6">
        <v>2.81</v>
      </c>
      <c r="M543" s="6">
        <v>120.62</v>
      </c>
      <c r="N543" s="5" t="s">
        <v>35</v>
      </c>
      <c r="O543" s="5" t="s">
        <v>25</v>
      </c>
      <c r="P543" s="5" t="s">
        <v>145</v>
      </c>
      <c r="Q543" s="5" t="s">
        <v>146</v>
      </c>
      <c r="R543" s="5" t="s">
        <v>38</v>
      </c>
    </row>
    <row r="544" spans="1:18" x14ac:dyDescent="0.3">
      <c r="A544" s="2" t="s">
        <v>1405</v>
      </c>
      <c r="B544" s="1">
        <v>44200</v>
      </c>
      <c r="C544" s="2" t="s">
        <v>1406</v>
      </c>
      <c r="D544" s="2" t="s">
        <v>525</v>
      </c>
      <c r="E544" s="2" t="s">
        <v>197</v>
      </c>
      <c r="F544" s="2" t="s">
        <v>81</v>
      </c>
      <c r="G544" s="2" t="s">
        <v>203</v>
      </c>
      <c r="H544" s="3">
        <v>4</v>
      </c>
      <c r="I544" s="3">
        <v>346.01</v>
      </c>
      <c r="J544" s="2">
        <v>0.2</v>
      </c>
      <c r="K544" s="3">
        <v>55.36</v>
      </c>
      <c r="L544" s="3">
        <v>2.74</v>
      </c>
      <c r="M544" s="3">
        <v>1165.33</v>
      </c>
      <c r="N544" s="2" t="s">
        <v>67</v>
      </c>
      <c r="O544" s="2" t="s">
        <v>25</v>
      </c>
      <c r="P544" s="2" t="s">
        <v>68</v>
      </c>
      <c r="Q544" s="2" t="s">
        <v>69</v>
      </c>
      <c r="R544" s="2" t="s">
        <v>61</v>
      </c>
    </row>
    <row r="545" spans="1:18" x14ac:dyDescent="0.3">
      <c r="A545" s="5" t="s">
        <v>1407</v>
      </c>
      <c r="B545" s="4">
        <v>44466</v>
      </c>
      <c r="C545" s="5" t="s">
        <v>1408</v>
      </c>
      <c r="D545" s="5" t="s">
        <v>1020</v>
      </c>
      <c r="E545" s="5" t="s">
        <v>691</v>
      </c>
      <c r="F545" s="5" t="s">
        <v>33</v>
      </c>
      <c r="G545" s="5" t="s">
        <v>90</v>
      </c>
      <c r="H545" s="6">
        <v>1</v>
      </c>
      <c r="I545" s="6">
        <v>404.79</v>
      </c>
      <c r="J545" s="5">
        <v>0</v>
      </c>
      <c r="K545" s="6">
        <v>20.239999999999998</v>
      </c>
      <c r="L545" s="6">
        <v>12.05</v>
      </c>
      <c r="M545" s="6">
        <v>437.08</v>
      </c>
      <c r="N545" s="5" t="s">
        <v>58</v>
      </c>
      <c r="O545" s="5" t="s">
        <v>25</v>
      </c>
      <c r="P545" s="5" t="s">
        <v>112</v>
      </c>
      <c r="Q545" s="5" t="s">
        <v>113</v>
      </c>
      <c r="R545" s="5" t="s">
        <v>38</v>
      </c>
    </row>
    <row r="546" spans="1:18" x14ac:dyDescent="0.3">
      <c r="A546" s="2" t="s">
        <v>1409</v>
      </c>
      <c r="B546" s="1">
        <v>44960</v>
      </c>
      <c r="C546" s="2" t="s">
        <v>1410</v>
      </c>
      <c r="D546" s="2" t="s">
        <v>330</v>
      </c>
      <c r="E546" s="2" t="s">
        <v>88</v>
      </c>
      <c r="F546" s="2" t="s">
        <v>43</v>
      </c>
      <c r="G546" s="2" t="s">
        <v>57</v>
      </c>
      <c r="H546" s="3">
        <v>1</v>
      </c>
      <c r="I546" s="3">
        <v>597.54</v>
      </c>
      <c r="J546" s="2">
        <v>0.25</v>
      </c>
      <c r="K546" s="3">
        <v>35.85</v>
      </c>
      <c r="L546" s="3">
        <v>9.35</v>
      </c>
      <c r="M546" s="3">
        <v>493.36</v>
      </c>
      <c r="N546" s="2" t="s">
        <v>24</v>
      </c>
      <c r="O546" s="2" t="s">
        <v>25</v>
      </c>
      <c r="P546" s="2" t="s">
        <v>44</v>
      </c>
      <c r="Q546" s="2" t="s">
        <v>37</v>
      </c>
      <c r="R546" s="2" t="s">
        <v>38</v>
      </c>
    </row>
    <row r="547" spans="1:18" x14ac:dyDescent="0.3">
      <c r="A547" s="5" t="s">
        <v>1411</v>
      </c>
      <c r="B547" s="4">
        <v>45524</v>
      </c>
      <c r="C547" s="5" t="s">
        <v>1412</v>
      </c>
      <c r="D547" s="5" t="s">
        <v>1413</v>
      </c>
      <c r="E547" s="5" t="s">
        <v>243</v>
      </c>
      <c r="F547" s="5" t="s">
        <v>33</v>
      </c>
      <c r="G547" s="5" t="s">
        <v>203</v>
      </c>
      <c r="H547" s="6">
        <v>4</v>
      </c>
      <c r="I547" s="6">
        <v>538.96</v>
      </c>
      <c r="J547" s="5">
        <v>0</v>
      </c>
      <c r="K547" s="6">
        <v>0</v>
      </c>
      <c r="L547" s="6">
        <v>2.7</v>
      </c>
      <c r="M547" s="6">
        <v>2158.54</v>
      </c>
      <c r="N547" s="5" t="s">
        <v>67</v>
      </c>
      <c r="O547" s="5" t="s">
        <v>25</v>
      </c>
      <c r="P547" s="5" t="s">
        <v>74</v>
      </c>
      <c r="Q547" s="5" t="s">
        <v>75</v>
      </c>
      <c r="R547" s="5" t="s">
        <v>28</v>
      </c>
    </row>
    <row r="548" spans="1:18" x14ac:dyDescent="0.3">
      <c r="A548" s="2" t="s">
        <v>1414</v>
      </c>
      <c r="B548" s="1">
        <v>45513</v>
      </c>
      <c r="C548" s="2" t="s">
        <v>1415</v>
      </c>
      <c r="D548" s="2" t="s">
        <v>131</v>
      </c>
      <c r="E548" s="2" t="s">
        <v>220</v>
      </c>
      <c r="F548" s="2" t="s">
        <v>22</v>
      </c>
      <c r="G548" s="2" t="s">
        <v>100</v>
      </c>
      <c r="H548" s="3">
        <v>5</v>
      </c>
      <c r="I548" s="3">
        <v>291.5</v>
      </c>
      <c r="J548" s="2">
        <v>0.05</v>
      </c>
      <c r="K548" s="3">
        <v>166.16</v>
      </c>
      <c r="L548" s="3">
        <v>5.25</v>
      </c>
      <c r="M548" s="3">
        <v>1556.04</v>
      </c>
      <c r="N548" s="2" t="s">
        <v>58</v>
      </c>
      <c r="O548" s="2" t="s">
        <v>25</v>
      </c>
      <c r="P548" s="2" t="s">
        <v>101</v>
      </c>
      <c r="Q548" s="2" t="s">
        <v>102</v>
      </c>
      <c r="R548" s="2" t="s">
        <v>38</v>
      </c>
    </row>
    <row r="549" spans="1:18" x14ac:dyDescent="0.3">
      <c r="A549" s="5" t="s">
        <v>1416</v>
      </c>
      <c r="B549" s="4">
        <v>44487</v>
      </c>
      <c r="C549" s="5" t="s">
        <v>1417</v>
      </c>
      <c r="D549" s="5" t="s">
        <v>491</v>
      </c>
      <c r="E549" s="5" t="s">
        <v>294</v>
      </c>
      <c r="F549" s="5" t="s">
        <v>81</v>
      </c>
      <c r="G549" s="5" t="s">
        <v>49</v>
      </c>
      <c r="H549" s="6">
        <v>5</v>
      </c>
      <c r="I549" s="6">
        <v>166.38</v>
      </c>
      <c r="J549" s="5">
        <v>0</v>
      </c>
      <c r="K549" s="6">
        <v>41.6</v>
      </c>
      <c r="L549" s="6">
        <v>6.6</v>
      </c>
      <c r="M549" s="6">
        <v>880.1</v>
      </c>
      <c r="N549" s="5" t="s">
        <v>50</v>
      </c>
      <c r="O549" s="5" t="s">
        <v>25</v>
      </c>
      <c r="P549" s="5" t="s">
        <v>112</v>
      </c>
      <c r="Q549" s="5" t="s">
        <v>113</v>
      </c>
      <c r="R549" s="5" t="s">
        <v>28</v>
      </c>
    </row>
    <row r="550" spans="1:18" x14ac:dyDescent="0.3">
      <c r="A550" s="2" t="s">
        <v>1418</v>
      </c>
      <c r="B550" s="1">
        <v>43950</v>
      </c>
      <c r="C550" s="2" t="s">
        <v>1419</v>
      </c>
      <c r="D550" s="2" t="s">
        <v>491</v>
      </c>
      <c r="E550" s="2" t="s">
        <v>294</v>
      </c>
      <c r="F550" s="2" t="s">
        <v>81</v>
      </c>
      <c r="G550" s="2" t="s">
        <v>90</v>
      </c>
      <c r="H550" s="3">
        <v>5</v>
      </c>
      <c r="I550" s="3">
        <v>91.91</v>
      </c>
      <c r="J550" s="2">
        <v>0.25</v>
      </c>
      <c r="K550" s="3">
        <v>41.36</v>
      </c>
      <c r="L550" s="3">
        <v>0.28999999999999998</v>
      </c>
      <c r="M550" s="3">
        <v>386.31</v>
      </c>
      <c r="N550" s="2" t="s">
        <v>58</v>
      </c>
      <c r="O550" s="2" t="s">
        <v>25</v>
      </c>
      <c r="P550" s="2" t="s">
        <v>44</v>
      </c>
      <c r="Q550" s="2" t="s">
        <v>37</v>
      </c>
      <c r="R550" s="2" t="s">
        <v>38</v>
      </c>
    </row>
    <row r="551" spans="1:18" x14ac:dyDescent="0.3">
      <c r="A551" s="5" t="s">
        <v>1420</v>
      </c>
      <c r="B551" s="4">
        <v>44661</v>
      </c>
      <c r="C551" s="5" t="s">
        <v>1421</v>
      </c>
      <c r="D551" s="5" t="s">
        <v>563</v>
      </c>
      <c r="E551" s="5" t="s">
        <v>437</v>
      </c>
      <c r="F551" s="5" t="s">
        <v>22</v>
      </c>
      <c r="G551" s="5" t="s">
        <v>198</v>
      </c>
      <c r="H551" s="6">
        <v>3</v>
      </c>
      <c r="I551" s="6">
        <v>344.01</v>
      </c>
      <c r="J551" s="5">
        <v>0.05</v>
      </c>
      <c r="K551" s="6">
        <v>78.430000000000007</v>
      </c>
      <c r="L551" s="6">
        <v>13.55</v>
      </c>
      <c r="M551" s="6">
        <v>1072.4100000000001</v>
      </c>
      <c r="N551" s="5" t="s">
        <v>35</v>
      </c>
      <c r="O551" s="5" t="s">
        <v>25</v>
      </c>
      <c r="P551" s="5" t="s">
        <v>178</v>
      </c>
      <c r="Q551" s="5" t="s">
        <v>69</v>
      </c>
      <c r="R551" s="5" t="s">
        <v>38</v>
      </c>
    </row>
    <row r="552" spans="1:18" x14ac:dyDescent="0.3">
      <c r="A552" s="2" t="s">
        <v>1422</v>
      </c>
      <c r="B552" s="1">
        <v>45641</v>
      </c>
      <c r="C552" s="2" t="s">
        <v>1423</v>
      </c>
      <c r="D552" s="2" t="s">
        <v>327</v>
      </c>
      <c r="E552" s="2" t="s">
        <v>324</v>
      </c>
      <c r="F552" s="2" t="s">
        <v>22</v>
      </c>
      <c r="G552" s="2" t="s">
        <v>198</v>
      </c>
      <c r="H552" s="3">
        <v>1</v>
      </c>
      <c r="I552" s="3">
        <v>278.83999999999997</v>
      </c>
      <c r="J552" s="2">
        <v>0.05</v>
      </c>
      <c r="K552" s="3">
        <v>13.24</v>
      </c>
      <c r="L552" s="3">
        <v>3.53</v>
      </c>
      <c r="M552" s="3">
        <v>281.67</v>
      </c>
      <c r="N552" s="2" t="s">
        <v>24</v>
      </c>
      <c r="O552" s="2" t="s">
        <v>25</v>
      </c>
      <c r="P552" s="2" t="s">
        <v>26</v>
      </c>
      <c r="Q552" s="2" t="s">
        <v>27</v>
      </c>
      <c r="R552" s="2" t="s">
        <v>38</v>
      </c>
    </row>
    <row r="553" spans="1:18" x14ac:dyDescent="0.3">
      <c r="A553" s="5" t="s">
        <v>1424</v>
      </c>
      <c r="B553" s="4">
        <v>45458</v>
      </c>
      <c r="C553" s="5" t="s">
        <v>1425</v>
      </c>
      <c r="D553" s="5" t="s">
        <v>525</v>
      </c>
      <c r="E553" s="5" t="s">
        <v>142</v>
      </c>
      <c r="F553" s="5" t="s">
        <v>22</v>
      </c>
      <c r="G553" s="5" t="s">
        <v>57</v>
      </c>
      <c r="H553" s="6">
        <v>2</v>
      </c>
      <c r="I553" s="6">
        <v>331.31</v>
      </c>
      <c r="J553" s="5">
        <v>0.15</v>
      </c>
      <c r="K553" s="6">
        <v>45.06</v>
      </c>
      <c r="L553" s="6">
        <v>13.05</v>
      </c>
      <c r="M553" s="6">
        <v>621.34</v>
      </c>
      <c r="N553" s="5" t="s">
        <v>24</v>
      </c>
      <c r="O553" s="5" t="s">
        <v>107</v>
      </c>
      <c r="P553" s="5" t="s">
        <v>145</v>
      </c>
      <c r="Q553" s="5" t="s">
        <v>146</v>
      </c>
      <c r="R553" s="5" t="s">
        <v>38</v>
      </c>
    </row>
    <row r="554" spans="1:18" x14ac:dyDescent="0.3">
      <c r="A554" s="2" t="s">
        <v>1426</v>
      </c>
      <c r="B554" s="1">
        <v>44912</v>
      </c>
      <c r="C554" s="2" t="s">
        <v>1427</v>
      </c>
      <c r="D554" s="2" t="s">
        <v>201</v>
      </c>
      <c r="E554" s="2" t="s">
        <v>177</v>
      </c>
      <c r="F554" s="2" t="s">
        <v>81</v>
      </c>
      <c r="G554" s="2" t="s">
        <v>268</v>
      </c>
      <c r="H554" s="3">
        <v>4</v>
      </c>
      <c r="I554" s="3">
        <v>290.45</v>
      </c>
      <c r="J554" s="2">
        <v>0</v>
      </c>
      <c r="K554" s="3">
        <v>139.41999999999999</v>
      </c>
      <c r="L554" s="3">
        <v>13.2</v>
      </c>
      <c r="M554" s="3">
        <v>1314.42</v>
      </c>
      <c r="N554" s="2" t="s">
        <v>123</v>
      </c>
      <c r="O554" s="2" t="s">
        <v>82</v>
      </c>
      <c r="P554" s="2" t="s">
        <v>74</v>
      </c>
      <c r="Q554" s="2" t="s">
        <v>75</v>
      </c>
      <c r="R554" s="2" t="s">
        <v>76</v>
      </c>
    </row>
    <row r="555" spans="1:18" x14ac:dyDescent="0.3">
      <c r="A555" s="5" t="s">
        <v>1428</v>
      </c>
      <c r="B555" s="4">
        <v>45200</v>
      </c>
      <c r="C555" s="5" t="s">
        <v>1429</v>
      </c>
      <c r="D555" s="5" t="s">
        <v>754</v>
      </c>
      <c r="E555" s="5" t="s">
        <v>160</v>
      </c>
      <c r="F555" s="5" t="s">
        <v>81</v>
      </c>
      <c r="G555" s="5" t="s">
        <v>90</v>
      </c>
      <c r="H555" s="6">
        <v>3</v>
      </c>
      <c r="I555" s="6">
        <v>542.15</v>
      </c>
      <c r="J555" s="5">
        <v>0.15</v>
      </c>
      <c r="K555" s="6">
        <v>0</v>
      </c>
      <c r="L555" s="6">
        <v>8.0299999999999994</v>
      </c>
      <c r="M555" s="6">
        <v>1390.51</v>
      </c>
      <c r="N555" s="5" t="s">
        <v>35</v>
      </c>
      <c r="O555" s="5" t="s">
        <v>25</v>
      </c>
      <c r="P555" s="5" t="s">
        <v>145</v>
      </c>
      <c r="Q555" s="5" t="s">
        <v>146</v>
      </c>
      <c r="R555" s="5" t="s">
        <v>28</v>
      </c>
    </row>
    <row r="556" spans="1:18" x14ac:dyDescent="0.3">
      <c r="A556" s="2" t="s">
        <v>1430</v>
      </c>
      <c r="B556" s="1">
        <v>44571</v>
      </c>
      <c r="C556" s="2" t="s">
        <v>1431</v>
      </c>
      <c r="D556" s="2" t="s">
        <v>618</v>
      </c>
      <c r="E556" s="2" t="s">
        <v>99</v>
      </c>
      <c r="F556" s="2" t="s">
        <v>143</v>
      </c>
      <c r="G556" s="2" t="s">
        <v>23</v>
      </c>
      <c r="H556" s="3">
        <v>3</v>
      </c>
      <c r="I556" s="3">
        <v>446.2</v>
      </c>
      <c r="J556" s="2">
        <v>0</v>
      </c>
      <c r="K556" s="3">
        <v>0</v>
      </c>
      <c r="L556" s="3">
        <v>13.33</v>
      </c>
      <c r="M556" s="3">
        <v>1351.93</v>
      </c>
      <c r="N556" s="2" t="s">
        <v>58</v>
      </c>
      <c r="O556" s="2" t="s">
        <v>25</v>
      </c>
      <c r="P556" s="2" t="s">
        <v>173</v>
      </c>
      <c r="Q556" s="2" t="s">
        <v>174</v>
      </c>
      <c r="R556" s="2" t="s">
        <v>38</v>
      </c>
    </row>
    <row r="557" spans="1:18" x14ac:dyDescent="0.3">
      <c r="A557" s="5" t="s">
        <v>1432</v>
      </c>
      <c r="B557" s="4">
        <v>45328</v>
      </c>
      <c r="C557" s="5" t="s">
        <v>1433</v>
      </c>
      <c r="D557" s="5" t="s">
        <v>491</v>
      </c>
      <c r="E557" s="5" t="s">
        <v>216</v>
      </c>
      <c r="F557" s="5" t="s">
        <v>81</v>
      </c>
      <c r="G557" s="5" t="s">
        <v>198</v>
      </c>
      <c r="H557" s="6">
        <v>5</v>
      </c>
      <c r="I557" s="6">
        <v>129.53</v>
      </c>
      <c r="J557" s="5">
        <v>0.2</v>
      </c>
      <c r="K557" s="6">
        <v>25.91</v>
      </c>
      <c r="L557" s="6">
        <v>8.1199999999999992</v>
      </c>
      <c r="M557" s="6">
        <v>552.15</v>
      </c>
      <c r="N557" s="5" t="s">
        <v>35</v>
      </c>
      <c r="O557" s="5" t="s">
        <v>59</v>
      </c>
      <c r="P557" s="5" t="s">
        <v>101</v>
      </c>
      <c r="Q557" s="5" t="s">
        <v>102</v>
      </c>
      <c r="R557" s="5" t="s">
        <v>38</v>
      </c>
    </row>
    <row r="558" spans="1:18" x14ac:dyDescent="0.3">
      <c r="A558" s="2" t="s">
        <v>1434</v>
      </c>
      <c r="B558" s="1">
        <v>43947</v>
      </c>
      <c r="C558" s="2" t="s">
        <v>1435</v>
      </c>
      <c r="D558" s="2" t="s">
        <v>480</v>
      </c>
      <c r="E558" s="2" t="s">
        <v>256</v>
      </c>
      <c r="F558" s="2" t="s">
        <v>143</v>
      </c>
      <c r="G558" s="2" t="s">
        <v>57</v>
      </c>
      <c r="H558" s="3">
        <v>4</v>
      </c>
      <c r="I558" s="3">
        <v>379.2</v>
      </c>
      <c r="J558" s="2">
        <v>0</v>
      </c>
      <c r="K558" s="3">
        <v>75.84</v>
      </c>
      <c r="L558" s="3">
        <v>11.32</v>
      </c>
      <c r="M558" s="3">
        <v>1603.96</v>
      </c>
      <c r="N558" s="2" t="s">
        <v>35</v>
      </c>
      <c r="O558" s="2" t="s">
        <v>25</v>
      </c>
      <c r="P558" s="2" t="s">
        <v>51</v>
      </c>
      <c r="Q558" s="2" t="s">
        <v>52</v>
      </c>
      <c r="R558" s="2" t="s">
        <v>38</v>
      </c>
    </row>
    <row r="559" spans="1:18" x14ac:dyDescent="0.3">
      <c r="A559" s="5" t="s">
        <v>1436</v>
      </c>
      <c r="B559" s="4">
        <v>44621</v>
      </c>
      <c r="C559" s="5" t="s">
        <v>1437</v>
      </c>
      <c r="D559" s="5" t="s">
        <v>279</v>
      </c>
      <c r="E559" s="5" t="s">
        <v>425</v>
      </c>
      <c r="F559" s="5" t="s">
        <v>81</v>
      </c>
      <c r="G559" s="5" t="s">
        <v>23</v>
      </c>
      <c r="H559" s="6">
        <v>3</v>
      </c>
      <c r="I559" s="6">
        <v>287.91000000000003</v>
      </c>
      <c r="J559" s="5">
        <v>0.2</v>
      </c>
      <c r="K559" s="6">
        <v>55.28</v>
      </c>
      <c r="L559" s="6">
        <v>6.11</v>
      </c>
      <c r="M559" s="6">
        <v>752.37</v>
      </c>
      <c r="N559" s="5" t="s">
        <v>24</v>
      </c>
      <c r="O559" s="5" t="s">
        <v>107</v>
      </c>
      <c r="P559" s="5" t="s">
        <v>150</v>
      </c>
      <c r="Q559" s="5" t="s">
        <v>69</v>
      </c>
      <c r="R559" s="5" t="s">
        <v>183</v>
      </c>
    </row>
    <row r="560" spans="1:18" x14ac:dyDescent="0.3">
      <c r="A560" s="2" t="s">
        <v>1438</v>
      </c>
      <c r="B560" s="1">
        <v>44981</v>
      </c>
      <c r="C560" s="2" t="s">
        <v>1439</v>
      </c>
      <c r="D560" s="2" t="s">
        <v>531</v>
      </c>
      <c r="E560" s="2" t="s">
        <v>88</v>
      </c>
      <c r="F560" s="2" t="s">
        <v>43</v>
      </c>
      <c r="G560" s="2" t="s">
        <v>23</v>
      </c>
      <c r="H560" s="3">
        <v>1</v>
      </c>
      <c r="I560" s="3">
        <v>486.08</v>
      </c>
      <c r="J560" s="2">
        <v>0.05</v>
      </c>
      <c r="K560" s="3">
        <v>36.94</v>
      </c>
      <c r="L560" s="3">
        <v>3.69</v>
      </c>
      <c r="M560" s="3">
        <v>502.41</v>
      </c>
      <c r="N560" s="2" t="s">
        <v>35</v>
      </c>
      <c r="O560" s="2" t="s">
        <v>59</v>
      </c>
      <c r="P560" s="2" t="s">
        <v>74</v>
      </c>
      <c r="Q560" s="2" t="s">
        <v>75</v>
      </c>
      <c r="R560" s="2" t="s">
        <v>38</v>
      </c>
    </row>
    <row r="561" spans="1:18" x14ac:dyDescent="0.3">
      <c r="A561" s="5" t="s">
        <v>1440</v>
      </c>
      <c r="B561" s="4">
        <v>45247</v>
      </c>
      <c r="C561" s="5" t="s">
        <v>1441</v>
      </c>
      <c r="D561" s="5" t="s">
        <v>1349</v>
      </c>
      <c r="E561" s="5" t="s">
        <v>106</v>
      </c>
      <c r="F561" s="5" t="s">
        <v>81</v>
      </c>
      <c r="G561" s="5" t="s">
        <v>66</v>
      </c>
      <c r="H561" s="6">
        <v>2</v>
      </c>
      <c r="I561" s="6">
        <v>488</v>
      </c>
      <c r="J561" s="5">
        <v>0</v>
      </c>
      <c r="K561" s="6">
        <v>117.12</v>
      </c>
      <c r="L561" s="6">
        <v>10.06</v>
      </c>
      <c r="M561" s="6">
        <v>1103.18</v>
      </c>
      <c r="N561" s="5" t="s">
        <v>58</v>
      </c>
      <c r="O561" s="5" t="s">
        <v>25</v>
      </c>
      <c r="P561" s="5" t="s">
        <v>173</v>
      </c>
      <c r="Q561" s="5" t="s">
        <v>174</v>
      </c>
      <c r="R561" s="5" t="s">
        <v>61</v>
      </c>
    </row>
    <row r="562" spans="1:18" x14ac:dyDescent="0.3">
      <c r="A562" s="2" t="s">
        <v>1442</v>
      </c>
      <c r="B562" s="1">
        <v>44843</v>
      </c>
      <c r="C562" s="2" t="s">
        <v>1443</v>
      </c>
      <c r="D562" s="2" t="s">
        <v>754</v>
      </c>
      <c r="E562" s="2" t="s">
        <v>691</v>
      </c>
      <c r="F562" s="2" t="s">
        <v>43</v>
      </c>
      <c r="G562" s="2" t="s">
        <v>34</v>
      </c>
      <c r="H562" s="3">
        <v>4</v>
      </c>
      <c r="I562" s="3">
        <v>134.34</v>
      </c>
      <c r="J562" s="2">
        <v>0.15</v>
      </c>
      <c r="K562" s="3">
        <v>36.54</v>
      </c>
      <c r="L562" s="3">
        <v>14.11</v>
      </c>
      <c r="M562" s="3">
        <v>507.41</v>
      </c>
      <c r="N562" s="2" t="s">
        <v>24</v>
      </c>
      <c r="O562" s="2" t="s">
        <v>25</v>
      </c>
      <c r="P562" s="2" t="s">
        <v>257</v>
      </c>
      <c r="Q562" s="2" t="s">
        <v>69</v>
      </c>
      <c r="R562" s="2" t="s">
        <v>38</v>
      </c>
    </row>
    <row r="563" spans="1:18" x14ac:dyDescent="0.3">
      <c r="A563" s="5" t="s">
        <v>1444</v>
      </c>
      <c r="B563" s="4">
        <v>45495</v>
      </c>
      <c r="C563" s="5" t="s">
        <v>1445</v>
      </c>
      <c r="D563" s="5" t="s">
        <v>1096</v>
      </c>
      <c r="E563" s="5" t="s">
        <v>111</v>
      </c>
      <c r="F563" s="5" t="s">
        <v>143</v>
      </c>
      <c r="G563" s="5" t="s">
        <v>203</v>
      </c>
      <c r="H563" s="6">
        <v>3</v>
      </c>
      <c r="I563" s="6">
        <v>301.47000000000003</v>
      </c>
      <c r="J563" s="5">
        <v>0</v>
      </c>
      <c r="K563" s="6">
        <v>162.79</v>
      </c>
      <c r="L563" s="6">
        <v>1.01</v>
      </c>
      <c r="M563" s="6">
        <v>1068.21</v>
      </c>
      <c r="N563" s="5" t="s">
        <v>58</v>
      </c>
      <c r="O563" s="5" t="s">
        <v>25</v>
      </c>
      <c r="P563" s="5" t="s">
        <v>68</v>
      </c>
      <c r="Q563" s="5" t="s">
        <v>69</v>
      </c>
      <c r="R563" s="5" t="s">
        <v>28</v>
      </c>
    </row>
    <row r="564" spans="1:18" x14ac:dyDescent="0.3">
      <c r="A564" s="2" t="s">
        <v>1446</v>
      </c>
      <c r="B564" s="1">
        <v>44912</v>
      </c>
      <c r="C564" s="2" t="s">
        <v>1447</v>
      </c>
      <c r="D564" s="2" t="s">
        <v>196</v>
      </c>
      <c r="E564" s="2" t="s">
        <v>94</v>
      </c>
      <c r="F564" s="2" t="s">
        <v>43</v>
      </c>
      <c r="G564" s="2" t="s">
        <v>66</v>
      </c>
      <c r="H564" s="3">
        <v>3</v>
      </c>
      <c r="I564" s="3">
        <v>326.22000000000003</v>
      </c>
      <c r="J564" s="2">
        <v>0.3</v>
      </c>
      <c r="K564" s="3">
        <v>0</v>
      </c>
      <c r="L564" s="3">
        <v>12.96</v>
      </c>
      <c r="M564" s="3">
        <v>698.02</v>
      </c>
      <c r="N564" s="2" t="s">
        <v>67</v>
      </c>
      <c r="O564" s="2" t="s">
        <v>107</v>
      </c>
      <c r="P564" s="2" t="s">
        <v>112</v>
      </c>
      <c r="Q564" s="2" t="s">
        <v>113</v>
      </c>
      <c r="R564" s="2" t="s">
        <v>38</v>
      </c>
    </row>
    <row r="565" spans="1:18" x14ac:dyDescent="0.3">
      <c r="A565" s="5" t="s">
        <v>1448</v>
      </c>
      <c r="B565" s="4">
        <v>44464</v>
      </c>
      <c r="C565" s="5" t="s">
        <v>1449</v>
      </c>
      <c r="D565" s="5" t="s">
        <v>877</v>
      </c>
      <c r="E565" s="5" t="s">
        <v>287</v>
      </c>
      <c r="F565" s="5" t="s">
        <v>81</v>
      </c>
      <c r="G565" s="5" t="s">
        <v>34</v>
      </c>
      <c r="H565" s="6">
        <v>1</v>
      </c>
      <c r="I565" s="6">
        <v>209.89</v>
      </c>
      <c r="J565" s="5">
        <v>0.25</v>
      </c>
      <c r="K565" s="6">
        <v>28.34</v>
      </c>
      <c r="L565" s="6">
        <v>5.39</v>
      </c>
      <c r="M565" s="6">
        <v>191.15</v>
      </c>
      <c r="N565" s="5" t="s">
        <v>67</v>
      </c>
      <c r="O565" s="5" t="s">
        <v>25</v>
      </c>
      <c r="P565" s="5" t="s">
        <v>68</v>
      </c>
      <c r="Q565" s="5" t="s">
        <v>69</v>
      </c>
      <c r="R565" s="5" t="s">
        <v>38</v>
      </c>
    </row>
    <row r="566" spans="1:18" x14ac:dyDescent="0.3">
      <c r="A566" s="2" t="s">
        <v>1450</v>
      </c>
      <c r="B566" s="1">
        <v>44343</v>
      </c>
      <c r="C566" s="2" t="s">
        <v>1451</v>
      </c>
      <c r="D566" s="2" t="s">
        <v>1377</v>
      </c>
      <c r="E566" s="2" t="s">
        <v>32</v>
      </c>
      <c r="F566" s="2" t="s">
        <v>22</v>
      </c>
      <c r="G566" s="2" t="s">
        <v>203</v>
      </c>
      <c r="H566" s="3">
        <v>4</v>
      </c>
      <c r="I566" s="3">
        <v>8.39</v>
      </c>
      <c r="J566" s="2">
        <v>0</v>
      </c>
      <c r="K566" s="3">
        <v>2.68</v>
      </c>
      <c r="L566" s="3">
        <v>4.5999999999999996</v>
      </c>
      <c r="M566" s="3">
        <v>40.840000000000003</v>
      </c>
      <c r="N566" s="2" t="s">
        <v>67</v>
      </c>
      <c r="O566" s="2" t="s">
        <v>25</v>
      </c>
      <c r="P566" s="2" t="s">
        <v>101</v>
      </c>
      <c r="Q566" s="2" t="s">
        <v>102</v>
      </c>
      <c r="R566" s="2" t="s">
        <v>28</v>
      </c>
    </row>
    <row r="567" spans="1:18" x14ac:dyDescent="0.3">
      <c r="A567" s="5" t="s">
        <v>1452</v>
      </c>
      <c r="B567" s="4">
        <v>45605</v>
      </c>
      <c r="C567" s="5" t="s">
        <v>1453</v>
      </c>
      <c r="D567" s="5" t="s">
        <v>613</v>
      </c>
      <c r="E567" s="5" t="s">
        <v>164</v>
      </c>
      <c r="F567" s="5" t="s">
        <v>22</v>
      </c>
      <c r="G567" s="5" t="s">
        <v>23</v>
      </c>
      <c r="H567" s="6">
        <v>3</v>
      </c>
      <c r="I567" s="6">
        <v>596.75</v>
      </c>
      <c r="J567" s="5">
        <v>0.05</v>
      </c>
      <c r="K567" s="6">
        <v>0</v>
      </c>
      <c r="L567" s="6">
        <v>11.38</v>
      </c>
      <c r="M567" s="6">
        <v>1712.12</v>
      </c>
      <c r="N567" s="5" t="s">
        <v>24</v>
      </c>
      <c r="O567" s="5" t="s">
        <v>25</v>
      </c>
      <c r="P567" s="5" t="s">
        <v>95</v>
      </c>
      <c r="Q567" s="5" t="s">
        <v>37</v>
      </c>
      <c r="R567" s="5" t="s">
        <v>28</v>
      </c>
    </row>
    <row r="568" spans="1:18" x14ac:dyDescent="0.3">
      <c r="A568" s="2" t="s">
        <v>1454</v>
      </c>
      <c r="B568" s="1">
        <v>44632</v>
      </c>
      <c r="C568" s="2" t="s">
        <v>1455</v>
      </c>
      <c r="D568" s="2" t="s">
        <v>400</v>
      </c>
      <c r="E568" s="2" t="s">
        <v>122</v>
      </c>
      <c r="F568" s="2" t="s">
        <v>89</v>
      </c>
      <c r="G568" s="2" t="s">
        <v>198</v>
      </c>
      <c r="H568" s="3">
        <v>2</v>
      </c>
      <c r="I568" s="3">
        <v>165.15</v>
      </c>
      <c r="J568" s="2">
        <v>0</v>
      </c>
      <c r="K568" s="3">
        <v>16.52</v>
      </c>
      <c r="L568" s="3">
        <v>10.49</v>
      </c>
      <c r="M568" s="3">
        <v>357.31</v>
      </c>
      <c r="N568" s="2" t="s">
        <v>58</v>
      </c>
      <c r="O568" s="2" t="s">
        <v>25</v>
      </c>
      <c r="P568" s="2" t="s">
        <v>74</v>
      </c>
      <c r="Q568" s="2" t="s">
        <v>75</v>
      </c>
      <c r="R568" s="2" t="s">
        <v>38</v>
      </c>
    </row>
    <row r="569" spans="1:18" x14ac:dyDescent="0.3">
      <c r="A569" s="5" t="s">
        <v>1456</v>
      </c>
      <c r="B569" s="4">
        <v>44950</v>
      </c>
      <c r="C569" s="5" t="s">
        <v>1457</v>
      </c>
      <c r="D569" s="5" t="s">
        <v>209</v>
      </c>
      <c r="E569" s="5" t="s">
        <v>94</v>
      </c>
      <c r="F569" s="5" t="s">
        <v>143</v>
      </c>
      <c r="G569" s="5" t="s">
        <v>66</v>
      </c>
      <c r="H569" s="6">
        <v>2</v>
      </c>
      <c r="I569" s="6">
        <v>427.79</v>
      </c>
      <c r="J569" s="5">
        <v>0</v>
      </c>
      <c r="K569" s="6">
        <v>154</v>
      </c>
      <c r="L569" s="6">
        <v>0.21</v>
      </c>
      <c r="M569" s="6">
        <v>1009.79</v>
      </c>
      <c r="N569" s="5" t="s">
        <v>35</v>
      </c>
      <c r="O569" s="5" t="s">
        <v>25</v>
      </c>
      <c r="P569" s="5" t="s">
        <v>60</v>
      </c>
      <c r="Q569" s="5" t="s">
        <v>37</v>
      </c>
      <c r="R569" s="5" t="s">
        <v>38</v>
      </c>
    </row>
    <row r="570" spans="1:18" x14ac:dyDescent="0.3">
      <c r="A570" s="2" t="s">
        <v>1458</v>
      </c>
      <c r="B570" s="1">
        <v>45492</v>
      </c>
      <c r="C570" s="2" t="s">
        <v>762</v>
      </c>
      <c r="D570" s="2" t="s">
        <v>242</v>
      </c>
      <c r="E570" s="2" t="s">
        <v>349</v>
      </c>
      <c r="F570" s="2" t="s">
        <v>89</v>
      </c>
      <c r="G570" s="2" t="s">
        <v>66</v>
      </c>
      <c r="H570" s="3">
        <v>2</v>
      </c>
      <c r="I570" s="3">
        <v>532.98</v>
      </c>
      <c r="J570" s="2">
        <v>0.3</v>
      </c>
      <c r="K570" s="3">
        <v>59.69</v>
      </c>
      <c r="L570" s="3">
        <v>3.77</v>
      </c>
      <c r="M570" s="3">
        <v>809.63</v>
      </c>
      <c r="N570" s="2" t="s">
        <v>24</v>
      </c>
      <c r="O570" s="2" t="s">
        <v>25</v>
      </c>
      <c r="P570" s="2" t="s">
        <v>133</v>
      </c>
      <c r="Q570" s="2" t="s">
        <v>134</v>
      </c>
      <c r="R570" s="2" t="s">
        <v>38</v>
      </c>
    </row>
    <row r="571" spans="1:18" x14ac:dyDescent="0.3">
      <c r="A571" s="5" t="s">
        <v>1459</v>
      </c>
      <c r="B571" s="4">
        <v>44972</v>
      </c>
      <c r="C571" s="5" t="s">
        <v>1460</v>
      </c>
      <c r="D571" s="5" t="s">
        <v>255</v>
      </c>
      <c r="E571" s="5" t="s">
        <v>88</v>
      </c>
      <c r="F571" s="5" t="s">
        <v>33</v>
      </c>
      <c r="G571" s="5" t="s">
        <v>49</v>
      </c>
      <c r="H571" s="6">
        <v>4</v>
      </c>
      <c r="I571" s="6">
        <v>158.41999999999999</v>
      </c>
      <c r="J571" s="5">
        <v>0.05</v>
      </c>
      <c r="K571" s="6">
        <v>48.16</v>
      </c>
      <c r="L571" s="6">
        <v>12.19</v>
      </c>
      <c r="M571" s="6">
        <v>662.35</v>
      </c>
      <c r="N571" s="5" t="s">
        <v>50</v>
      </c>
      <c r="O571" s="5" t="s">
        <v>25</v>
      </c>
      <c r="P571" s="5" t="s">
        <v>178</v>
      </c>
      <c r="Q571" s="5" t="s">
        <v>69</v>
      </c>
      <c r="R571" s="5" t="s">
        <v>38</v>
      </c>
    </row>
    <row r="572" spans="1:18" x14ac:dyDescent="0.3">
      <c r="A572" s="2" t="s">
        <v>1461</v>
      </c>
      <c r="B572" s="1">
        <v>44390</v>
      </c>
      <c r="C572" s="2" t="s">
        <v>1462</v>
      </c>
      <c r="D572" s="2" t="s">
        <v>20</v>
      </c>
      <c r="E572" s="2" t="s">
        <v>437</v>
      </c>
      <c r="F572" s="2" t="s">
        <v>33</v>
      </c>
      <c r="G572" s="2" t="s">
        <v>49</v>
      </c>
      <c r="H572" s="3">
        <v>2</v>
      </c>
      <c r="I572" s="3">
        <v>501.89</v>
      </c>
      <c r="J572" s="2">
        <v>0</v>
      </c>
      <c r="K572" s="3">
        <v>120.45</v>
      </c>
      <c r="L572" s="3">
        <v>5.94</v>
      </c>
      <c r="M572" s="3">
        <v>1130.17</v>
      </c>
      <c r="N572" s="2" t="s">
        <v>35</v>
      </c>
      <c r="O572" s="2" t="s">
        <v>107</v>
      </c>
      <c r="P572" s="2" t="s">
        <v>36</v>
      </c>
      <c r="Q572" s="2" t="s">
        <v>37</v>
      </c>
      <c r="R572" s="2" t="s">
        <v>38</v>
      </c>
    </row>
    <row r="573" spans="1:18" x14ac:dyDescent="0.3">
      <c r="A573" s="5" t="s">
        <v>1463</v>
      </c>
      <c r="B573" s="4">
        <v>45455</v>
      </c>
      <c r="C573" s="5" t="s">
        <v>1464</v>
      </c>
      <c r="D573" s="5" t="s">
        <v>558</v>
      </c>
      <c r="E573" s="5" t="s">
        <v>267</v>
      </c>
      <c r="F573" s="5" t="s">
        <v>143</v>
      </c>
      <c r="G573" s="5" t="s">
        <v>66</v>
      </c>
      <c r="H573" s="6">
        <v>5</v>
      </c>
      <c r="I573" s="6">
        <v>45.87</v>
      </c>
      <c r="J573" s="5">
        <v>0</v>
      </c>
      <c r="K573" s="6">
        <v>27.52</v>
      </c>
      <c r="L573" s="6">
        <v>13.66</v>
      </c>
      <c r="M573" s="6">
        <v>270.52999999999997</v>
      </c>
      <c r="N573" s="5" t="s">
        <v>24</v>
      </c>
      <c r="O573" s="5" t="s">
        <v>59</v>
      </c>
      <c r="P573" s="5" t="s">
        <v>112</v>
      </c>
      <c r="Q573" s="5" t="s">
        <v>113</v>
      </c>
      <c r="R573" s="5" t="s">
        <v>38</v>
      </c>
    </row>
    <row r="574" spans="1:18" x14ac:dyDescent="0.3">
      <c r="A574" s="2" t="s">
        <v>1465</v>
      </c>
      <c r="B574" s="1">
        <v>44318</v>
      </c>
      <c r="C574" s="2" t="s">
        <v>1466</v>
      </c>
      <c r="D574" s="2" t="s">
        <v>1377</v>
      </c>
      <c r="E574" s="2" t="s">
        <v>99</v>
      </c>
      <c r="F574" s="2" t="s">
        <v>143</v>
      </c>
      <c r="G574" s="2" t="s">
        <v>66</v>
      </c>
      <c r="H574" s="3">
        <v>2</v>
      </c>
      <c r="I574" s="3">
        <v>393.45</v>
      </c>
      <c r="J574" s="2">
        <v>0</v>
      </c>
      <c r="K574" s="3">
        <v>62.95</v>
      </c>
      <c r="L574" s="3">
        <v>0.82</v>
      </c>
      <c r="M574" s="3">
        <v>850.67</v>
      </c>
      <c r="N574" s="2" t="s">
        <v>35</v>
      </c>
      <c r="O574" s="2" t="s">
        <v>25</v>
      </c>
      <c r="P574" s="2" t="s">
        <v>257</v>
      </c>
      <c r="Q574" s="2" t="s">
        <v>69</v>
      </c>
      <c r="R574" s="2" t="s">
        <v>28</v>
      </c>
    </row>
    <row r="575" spans="1:18" x14ac:dyDescent="0.3">
      <c r="A575" s="5" t="s">
        <v>1467</v>
      </c>
      <c r="B575" s="4">
        <v>45091</v>
      </c>
      <c r="C575" s="5" t="s">
        <v>1468</v>
      </c>
      <c r="D575" s="5" t="s">
        <v>957</v>
      </c>
      <c r="E575" s="5" t="s">
        <v>324</v>
      </c>
      <c r="F575" s="5" t="s">
        <v>89</v>
      </c>
      <c r="G575" s="5" t="s">
        <v>34</v>
      </c>
      <c r="H575" s="6">
        <v>4</v>
      </c>
      <c r="I575" s="6">
        <v>194.44</v>
      </c>
      <c r="J575" s="5">
        <v>0.05</v>
      </c>
      <c r="K575" s="6">
        <v>59.11</v>
      </c>
      <c r="L575" s="6">
        <v>5.87</v>
      </c>
      <c r="M575" s="6">
        <v>803.85</v>
      </c>
      <c r="N575" s="5" t="s">
        <v>58</v>
      </c>
      <c r="O575" s="5" t="s">
        <v>25</v>
      </c>
      <c r="P575" s="5" t="s">
        <v>101</v>
      </c>
      <c r="Q575" s="5" t="s">
        <v>102</v>
      </c>
      <c r="R575" s="5" t="s">
        <v>38</v>
      </c>
    </row>
    <row r="576" spans="1:18" x14ac:dyDescent="0.3">
      <c r="A576" s="2" t="s">
        <v>1469</v>
      </c>
      <c r="B576" s="1">
        <v>44727</v>
      </c>
      <c r="C576" s="2" t="s">
        <v>1470</v>
      </c>
      <c r="D576" s="2" t="s">
        <v>690</v>
      </c>
      <c r="E576" s="2" t="s">
        <v>300</v>
      </c>
      <c r="F576" s="2" t="s">
        <v>143</v>
      </c>
      <c r="G576" s="2" t="s">
        <v>66</v>
      </c>
      <c r="H576" s="3">
        <v>1</v>
      </c>
      <c r="I576" s="3">
        <v>301.99</v>
      </c>
      <c r="J576" s="2">
        <v>0.15</v>
      </c>
      <c r="K576" s="3">
        <v>12.83</v>
      </c>
      <c r="L576" s="3">
        <v>3.11</v>
      </c>
      <c r="M576" s="3">
        <v>272.63</v>
      </c>
      <c r="N576" s="2" t="s">
        <v>123</v>
      </c>
      <c r="O576" s="2" t="s">
        <v>25</v>
      </c>
      <c r="P576" s="2" t="s">
        <v>133</v>
      </c>
      <c r="Q576" s="2" t="s">
        <v>134</v>
      </c>
      <c r="R576" s="2" t="s">
        <v>38</v>
      </c>
    </row>
    <row r="577" spans="1:18" x14ac:dyDescent="0.3">
      <c r="A577" s="5" t="s">
        <v>1471</v>
      </c>
      <c r="B577" s="4">
        <v>45126</v>
      </c>
      <c r="C577" s="5" t="s">
        <v>1472</v>
      </c>
      <c r="D577" s="5" t="s">
        <v>237</v>
      </c>
      <c r="E577" s="5" t="s">
        <v>287</v>
      </c>
      <c r="F577" s="5" t="s">
        <v>89</v>
      </c>
      <c r="G577" s="5" t="s">
        <v>198</v>
      </c>
      <c r="H577" s="6">
        <v>5</v>
      </c>
      <c r="I577" s="6">
        <v>584.19000000000005</v>
      </c>
      <c r="J577" s="5">
        <v>0.1</v>
      </c>
      <c r="K577" s="6">
        <v>131.44</v>
      </c>
      <c r="L577" s="6">
        <v>5.65</v>
      </c>
      <c r="M577" s="6">
        <v>2765.95</v>
      </c>
      <c r="N577" s="5" t="s">
        <v>58</v>
      </c>
      <c r="O577" s="5" t="s">
        <v>25</v>
      </c>
      <c r="P577" s="5" t="s">
        <v>165</v>
      </c>
      <c r="Q577" s="5" t="s">
        <v>37</v>
      </c>
      <c r="R577" s="5" t="s">
        <v>38</v>
      </c>
    </row>
    <row r="578" spans="1:18" x14ac:dyDescent="0.3">
      <c r="A578" s="2" t="s">
        <v>1473</v>
      </c>
      <c r="B578" s="1">
        <v>45043</v>
      </c>
      <c r="C578" s="2" t="s">
        <v>1474</v>
      </c>
      <c r="D578" s="2" t="s">
        <v>1158</v>
      </c>
      <c r="E578" s="2" t="s">
        <v>243</v>
      </c>
      <c r="F578" s="2" t="s">
        <v>43</v>
      </c>
      <c r="G578" s="2" t="s">
        <v>34</v>
      </c>
      <c r="H578" s="3">
        <v>3</v>
      </c>
      <c r="I578" s="3">
        <v>326.83999999999997</v>
      </c>
      <c r="J578" s="2">
        <v>0.05</v>
      </c>
      <c r="K578" s="3">
        <v>46.57</v>
      </c>
      <c r="L578" s="3">
        <v>8.4700000000000006</v>
      </c>
      <c r="M578" s="3">
        <v>986.53</v>
      </c>
      <c r="N578" s="2" t="s">
        <v>24</v>
      </c>
      <c r="O578" s="2" t="s">
        <v>25</v>
      </c>
      <c r="P578" s="2" t="s">
        <v>95</v>
      </c>
      <c r="Q578" s="2" t="s">
        <v>37</v>
      </c>
      <c r="R578" s="2" t="s">
        <v>38</v>
      </c>
    </row>
    <row r="579" spans="1:18" x14ac:dyDescent="0.3">
      <c r="A579" s="5" t="s">
        <v>1475</v>
      </c>
      <c r="B579" s="4">
        <v>44534</v>
      </c>
      <c r="C579" s="5" t="s">
        <v>1476</v>
      </c>
      <c r="D579" s="5" t="s">
        <v>276</v>
      </c>
      <c r="E579" s="5" t="s">
        <v>160</v>
      </c>
      <c r="F579" s="5" t="s">
        <v>22</v>
      </c>
      <c r="G579" s="5" t="s">
        <v>66</v>
      </c>
      <c r="H579" s="6">
        <v>2</v>
      </c>
      <c r="I579" s="6">
        <v>417.98</v>
      </c>
      <c r="J579" s="5">
        <v>0.05</v>
      </c>
      <c r="K579" s="6">
        <v>95.3</v>
      </c>
      <c r="L579" s="6">
        <v>8.52</v>
      </c>
      <c r="M579" s="6">
        <v>897.98</v>
      </c>
      <c r="N579" s="5" t="s">
        <v>24</v>
      </c>
      <c r="O579" s="5" t="s">
        <v>25</v>
      </c>
      <c r="P579" s="5" t="s">
        <v>145</v>
      </c>
      <c r="Q579" s="5" t="s">
        <v>146</v>
      </c>
      <c r="R579" s="5" t="s">
        <v>28</v>
      </c>
    </row>
    <row r="580" spans="1:18" x14ac:dyDescent="0.3">
      <c r="A580" s="2" t="s">
        <v>1477</v>
      </c>
      <c r="B580" s="1">
        <v>45301</v>
      </c>
      <c r="C580" s="2" t="s">
        <v>1478</v>
      </c>
      <c r="D580" s="2" t="s">
        <v>655</v>
      </c>
      <c r="E580" s="2" t="s">
        <v>231</v>
      </c>
      <c r="F580" s="2" t="s">
        <v>81</v>
      </c>
      <c r="G580" s="2" t="s">
        <v>66</v>
      </c>
      <c r="H580" s="3">
        <v>1</v>
      </c>
      <c r="I580" s="3">
        <v>517.9</v>
      </c>
      <c r="J580" s="2">
        <v>0.05</v>
      </c>
      <c r="K580" s="3">
        <v>59.04</v>
      </c>
      <c r="L580" s="3">
        <v>10.5</v>
      </c>
      <c r="M580" s="3">
        <v>561.54</v>
      </c>
      <c r="N580" s="2" t="s">
        <v>58</v>
      </c>
      <c r="O580" s="2" t="s">
        <v>25</v>
      </c>
      <c r="P580" s="2" t="s">
        <v>150</v>
      </c>
      <c r="Q580" s="2" t="s">
        <v>69</v>
      </c>
      <c r="R580" s="2" t="s">
        <v>38</v>
      </c>
    </row>
    <row r="581" spans="1:18" x14ac:dyDescent="0.3">
      <c r="A581" s="5" t="s">
        <v>1479</v>
      </c>
      <c r="B581" s="4">
        <v>44411</v>
      </c>
      <c r="C581" s="5" t="s">
        <v>1480</v>
      </c>
      <c r="D581" s="5" t="s">
        <v>574</v>
      </c>
      <c r="E581" s="5" t="s">
        <v>691</v>
      </c>
      <c r="F581" s="5" t="s">
        <v>89</v>
      </c>
      <c r="G581" s="5" t="s">
        <v>268</v>
      </c>
      <c r="H581" s="6">
        <v>5</v>
      </c>
      <c r="I581" s="6">
        <v>29.2</v>
      </c>
      <c r="J581" s="5">
        <v>0.05</v>
      </c>
      <c r="K581" s="6">
        <v>0</v>
      </c>
      <c r="L581" s="6">
        <v>11.99</v>
      </c>
      <c r="M581" s="6">
        <v>150.69</v>
      </c>
      <c r="N581" s="5" t="s">
        <v>50</v>
      </c>
      <c r="O581" s="5" t="s">
        <v>107</v>
      </c>
      <c r="P581" s="5" t="s">
        <v>257</v>
      </c>
      <c r="Q581" s="5" t="s">
        <v>69</v>
      </c>
      <c r="R581" s="5" t="s">
        <v>183</v>
      </c>
    </row>
    <row r="582" spans="1:18" x14ac:dyDescent="0.3">
      <c r="A582" s="2" t="s">
        <v>1481</v>
      </c>
      <c r="B582" s="1">
        <v>44620</v>
      </c>
      <c r="C582" s="2" t="s">
        <v>1482</v>
      </c>
      <c r="D582" s="2" t="s">
        <v>371</v>
      </c>
      <c r="E582" s="2" t="s">
        <v>80</v>
      </c>
      <c r="F582" s="2" t="s">
        <v>143</v>
      </c>
      <c r="G582" s="2" t="s">
        <v>90</v>
      </c>
      <c r="H582" s="3">
        <v>3</v>
      </c>
      <c r="I582" s="3">
        <v>119.58</v>
      </c>
      <c r="J582" s="2">
        <v>0.05</v>
      </c>
      <c r="K582" s="3">
        <v>17.04</v>
      </c>
      <c r="L582" s="3">
        <v>6.34</v>
      </c>
      <c r="M582" s="3">
        <v>364.18</v>
      </c>
      <c r="N582" s="2" t="s">
        <v>58</v>
      </c>
      <c r="O582" s="2" t="s">
        <v>25</v>
      </c>
      <c r="P582" s="2" t="s">
        <v>150</v>
      </c>
      <c r="Q582" s="2" t="s">
        <v>69</v>
      </c>
      <c r="R582" s="2" t="s">
        <v>28</v>
      </c>
    </row>
    <row r="583" spans="1:18" x14ac:dyDescent="0.3">
      <c r="A583" s="5" t="s">
        <v>1483</v>
      </c>
      <c r="B583" s="4">
        <v>44691</v>
      </c>
      <c r="C583" s="5" t="s">
        <v>1484</v>
      </c>
      <c r="D583" s="5" t="s">
        <v>613</v>
      </c>
      <c r="E583" s="5" t="s">
        <v>267</v>
      </c>
      <c r="F583" s="5" t="s">
        <v>43</v>
      </c>
      <c r="G583" s="5" t="s">
        <v>203</v>
      </c>
      <c r="H583" s="6">
        <v>3</v>
      </c>
      <c r="I583" s="6">
        <v>499.02</v>
      </c>
      <c r="J583" s="5">
        <v>0</v>
      </c>
      <c r="K583" s="6">
        <v>0</v>
      </c>
      <c r="L583" s="6">
        <v>12.59</v>
      </c>
      <c r="M583" s="6">
        <v>1509.65</v>
      </c>
      <c r="N583" s="5" t="s">
        <v>24</v>
      </c>
      <c r="O583" s="5" t="s">
        <v>25</v>
      </c>
      <c r="P583" s="5" t="s">
        <v>145</v>
      </c>
      <c r="Q583" s="5" t="s">
        <v>146</v>
      </c>
      <c r="R583" s="5" t="s">
        <v>38</v>
      </c>
    </row>
    <row r="584" spans="1:18" x14ac:dyDescent="0.3">
      <c r="A584" s="2" t="s">
        <v>1485</v>
      </c>
      <c r="B584" s="1">
        <v>44077</v>
      </c>
      <c r="C584" s="2" t="s">
        <v>1486</v>
      </c>
      <c r="D584" s="2" t="s">
        <v>137</v>
      </c>
      <c r="E584" s="2" t="s">
        <v>182</v>
      </c>
      <c r="F584" s="2" t="s">
        <v>43</v>
      </c>
      <c r="G584" s="2" t="s">
        <v>90</v>
      </c>
      <c r="H584" s="3">
        <v>2</v>
      </c>
      <c r="I584" s="3">
        <v>77.94</v>
      </c>
      <c r="J584" s="2">
        <v>0.05</v>
      </c>
      <c r="K584" s="3">
        <v>17.77</v>
      </c>
      <c r="L584" s="3">
        <v>9.49</v>
      </c>
      <c r="M584" s="3">
        <v>175.35</v>
      </c>
      <c r="N584" s="2" t="s">
        <v>24</v>
      </c>
      <c r="O584" s="2" t="s">
        <v>25</v>
      </c>
      <c r="P584" s="2" t="s">
        <v>150</v>
      </c>
      <c r="Q584" s="2" t="s">
        <v>69</v>
      </c>
      <c r="R584" s="2" t="s">
        <v>28</v>
      </c>
    </row>
    <row r="585" spans="1:18" x14ac:dyDescent="0.3">
      <c r="A585" s="5" t="s">
        <v>1487</v>
      </c>
      <c r="B585" s="4">
        <v>44930</v>
      </c>
      <c r="C585" s="5" t="s">
        <v>1488</v>
      </c>
      <c r="D585" s="5" t="s">
        <v>1176</v>
      </c>
      <c r="E585" s="5" t="s">
        <v>106</v>
      </c>
      <c r="F585" s="5" t="s">
        <v>89</v>
      </c>
      <c r="G585" s="5" t="s">
        <v>57</v>
      </c>
      <c r="H585" s="6">
        <v>3</v>
      </c>
      <c r="I585" s="6">
        <v>172.75</v>
      </c>
      <c r="J585" s="5">
        <v>0</v>
      </c>
      <c r="K585" s="6">
        <v>25.91</v>
      </c>
      <c r="L585" s="6">
        <v>0.56999999999999995</v>
      </c>
      <c r="M585" s="6">
        <v>544.73</v>
      </c>
      <c r="N585" s="5" t="s">
        <v>58</v>
      </c>
      <c r="O585" s="5" t="s">
        <v>25</v>
      </c>
      <c r="P585" s="5" t="s">
        <v>178</v>
      </c>
      <c r="Q585" s="5" t="s">
        <v>69</v>
      </c>
      <c r="R585" s="5" t="s">
        <v>76</v>
      </c>
    </row>
    <row r="586" spans="1:18" x14ac:dyDescent="0.3">
      <c r="A586" s="2" t="s">
        <v>1489</v>
      </c>
      <c r="B586" s="1">
        <v>43984</v>
      </c>
      <c r="C586" s="2" t="s">
        <v>1490</v>
      </c>
      <c r="D586" s="2" t="s">
        <v>131</v>
      </c>
      <c r="E586" s="2" t="s">
        <v>88</v>
      </c>
      <c r="F586" s="2" t="s">
        <v>43</v>
      </c>
      <c r="G586" s="2" t="s">
        <v>268</v>
      </c>
      <c r="H586" s="3">
        <v>2</v>
      </c>
      <c r="I586" s="3">
        <v>447.53</v>
      </c>
      <c r="J586" s="2">
        <v>0</v>
      </c>
      <c r="K586" s="3">
        <v>44.75</v>
      </c>
      <c r="L586" s="3">
        <v>0.73</v>
      </c>
      <c r="M586" s="3">
        <v>940.54</v>
      </c>
      <c r="N586" s="2" t="s">
        <v>123</v>
      </c>
      <c r="O586" s="2" t="s">
        <v>25</v>
      </c>
      <c r="P586" s="2" t="s">
        <v>101</v>
      </c>
      <c r="Q586" s="2" t="s">
        <v>102</v>
      </c>
      <c r="R586" s="2" t="s">
        <v>61</v>
      </c>
    </row>
    <row r="587" spans="1:18" x14ac:dyDescent="0.3">
      <c r="A587" s="5" t="s">
        <v>1491</v>
      </c>
      <c r="B587" s="4">
        <v>45510</v>
      </c>
      <c r="C587" s="5" t="s">
        <v>1492</v>
      </c>
      <c r="D587" s="5" t="s">
        <v>696</v>
      </c>
      <c r="E587" s="5" t="s">
        <v>577</v>
      </c>
      <c r="F587" s="5" t="s">
        <v>22</v>
      </c>
      <c r="G587" s="5" t="s">
        <v>198</v>
      </c>
      <c r="H587" s="6">
        <v>2</v>
      </c>
      <c r="I587" s="6">
        <v>181.28</v>
      </c>
      <c r="J587" s="5">
        <v>0</v>
      </c>
      <c r="K587" s="6">
        <v>18.13</v>
      </c>
      <c r="L587" s="6">
        <v>13.41</v>
      </c>
      <c r="M587" s="6">
        <v>394.1</v>
      </c>
      <c r="N587" s="5" t="s">
        <v>123</v>
      </c>
      <c r="O587" s="5" t="s">
        <v>144</v>
      </c>
      <c r="P587" s="5" t="s">
        <v>124</v>
      </c>
      <c r="Q587" s="5" t="s">
        <v>125</v>
      </c>
      <c r="R587" s="5" t="s">
        <v>38</v>
      </c>
    </row>
    <row r="588" spans="1:18" x14ac:dyDescent="0.3">
      <c r="A588" s="2" t="s">
        <v>1493</v>
      </c>
      <c r="B588" s="1">
        <v>45289</v>
      </c>
      <c r="C588" s="2" t="s">
        <v>1494</v>
      </c>
      <c r="D588" s="2" t="s">
        <v>1495</v>
      </c>
      <c r="E588" s="2" t="s">
        <v>349</v>
      </c>
      <c r="F588" s="2" t="s">
        <v>89</v>
      </c>
      <c r="G588" s="2" t="s">
        <v>198</v>
      </c>
      <c r="H588" s="3">
        <v>5</v>
      </c>
      <c r="I588" s="3">
        <v>365.39</v>
      </c>
      <c r="J588" s="2">
        <v>0.2</v>
      </c>
      <c r="K588" s="3">
        <v>73.08</v>
      </c>
      <c r="L588" s="3">
        <v>13.35</v>
      </c>
      <c r="M588" s="3">
        <v>1547.99</v>
      </c>
      <c r="N588" s="2" t="s">
        <v>24</v>
      </c>
      <c r="O588" s="2" t="s">
        <v>25</v>
      </c>
      <c r="P588" s="2" t="s">
        <v>44</v>
      </c>
      <c r="Q588" s="2" t="s">
        <v>37</v>
      </c>
      <c r="R588" s="2" t="s">
        <v>38</v>
      </c>
    </row>
    <row r="589" spans="1:18" x14ac:dyDescent="0.3">
      <c r="A589" s="5" t="s">
        <v>1496</v>
      </c>
      <c r="B589" s="4">
        <v>44827</v>
      </c>
      <c r="C589" s="5" t="s">
        <v>1497</v>
      </c>
      <c r="D589" s="5" t="s">
        <v>486</v>
      </c>
      <c r="E589" s="5" t="s">
        <v>300</v>
      </c>
      <c r="F589" s="5" t="s">
        <v>81</v>
      </c>
      <c r="G589" s="5" t="s">
        <v>34</v>
      </c>
      <c r="H589" s="6">
        <v>1</v>
      </c>
      <c r="I589" s="6">
        <v>85.9</v>
      </c>
      <c r="J589" s="5">
        <v>0</v>
      </c>
      <c r="K589" s="6">
        <v>4.3</v>
      </c>
      <c r="L589" s="6">
        <v>7.59</v>
      </c>
      <c r="M589" s="6">
        <v>97.79</v>
      </c>
      <c r="N589" s="5" t="s">
        <v>35</v>
      </c>
      <c r="O589" s="5" t="s">
        <v>25</v>
      </c>
      <c r="P589" s="5" t="s">
        <v>36</v>
      </c>
      <c r="Q589" s="5" t="s">
        <v>37</v>
      </c>
      <c r="R589" s="5" t="s">
        <v>38</v>
      </c>
    </row>
    <row r="590" spans="1:18" x14ac:dyDescent="0.3">
      <c r="A590" s="2" t="s">
        <v>1498</v>
      </c>
      <c r="B590" s="1">
        <v>44940</v>
      </c>
      <c r="C590" s="2" t="s">
        <v>1499</v>
      </c>
      <c r="D590" s="2" t="s">
        <v>303</v>
      </c>
      <c r="E590" s="2" t="s">
        <v>340</v>
      </c>
      <c r="F590" s="2" t="s">
        <v>81</v>
      </c>
      <c r="G590" s="2" t="s">
        <v>198</v>
      </c>
      <c r="H590" s="3">
        <v>5</v>
      </c>
      <c r="I590" s="3">
        <v>350.26</v>
      </c>
      <c r="J590" s="2">
        <v>0</v>
      </c>
      <c r="K590" s="3">
        <v>210.16</v>
      </c>
      <c r="L590" s="3">
        <v>4.42</v>
      </c>
      <c r="M590" s="3">
        <v>1965.88</v>
      </c>
      <c r="N590" s="2" t="s">
        <v>58</v>
      </c>
      <c r="O590" s="2" t="s">
        <v>25</v>
      </c>
      <c r="P590" s="2" t="s">
        <v>36</v>
      </c>
      <c r="Q590" s="2" t="s">
        <v>37</v>
      </c>
      <c r="R590" s="2" t="s">
        <v>38</v>
      </c>
    </row>
    <row r="591" spans="1:18" x14ac:dyDescent="0.3">
      <c r="A591" s="5" t="s">
        <v>1500</v>
      </c>
      <c r="B591" s="4">
        <v>44527</v>
      </c>
      <c r="C591" s="5" t="s">
        <v>1501</v>
      </c>
      <c r="D591" s="5" t="s">
        <v>1352</v>
      </c>
      <c r="E591" s="5" t="s">
        <v>73</v>
      </c>
      <c r="F591" s="5" t="s">
        <v>81</v>
      </c>
      <c r="G591" s="5" t="s">
        <v>34</v>
      </c>
      <c r="H591" s="6">
        <v>5</v>
      </c>
      <c r="I591" s="6">
        <v>63.52</v>
      </c>
      <c r="J591" s="5">
        <v>0.15</v>
      </c>
      <c r="K591" s="6">
        <v>48.59</v>
      </c>
      <c r="L591" s="6">
        <v>12.87</v>
      </c>
      <c r="M591" s="6">
        <v>331.42</v>
      </c>
      <c r="N591" s="5" t="s">
        <v>58</v>
      </c>
      <c r="O591" s="5" t="s">
        <v>25</v>
      </c>
      <c r="P591" s="5" t="s">
        <v>83</v>
      </c>
      <c r="Q591" s="5" t="s">
        <v>84</v>
      </c>
      <c r="R591" s="5" t="s">
        <v>38</v>
      </c>
    </row>
    <row r="592" spans="1:18" x14ac:dyDescent="0.3">
      <c r="A592" s="2" t="s">
        <v>1502</v>
      </c>
      <c r="B592" s="1">
        <v>45139</v>
      </c>
      <c r="C592" s="2" t="s">
        <v>1503</v>
      </c>
      <c r="D592" s="2" t="s">
        <v>582</v>
      </c>
      <c r="E592" s="2" t="s">
        <v>169</v>
      </c>
      <c r="F592" s="2" t="s">
        <v>33</v>
      </c>
      <c r="G592" s="2" t="s">
        <v>49</v>
      </c>
      <c r="H592" s="3">
        <v>4</v>
      </c>
      <c r="I592" s="3">
        <v>56.27</v>
      </c>
      <c r="J592" s="2">
        <v>0.15</v>
      </c>
      <c r="K592" s="3">
        <v>34.44</v>
      </c>
      <c r="L592" s="3">
        <v>6.88</v>
      </c>
      <c r="M592" s="3">
        <v>232.64</v>
      </c>
      <c r="N592" s="2" t="s">
        <v>123</v>
      </c>
      <c r="O592" s="2" t="s">
        <v>25</v>
      </c>
      <c r="P592" s="2" t="s">
        <v>83</v>
      </c>
      <c r="Q592" s="2" t="s">
        <v>84</v>
      </c>
      <c r="R592" s="2" t="s">
        <v>28</v>
      </c>
    </row>
    <row r="593" spans="1:18" x14ac:dyDescent="0.3">
      <c r="A593" s="5" t="s">
        <v>1504</v>
      </c>
      <c r="B593" s="4">
        <v>45074</v>
      </c>
      <c r="C593" s="5" t="s">
        <v>1505</v>
      </c>
      <c r="D593" s="5" t="s">
        <v>266</v>
      </c>
      <c r="E593" s="5" t="s">
        <v>169</v>
      </c>
      <c r="F593" s="5" t="s">
        <v>22</v>
      </c>
      <c r="G593" s="5" t="s">
        <v>66</v>
      </c>
      <c r="H593" s="6">
        <v>4</v>
      </c>
      <c r="I593" s="6">
        <v>316.54000000000002</v>
      </c>
      <c r="J593" s="5">
        <v>0.25</v>
      </c>
      <c r="K593" s="6">
        <v>47.48</v>
      </c>
      <c r="L593" s="6">
        <v>10.84</v>
      </c>
      <c r="M593" s="6">
        <v>1007.94</v>
      </c>
      <c r="N593" s="5" t="s">
        <v>58</v>
      </c>
      <c r="O593" s="5" t="s">
        <v>25</v>
      </c>
      <c r="P593" s="5" t="s">
        <v>117</v>
      </c>
      <c r="Q593" s="5" t="s">
        <v>118</v>
      </c>
      <c r="R593" s="5" t="s">
        <v>28</v>
      </c>
    </row>
    <row r="594" spans="1:18" x14ac:dyDescent="0.3">
      <c r="A594" s="2" t="s">
        <v>1506</v>
      </c>
      <c r="B594" s="1">
        <v>44923</v>
      </c>
      <c r="C594" s="2" t="s">
        <v>1507</v>
      </c>
      <c r="D594" s="2" t="s">
        <v>1495</v>
      </c>
      <c r="E594" s="2" t="s">
        <v>324</v>
      </c>
      <c r="F594" s="2" t="s">
        <v>33</v>
      </c>
      <c r="G594" s="2" t="s">
        <v>57</v>
      </c>
      <c r="H594" s="3">
        <v>2</v>
      </c>
      <c r="I594" s="3">
        <v>101.06</v>
      </c>
      <c r="J594" s="2">
        <v>0.15</v>
      </c>
      <c r="K594" s="3">
        <v>0</v>
      </c>
      <c r="L594" s="3">
        <v>4.45</v>
      </c>
      <c r="M594" s="3">
        <v>176.25</v>
      </c>
      <c r="N594" s="2" t="s">
        <v>24</v>
      </c>
      <c r="O594" s="2" t="s">
        <v>107</v>
      </c>
      <c r="P594" s="2" t="s">
        <v>60</v>
      </c>
      <c r="Q594" s="2" t="s">
        <v>37</v>
      </c>
      <c r="R594" s="2" t="s">
        <v>28</v>
      </c>
    </row>
    <row r="595" spans="1:18" x14ac:dyDescent="0.3">
      <c r="A595" s="5" t="s">
        <v>1508</v>
      </c>
      <c r="B595" s="4">
        <v>44901</v>
      </c>
      <c r="C595" s="5" t="s">
        <v>1509</v>
      </c>
      <c r="D595" s="5" t="s">
        <v>791</v>
      </c>
      <c r="E595" s="5" t="s">
        <v>267</v>
      </c>
      <c r="F595" s="5" t="s">
        <v>89</v>
      </c>
      <c r="G595" s="5" t="s">
        <v>90</v>
      </c>
      <c r="H595" s="6">
        <v>1</v>
      </c>
      <c r="I595" s="6">
        <v>409.03</v>
      </c>
      <c r="J595" s="5">
        <v>0.2</v>
      </c>
      <c r="K595" s="6">
        <v>39.270000000000003</v>
      </c>
      <c r="L595" s="6">
        <v>2.71</v>
      </c>
      <c r="M595" s="6">
        <v>369.2</v>
      </c>
      <c r="N595" s="5" t="s">
        <v>50</v>
      </c>
      <c r="O595" s="5" t="s">
        <v>25</v>
      </c>
      <c r="P595" s="5" t="s">
        <v>83</v>
      </c>
      <c r="Q595" s="5" t="s">
        <v>84</v>
      </c>
      <c r="R595" s="5" t="s">
        <v>38</v>
      </c>
    </row>
    <row r="596" spans="1:18" x14ac:dyDescent="0.3">
      <c r="A596" s="2" t="s">
        <v>1510</v>
      </c>
      <c r="B596" s="1">
        <v>44839</v>
      </c>
      <c r="C596" s="2" t="s">
        <v>1511</v>
      </c>
      <c r="D596" s="2" t="s">
        <v>877</v>
      </c>
      <c r="E596" s="2" t="s">
        <v>164</v>
      </c>
      <c r="F596" s="2" t="s">
        <v>33</v>
      </c>
      <c r="G596" s="2" t="s">
        <v>23</v>
      </c>
      <c r="H596" s="3">
        <v>3</v>
      </c>
      <c r="I596" s="3">
        <v>490.58</v>
      </c>
      <c r="J596" s="2">
        <v>0.1</v>
      </c>
      <c r="K596" s="3">
        <v>238.42</v>
      </c>
      <c r="L596" s="3">
        <v>11.4</v>
      </c>
      <c r="M596" s="3">
        <v>1574.39</v>
      </c>
      <c r="N596" s="2" t="s">
        <v>58</v>
      </c>
      <c r="O596" s="2" t="s">
        <v>25</v>
      </c>
      <c r="P596" s="2" t="s">
        <v>101</v>
      </c>
      <c r="Q596" s="2" t="s">
        <v>102</v>
      </c>
      <c r="R596" s="2" t="s">
        <v>38</v>
      </c>
    </row>
    <row r="597" spans="1:18" x14ac:dyDescent="0.3">
      <c r="A597" s="5" t="s">
        <v>1512</v>
      </c>
      <c r="B597" s="4">
        <v>43924</v>
      </c>
      <c r="C597" s="5" t="s">
        <v>1513</v>
      </c>
      <c r="D597" s="5" t="s">
        <v>1066</v>
      </c>
      <c r="E597" s="5" t="s">
        <v>73</v>
      </c>
      <c r="F597" s="5" t="s">
        <v>33</v>
      </c>
      <c r="G597" s="5" t="s">
        <v>66</v>
      </c>
      <c r="H597" s="6">
        <v>1</v>
      </c>
      <c r="I597" s="6">
        <v>36.89</v>
      </c>
      <c r="J597" s="5">
        <v>0</v>
      </c>
      <c r="K597" s="6">
        <v>2.95</v>
      </c>
      <c r="L597" s="6">
        <v>6.18</v>
      </c>
      <c r="M597" s="6">
        <v>46.02</v>
      </c>
      <c r="N597" s="5" t="s">
        <v>58</v>
      </c>
      <c r="O597" s="5" t="s">
        <v>25</v>
      </c>
      <c r="P597" s="5" t="s">
        <v>83</v>
      </c>
      <c r="Q597" s="5" t="s">
        <v>84</v>
      </c>
      <c r="R597" s="5" t="s">
        <v>38</v>
      </c>
    </row>
    <row r="598" spans="1:18" x14ac:dyDescent="0.3">
      <c r="A598" s="2" t="s">
        <v>1514</v>
      </c>
      <c r="B598" s="1">
        <v>45604</v>
      </c>
      <c r="C598" s="2" t="s">
        <v>1515</v>
      </c>
      <c r="D598" s="2" t="s">
        <v>330</v>
      </c>
      <c r="E598" s="2" t="s">
        <v>349</v>
      </c>
      <c r="F598" s="2" t="s">
        <v>43</v>
      </c>
      <c r="G598" s="2" t="s">
        <v>57</v>
      </c>
      <c r="H598" s="3">
        <v>3</v>
      </c>
      <c r="I598" s="3">
        <v>143.79</v>
      </c>
      <c r="J598" s="2">
        <v>0</v>
      </c>
      <c r="K598" s="3">
        <v>34.51</v>
      </c>
      <c r="L598" s="3">
        <v>7.39</v>
      </c>
      <c r="M598" s="3">
        <v>473.27</v>
      </c>
      <c r="N598" s="2" t="s">
        <v>58</v>
      </c>
      <c r="O598" s="2" t="s">
        <v>144</v>
      </c>
      <c r="P598" s="2" t="s">
        <v>150</v>
      </c>
      <c r="Q598" s="2" t="s">
        <v>69</v>
      </c>
      <c r="R598" s="2" t="s">
        <v>38</v>
      </c>
    </row>
    <row r="599" spans="1:18" x14ac:dyDescent="0.3">
      <c r="A599" s="5" t="s">
        <v>1516</v>
      </c>
      <c r="B599" s="4">
        <v>44788</v>
      </c>
      <c r="C599" s="5" t="s">
        <v>1517</v>
      </c>
      <c r="D599" s="5" t="s">
        <v>360</v>
      </c>
      <c r="E599" s="5" t="s">
        <v>231</v>
      </c>
      <c r="F599" s="5" t="s">
        <v>89</v>
      </c>
      <c r="G599" s="5" t="s">
        <v>23</v>
      </c>
      <c r="H599" s="6">
        <v>2</v>
      </c>
      <c r="I599" s="6">
        <v>592.01</v>
      </c>
      <c r="J599" s="5">
        <v>0.05</v>
      </c>
      <c r="K599" s="6">
        <v>89.99</v>
      </c>
      <c r="L599" s="6">
        <v>1.49</v>
      </c>
      <c r="M599" s="6">
        <v>1216.3</v>
      </c>
      <c r="N599" s="5" t="s">
        <v>67</v>
      </c>
      <c r="O599" s="5" t="s">
        <v>107</v>
      </c>
      <c r="P599" s="5" t="s">
        <v>257</v>
      </c>
      <c r="Q599" s="5" t="s">
        <v>69</v>
      </c>
      <c r="R599" s="5" t="s">
        <v>28</v>
      </c>
    </row>
    <row r="600" spans="1:18" x14ac:dyDescent="0.3">
      <c r="A600" s="2" t="s">
        <v>1518</v>
      </c>
      <c r="B600" s="1">
        <v>44842</v>
      </c>
      <c r="C600" s="2" t="s">
        <v>1519</v>
      </c>
      <c r="D600" s="2" t="s">
        <v>312</v>
      </c>
      <c r="E600" s="2" t="s">
        <v>177</v>
      </c>
      <c r="F600" s="2" t="s">
        <v>33</v>
      </c>
      <c r="G600" s="2" t="s">
        <v>23</v>
      </c>
      <c r="H600" s="3">
        <v>1</v>
      </c>
      <c r="I600" s="3">
        <v>229.03</v>
      </c>
      <c r="J600" s="2">
        <v>0.1</v>
      </c>
      <c r="K600" s="3">
        <v>16.489999999999998</v>
      </c>
      <c r="L600" s="3">
        <v>0.21</v>
      </c>
      <c r="M600" s="3">
        <v>222.83</v>
      </c>
      <c r="N600" s="2" t="s">
        <v>67</v>
      </c>
      <c r="O600" s="2" t="s">
        <v>25</v>
      </c>
      <c r="P600" s="2" t="s">
        <v>101</v>
      </c>
      <c r="Q600" s="2" t="s">
        <v>102</v>
      </c>
      <c r="R600" s="2" t="s">
        <v>38</v>
      </c>
    </row>
    <row r="601" spans="1:18" x14ac:dyDescent="0.3">
      <c r="A601" s="5" t="s">
        <v>1520</v>
      </c>
      <c r="B601" s="4">
        <v>44283</v>
      </c>
      <c r="C601" s="5" t="s">
        <v>1521</v>
      </c>
      <c r="D601" s="5" t="s">
        <v>962</v>
      </c>
      <c r="E601" s="5" t="s">
        <v>160</v>
      </c>
      <c r="F601" s="5" t="s">
        <v>143</v>
      </c>
      <c r="G601" s="5" t="s">
        <v>90</v>
      </c>
      <c r="H601" s="6">
        <v>5</v>
      </c>
      <c r="I601" s="6">
        <v>304.18</v>
      </c>
      <c r="J601" s="5">
        <v>0</v>
      </c>
      <c r="K601" s="6">
        <v>76.040000000000006</v>
      </c>
      <c r="L601" s="6">
        <v>3.7</v>
      </c>
      <c r="M601" s="6">
        <v>1600.64</v>
      </c>
      <c r="N601" s="5" t="s">
        <v>67</v>
      </c>
      <c r="O601" s="5" t="s">
        <v>25</v>
      </c>
      <c r="P601" s="5" t="s">
        <v>26</v>
      </c>
      <c r="Q601" s="5" t="s">
        <v>27</v>
      </c>
      <c r="R601" s="5" t="s">
        <v>28</v>
      </c>
    </row>
    <row r="602" spans="1:18" x14ac:dyDescent="0.3">
      <c r="A602" s="2" t="s">
        <v>1522</v>
      </c>
      <c r="B602" s="1">
        <v>45058</v>
      </c>
      <c r="C602" s="2" t="s">
        <v>1523</v>
      </c>
      <c r="D602" s="2" t="s">
        <v>511</v>
      </c>
      <c r="E602" s="2" t="s">
        <v>169</v>
      </c>
      <c r="F602" s="2" t="s">
        <v>33</v>
      </c>
      <c r="G602" s="2" t="s">
        <v>23</v>
      </c>
      <c r="H602" s="3">
        <v>4</v>
      </c>
      <c r="I602" s="3">
        <v>467.6</v>
      </c>
      <c r="J602" s="2">
        <v>0.25</v>
      </c>
      <c r="K602" s="3">
        <v>70.14</v>
      </c>
      <c r="L602" s="3">
        <v>0.76</v>
      </c>
      <c r="M602" s="3">
        <v>1473.7</v>
      </c>
      <c r="N602" s="2" t="s">
        <v>58</v>
      </c>
      <c r="O602" s="2" t="s">
        <v>144</v>
      </c>
      <c r="P602" s="2" t="s">
        <v>257</v>
      </c>
      <c r="Q602" s="2" t="s">
        <v>69</v>
      </c>
      <c r="R602" s="2" t="s">
        <v>38</v>
      </c>
    </row>
    <row r="603" spans="1:18" x14ac:dyDescent="0.3">
      <c r="A603" s="5" t="s">
        <v>1524</v>
      </c>
      <c r="B603" s="4">
        <v>44742</v>
      </c>
      <c r="C603" s="5" t="s">
        <v>1525</v>
      </c>
      <c r="D603" s="5" t="s">
        <v>558</v>
      </c>
      <c r="E603" s="5" t="s">
        <v>597</v>
      </c>
      <c r="F603" s="5" t="s">
        <v>33</v>
      </c>
      <c r="G603" s="5" t="s">
        <v>23</v>
      </c>
      <c r="H603" s="6">
        <v>3</v>
      </c>
      <c r="I603" s="6">
        <v>473.83</v>
      </c>
      <c r="J603" s="5">
        <v>0.25</v>
      </c>
      <c r="K603" s="6">
        <v>85.29</v>
      </c>
      <c r="L603" s="6">
        <v>3.84</v>
      </c>
      <c r="M603" s="6">
        <v>1155.25</v>
      </c>
      <c r="N603" s="5" t="s">
        <v>24</v>
      </c>
      <c r="O603" s="5" t="s">
        <v>25</v>
      </c>
      <c r="P603" s="5" t="s">
        <v>95</v>
      </c>
      <c r="Q603" s="5" t="s">
        <v>37</v>
      </c>
      <c r="R603" s="5" t="s">
        <v>183</v>
      </c>
    </row>
    <row r="604" spans="1:18" x14ac:dyDescent="0.3">
      <c r="A604" s="2" t="s">
        <v>1526</v>
      </c>
      <c r="B604" s="1">
        <v>44048</v>
      </c>
      <c r="C604" s="2" t="s">
        <v>1527</v>
      </c>
      <c r="D604" s="2" t="s">
        <v>569</v>
      </c>
      <c r="E604" s="2" t="s">
        <v>142</v>
      </c>
      <c r="F604" s="2" t="s">
        <v>22</v>
      </c>
      <c r="G604" s="2" t="s">
        <v>66</v>
      </c>
      <c r="H604" s="3">
        <v>2</v>
      </c>
      <c r="I604" s="3">
        <v>147.61000000000001</v>
      </c>
      <c r="J604" s="2">
        <v>0.1</v>
      </c>
      <c r="K604" s="3">
        <v>21.26</v>
      </c>
      <c r="L604" s="3">
        <v>10.4</v>
      </c>
      <c r="M604" s="3">
        <v>297.36</v>
      </c>
      <c r="N604" s="2" t="s">
        <v>24</v>
      </c>
      <c r="O604" s="2" t="s">
        <v>82</v>
      </c>
      <c r="P604" s="2" t="s">
        <v>133</v>
      </c>
      <c r="Q604" s="2" t="s">
        <v>134</v>
      </c>
      <c r="R604" s="2" t="s">
        <v>38</v>
      </c>
    </row>
    <row r="605" spans="1:18" x14ac:dyDescent="0.3">
      <c r="A605" s="5" t="s">
        <v>1528</v>
      </c>
      <c r="B605" s="4">
        <v>44304</v>
      </c>
      <c r="C605" s="5" t="s">
        <v>1529</v>
      </c>
      <c r="D605" s="5" t="s">
        <v>260</v>
      </c>
      <c r="E605" s="5" t="s">
        <v>99</v>
      </c>
      <c r="F605" s="5" t="s">
        <v>81</v>
      </c>
      <c r="G605" s="5" t="s">
        <v>268</v>
      </c>
      <c r="H605" s="6">
        <v>2</v>
      </c>
      <c r="I605" s="6">
        <v>568.55999999999995</v>
      </c>
      <c r="J605" s="5">
        <v>0</v>
      </c>
      <c r="K605" s="6">
        <v>136.44999999999999</v>
      </c>
      <c r="L605" s="6">
        <v>4.9000000000000004</v>
      </c>
      <c r="M605" s="6">
        <v>1278.47</v>
      </c>
      <c r="N605" s="5" t="s">
        <v>50</v>
      </c>
      <c r="O605" s="5" t="s">
        <v>25</v>
      </c>
      <c r="P605" s="5" t="s">
        <v>26</v>
      </c>
      <c r="Q605" s="5" t="s">
        <v>27</v>
      </c>
      <c r="R605" s="5" t="s">
        <v>38</v>
      </c>
    </row>
    <row r="606" spans="1:18" x14ac:dyDescent="0.3">
      <c r="A606" s="2" t="s">
        <v>1530</v>
      </c>
      <c r="B606" s="1">
        <v>44262</v>
      </c>
      <c r="C606" s="2" t="s">
        <v>1531</v>
      </c>
      <c r="D606" s="2" t="s">
        <v>998</v>
      </c>
      <c r="E606" s="2" t="s">
        <v>283</v>
      </c>
      <c r="F606" s="2" t="s">
        <v>43</v>
      </c>
      <c r="G606" s="2" t="s">
        <v>57</v>
      </c>
      <c r="H606" s="3">
        <v>5</v>
      </c>
      <c r="I606" s="3">
        <v>357.16</v>
      </c>
      <c r="J606" s="2">
        <v>0.15</v>
      </c>
      <c r="K606" s="3">
        <v>75.900000000000006</v>
      </c>
      <c r="L606" s="3">
        <v>3.35</v>
      </c>
      <c r="M606" s="3">
        <v>1597.18</v>
      </c>
      <c r="N606" s="2" t="s">
        <v>67</v>
      </c>
      <c r="O606" s="2" t="s">
        <v>25</v>
      </c>
      <c r="P606" s="2" t="s">
        <v>26</v>
      </c>
      <c r="Q606" s="2" t="s">
        <v>27</v>
      </c>
      <c r="R606" s="2" t="s">
        <v>183</v>
      </c>
    </row>
    <row r="607" spans="1:18" x14ac:dyDescent="0.3">
      <c r="A607" s="5" t="s">
        <v>1532</v>
      </c>
      <c r="B607" s="4">
        <v>44171</v>
      </c>
      <c r="C607" s="5" t="s">
        <v>1533</v>
      </c>
      <c r="D607" s="5" t="s">
        <v>201</v>
      </c>
      <c r="E607" s="5" t="s">
        <v>324</v>
      </c>
      <c r="F607" s="5" t="s">
        <v>143</v>
      </c>
      <c r="G607" s="5" t="s">
        <v>268</v>
      </c>
      <c r="H607" s="6">
        <v>2</v>
      </c>
      <c r="I607" s="6">
        <v>433.81</v>
      </c>
      <c r="J607" s="5">
        <v>0</v>
      </c>
      <c r="K607" s="6">
        <v>69.41</v>
      </c>
      <c r="L607" s="6">
        <v>1.25</v>
      </c>
      <c r="M607" s="6">
        <v>938.28</v>
      </c>
      <c r="N607" s="5" t="s">
        <v>24</v>
      </c>
      <c r="O607" s="5" t="s">
        <v>82</v>
      </c>
      <c r="P607" s="5" t="s">
        <v>117</v>
      </c>
      <c r="Q607" s="5" t="s">
        <v>118</v>
      </c>
      <c r="R607" s="5" t="s">
        <v>38</v>
      </c>
    </row>
    <row r="608" spans="1:18" x14ac:dyDescent="0.3">
      <c r="A608" s="2" t="s">
        <v>1534</v>
      </c>
      <c r="B608" s="1">
        <v>44381</v>
      </c>
      <c r="C608" s="2" t="s">
        <v>1535</v>
      </c>
      <c r="D608" s="2" t="s">
        <v>1329</v>
      </c>
      <c r="E608" s="2" t="s">
        <v>437</v>
      </c>
      <c r="F608" s="2" t="s">
        <v>33</v>
      </c>
      <c r="G608" s="2" t="s">
        <v>268</v>
      </c>
      <c r="H608" s="3">
        <v>1</v>
      </c>
      <c r="I608" s="3">
        <v>225.61</v>
      </c>
      <c r="J608" s="2">
        <v>0</v>
      </c>
      <c r="K608" s="3">
        <v>40.61</v>
      </c>
      <c r="L608" s="3">
        <v>4</v>
      </c>
      <c r="M608" s="3">
        <v>270.22000000000003</v>
      </c>
      <c r="N608" s="2" t="s">
        <v>50</v>
      </c>
      <c r="O608" s="2" t="s">
        <v>25</v>
      </c>
      <c r="P608" s="2" t="s">
        <v>26</v>
      </c>
      <c r="Q608" s="2" t="s">
        <v>27</v>
      </c>
      <c r="R608" s="2" t="s">
        <v>183</v>
      </c>
    </row>
    <row r="609" spans="1:18" x14ac:dyDescent="0.3">
      <c r="A609" s="5" t="s">
        <v>1536</v>
      </c>
      <c r="B609" s="4">
        <v>45466</v>
      </c>
      <c r="C609" s="5" t="s">
        <v>1537</v>
      </c>
      <c r="D609" s="5" t="s">
        <v>1538</v>
      </c>
      <c r="E609" s="5" t="s">
        <v>21</v>
      </c>
      <c r="F609" s="5" t="s">
        <v>43</v>
      </c>
      <c r="G609" s="5" t="s">
        <v>57</v>
      </c>
      <c r="H609" s="6">
        <v>4</v>
      </c>
      <c r="I609" s="6">
        <v>229.15</v>
      </c>
      <c r="J609" s="5">
        <v>0.1</v>
      </c>
      <c r="K609" s="6">
        <v>98.99</v>
      </c>
      <c r="L609" s="6">
        <v>1.3</v>
      </c>
      <c r="M609" s="6">
        <v>925.23</v>
      </c>
      <c r="N609" s="5" t="s">
        <v>67</v>
      </c>
      <c r="O609" s="5" t="s">
        <v>25</v>
      </c>
      <c r="P609" s="5" t="s">
        <v>83</v>
      </c>
      <c r="Q609" s="5" t="s">
        <v>84</v>
      </c>
      <c r="R609" s="5" t="s">
        <v>28</v>
      </c>
    </row>
    <row r="610" spans="1:18" x14ac:dyDescent="0.3">
      <c r="A610" s="2" t="s">
        <v>1539</v>
      </c>
      <c r="B610" s="1">
        <v>45143</v>
      </c>
      <c r="C610" s="2" t="s">
        <v>1540</v>
      </c>
      <c r="D610" s="2" t="s">
        <v>731</v>
      </c>
      <c r="E610" s="2" t="s">
        <v>164</v>
      </c>
      <c r="F610" s="2" t="s">
        <v>81</v>
      </c>
      <c r="G610" s="2" t="s">
        <v>90</v>
      </c>
      <c r="H610" s="3">
        <v>1</v>
      </c>
      <c r="I610" s="3">
        <v>51.51</v>
      </c>
      <c r="J610" s="2">
        <v>0</v>
      </c>
      <c r="K610" s="3">
        <v>4.12</v>
      </c>
      <c r="L610" s="3">
        <v>5.43</v>
      </c>
      <c r="M610" s="3">
        <v>61.06</v>
      </c>
      <c r="N610" s="2" t="s">
        <v>50</v>
      </c>
      <c r="O610" s="2" t="s">
        <v>107</v>
      </c>
      <c r="P610" s="2" t="s">
        <v>60</v>
      </c>
      <c r="Q610" s="2" t="s">
        <v>37</v>
      </c>
      <c r="R610" s="2" t="s">
        <v>76</v>
      </c>
    </row>
    <row r="611" spans="1:18" x14ac:dyDescent="0.3">
      <c r="A611" s="5" t="s">
        <v>1541</v>
      </c>
      <c r="B611" s="4">
        <v>45108</v>
      </c>
      <c r="C611" s="5" t="s">
        <v>1542</v>
      </c>
      <c r="D611" s="5" t="s">
        <v>1413</v>
      </c>
      <c r="E611" s="5" t="s">
        <v>177</v>
      </c>
      <c r="F611" s="5" t="s">
        <v>33</v>
      </c>
      <c r="G611" s="5" t="s">
        <v>49</v>
      </c>
      <c r="H611" s="6">
        <v>1</v>
      </c>
      <c r="I611" s="6">
        <v>570.53</v>
      </c>
      <c r="J611" s="5">
        <v>0</v>
      </c>
      <c r="K611" s="6">
        <v>68.459999999999994</v>
      </c>
      <c r="L611" s="6">
        <v>3.1</v>
      </c>
      <c r="M611" s="6">
        <v>642.09</v>
      </c>
      <c r="N611" s="5" t="s">
        <v>24</v>
      </c>
      <c r="O611" s="5" t="s">
        <v>25</v>
      </c>
      <c r="P611" s="5" t="s">
        <v>133</v>
      </c>
      <c r="Q611" s="5" t="s">
        <v>134</v>
      </c>
      <c r="R611" s="5" t="s">
        <v>38</v>
      </c>
    </row>
    <row r="612" spans="1:18" x14ac:dyDescent="0.3">
      <c r="A612" s="2" t="s">
        <v>1543</v>
      </c>
      <c r="B612" s="1">
        <v>45588</v>
      </c>
      <c r="C612" s="2" t="s">
        <v>1544</v>
      </c>
      <c r="D612" s="2" t="s">
        <v>618</v>
      </c>
      <c r="E612" s="2" t="s">
        <v>42</v>
      </c>
      <c r="F612" s="2" t="s">
        <v>143</v>
      </c>
      <c r="G612" s="2" t="s">
        <v>57</v>
      </c>
      <c r="H612" s="3">
        <v>5</v>
      </c>
      <c r="I612" s="3">
        <v>407.46</v>
      </c>
      <c r="J612" s="2">
        <v>0.2</v>
      </c>
      <c r="K612" s="3">
        <v>0</v>
      </c>
      <c r="L612" s="3">
        <v>4.6500000000000004</v>
      </c>
      <c r="M612" s="3">
        <v>1634.49</v>
      </c>
      <c r="N612" s="2" t="s">
        <v>58</v>
      </c>
      <c r="O612" s="2" t="s">
        <v>25</v>
      </c>
      <c r="P612" s="2" t="s">
        <v>44</v>
      </c>
      <c r="Q612" s="2" t="s">
        <v>37</v>
      </c>
      <c r="R612" s="2" t="s">
        <v>38</v>
      </c>
    </row>
    <row r="613" spans="1:18" x14ac:dyDescent="0.3">
      <c r="A613" s="5" t="s">
        <v>1545</v>
      </c>
      <c r="B613" s="4">
        <v>44187</v>
      </c>
      <c r="C613" s="5" t="s">
        <v>1546</v>
      </c>
      <c r="D613" s="5" t="s">
        <v>410</v>
      </c>
      <c r="E613" s="5" t="s">
        <v>287</v>
      </c>
      <c r="F613" s="5" t="s">
        <v>43</v>
      </c>
      <c r="G613" s="5" t="s">
        <v>90</v>
      </c>
      <c r="H613" s="6">
        <v>5</v>
      </c>
      <c r="I613" s="6">
        <v>367.29</v>
      </c>
      <c r="J613" s="5">
        <v>0.1</v>
      </c>
      <c r="K613" s="6">
        <v>132.22</v>
      </c>
      <c r="L613" s="6">
        <v>2.54</v>
      </c>
      <c r="M613" s="6">
        <v>1787.56</v>
      </c>
      <c r="N613" s="5" t="s">
        <v>58</v>
      </c>
      <c r="O613" s="5" t="s">
        <v>25</v>
      </c>
      <c r="P613" s="5" t="s">
        <v>150</v>
      </c>
      <c r="Q613" s="5" t="s">
        <v>69</v>
      </c>
      <c r="R613" s="5" t="s">
        <v>38</v>
      </c>
    </row>
    <row r="614" spans="1:18" x14ac:dyDescent="0.3">
      <c r="A614" s="2" t="s">
        <v>1547</v>
      </c>
      <c r="B614" s="1">
        <v>43853</v>
      </c>
      <c r="C614" s="2" t="s">
        <v>1548</v>
      </c>
      <c r="D614" s="2" t="s">
        <v>1549</v>
      </c>
      <c r="E614" s="2" t="s">
        <v>243</v>
      </c>
      <c r="F614" s="2" t="s">
        <v>43</v>
      </c>
      <c r="G614" s="2" t="s">
        <v>198</v>
      </c>
      <c r="H614" s="3">
        <v>3</v>
      </c>
      <c r="I614" s="3">
        <v>287.18</v>
      </c>
      <c r="J614" s="2">
        <v>0</v>
      </c>
      <c r="K614" s="3">
        <v>103.38</v>
      </c>
      <c r="L614" s="3">
        <v>7.76</v>
      </c>
      <c r="M614" s="3">
        <v>972.68</v>
      </c>
      <c r="N614" s="2" t="s">
        <v>58</v>
      </c>
      <c r="O614" s="2" t="s">
        <v>82</v>
      </c>
      <c r="P614" s="2" t="s">
        <v>117</v>
      </c>
      <c r="Q614" s="2" t="s">
        <v>118</v>
      </c>
      <c r="R614" s="2" t="s">
        <v>38</v>
      </c>
    </row>
    <row r="615" spans="1:18" x14ac:dyDescent="0.3">
      <c r="A615" s="5" t="s">
        <v>1550</v>
      </c>
      <c r="B615" s="4">
        <v>45616</v>
      </c>
      <c r="C615" s="5" t="s">
        <v>1551</v>
      </c>
      <c r="D615" s="5" t="s">
        <v>770</v>
      </c>
      <c r="E615" s="5" t="s">
        <v>291</v>
      </c>
      <c r="F615" s="5" t="s">
        <v>43</v>
      </c>
      <c r="G615" s="5" t="s">
        <v>100</v>
      </c>
      <c r="H615" s="6">
        <v>2</v>
      </c>
      <c r="I615" s="6">
        <v>190.23</v>
      </c>
      <c r="J615" s="5">
        <v>0</v>
      </c>
      <c r="K615" s="6">
        <v>30.44</v>
      </c>
      <c r="L615" s="6">
        <v>9.0500000000000007</v>
      </c>
      <c r="M615" s="6">
        <v>419.95</v>
      </c>
      <c r="N615" s="5" t="s">
        <v>50</v>
      </c>
      <c r="O615" s="5" t="s">
        <v>25</v>
      </c>
      <c r="P615" s="5" t="s">
        <v>257</v>
      </c>
      <c r="Q615" s="5" t="s">
        <v>69</v>
      </c>
      <c r="R615" s="5" t="s">
        <v>38</v>
      </c>
    </row>
    <row r="616" spans="1:18" x14ac:dyDescent="0.3">
      <c r="A616" s="2" t="s">
        <v>1552</v>
      </c>
      <c r="B616" s="1">
        <v>44352</v>
      </c>
      <c r="C616" s="2" t="s">
        <v>1553</v>
      </c>
      <c r="D616" s="2" t="s">
        <v>1495</v>
      </c>
      <c r="E616" s="2" t="s">
        <v>267</v>
      </c>
      <c r="F616" s="2" t="s">
        <v>143</v>
      </c>
      <c r="G616" s="2" t="s">
        <v>23</v>
      </c>
      <c r="H616" s="3">
        <v>3</v>
      </c>
      <c r="I616" s="3">
        <v>20.239999999999998</v>
      </c>
      <c r="J616" s="2">
        <v>0.2</v>
      </c>
      <c r="K616" s="3">
        <v>2.4300000000000002</v>
      </c>
      <c r="L616" s="3">
        <v>14.6</v>
      </c>
      <c r="M616" s="3">
        <v>65.61</v>
      </c>
      <c r="N616" s="2" t="s">
        <v>24</v>
      </c>
      <c r="O616" s="2" t="s">
        <v>107</v>
      </c>
      <c r="P616" s="2" t="s">
        <v>178</v>
      </c>
      <c r="Q616" s="2" t="s">
        <v>69</v>
      </c>
      <c r="R616" s="2" t="s">
        <v>38</v>
      </c>
    </row>
    <row r="617" spans="1:18" x14ac:dyDescent="0.3">
      <c r="A617" s="5" t="s">
        <v>1554</v>
      </c>
      <c r="B617" s="4">
        <v>45612</v>
      </c>
      <c r="C617" s="5" t="s">
        <v>1555</v>
      </c>
      <c r="D617" s="5" t="s">
        <v>655</v>
      </c>
      <c r="E617" s="5" t="s">
        <v>437</v>
      </c>
      <c r="F617" s="5" t="s">
        <v>81</v>
      </c>
      <c r="G617" s="5" t="s">
        <v>203</v>
      </c>
      <c r="H617" s="6">
        <v>5</v>
      </c>
      <c r="I617" s="6">
        <v>319.61</v>
      </c>
      <c r="J617" s="5">
        <v>0</v>
      </c>
      <c r="K617" s="6">
        <v>127.84</v>
      </c>
      <c r="L617" s="6">
        <v>3.69</v>
      </c>
      <c r="M617" s="6">
        <v>1729.58</v>
      </c>
      <c r="N617" s="5" t="s">
        <v>67</v>
      </c>
      <c r="O617" s="5" t="s">
        <v>107</v>
      </c>
      <c r="P617" s="5" t="s">
        <v>117</v>
      </c>
      <c r="Q617" s="5" t="s">
        <v>118</v>
      </c>
      <c r="R617" s="5" t="s">
        <v>28</v>
      </c>
    </row>
    <row r="618" spans="1:18" x14ac:dyDescent="0.3">
      <c r="A618" s="2" t="s">
        <v>1556</v>
      </c>
      <c r="B618" s="1">
        <v>44954</v>
      </c>
      <c r="C618" s="2" t="s">
        <v>1557</v>
      </c>
      <c r="D618" s="2" t="s">
        <v>648</v>
      </c>
      <c r="E618" s="2" t="s">
        <v>80</v>
      </c>
      <c r="F618" s="2" t="s">
        <v>22</v>
      </c>
      <c r="G618" s="2" t="s">
        <v>66</v>
      </c>
      <c r="H618" s="3">
        <v>3</v>
      </c>
      <c r="I618" s="3">
        <v>563.21</v>
      </c>
      <c r="J618" s="2">
        <v>0.05</v>
      </c>
      <c r="K618" s="3">
        <v>192.62</v>
      </c>
      <c r="L618" s="3">
        <v>14.53</v>
      </c>
      <c r="M618" s="3">
        <v>1812.3</v>
      </c>
      <c r="N618" s="2" t="s">
        <v>24</v>
      </c>
      <c r="O618" s="2" t="s">
        <v>59</v>
      </c>
      <c r="P618" s="2" t="s">
        <v>83</v>
      </c>
      <c r="Q618" s="2" t="s">
        <v>84</v>
      </c>
      <c r="R618" s="2" t="s">
        <v>38</v>
      </c>
    </row>
    <row r="619" spans="1:18" x14ac:dyDescent="0.3">
      <c r="A619" s="5" t="s">
        <v>1558</v>
      </c>
      <c r="B619" s="4">
        <v>44632</v>
      </c>
      <c r="C619" s="5" t="s">
        <v>1559</v>
      </c>
      <c r="D619" s="5" t="s">
        <v>196</v>
      </c>
      <c r="E619" s="5" t="s">
        <v>365</v>
      </c>
      <c r="F619" s="5" t="s">
        <v>89</v>
      </c>
      <c r="G619" s="5" t="s">
        <v>49</v>
      </c>
      <c r="H619" s="6">
        <v>4</v>
      </c>
      <c r="I619" s="6">
        <v>339.22</v>
      </c>
      <c r="J619" s="5">
        <v>0</v>
      </c>
      <c r="K619" s="6">
        <v>0</v>
      </c>
      <c r="L619" s="6">
        <v>8.32</v>
      </c>
      <c r="M619" s="6">
        <v>1365.2</v>
      </c>
      <c r="N619" s="5" t="s">
        <v>123</v>
      </c>
      <c r="O619" s="5" t="s">
        <v>25</v>
      </c>
      <c r="P619" s="5" t="s">
        <v>178</v>
      </c>
      <c r="Q619" s="5" t="s">
        <v>69</v>
      </c>
      <c r="R619" s="5" t="s">
        <v>183</v>
      </c>
    </row>
    <row r="620" spans="1:18" x14ac:dyDescent="0.3">
      <c r="A620" s="2" t="s">
        <v>1560</v>
      </c>
      <c r="B620" s="1">
        <v>45034</v>
      </c>
      <c r="C620" s="2" t="s">
        <v>1561</v>
      </c>
      <c r="D620" s="2" t="s">
        <v>181</v>
      </c>
      <c r="E620" s="2" t="s">
        <v>220</v>
      </c>
      <c r="F620" s="2" t="s">
        <v>43</v>
      </c>
      <c r="G620" s="2" t="s">
        <v>57</v>
      </c>
      <c r="H620" s="3">
        <v>1</v>
      </c>
      <c r="I620" s="3">
        <v>333.22</v>
      </c>
      <c r="J620" s="2">
        <v>0</v>
      </c>
      <c r="K620" s="3">
        <v>16.66</v>
      </c>
      <c r="L620" s="3">
        <v>6.52</v>
      </c>
      <c r="M620" s="3">
        <v>356.4</v>
      </c>
      <c r="N620" s="2" t="s">
        <v>35</v>
      </c>
      <c r="O620" s="2" t="s">
        <v>107</v>
      </c>
      <c r="P620" s="2" t="s">
        <v>95</v>
      </c>
      <c r="Q620" s="2" t="s">
        <v>37</v>
      </c>
      <c r="R620" s="2" t="s">
        <v>38</v>
      </c>
    </row>
    <row r="621" spans="1:18" x14ac:dyDescent="0.3">
      <c r="A621" s="5" t="s">
        <v>1562</v>
      </c>
      <c r="B621" s="4">
        <v>45077</v>
      </c>
      <c r="C621" s="5" t="s">
        <v>1563</v>
      </c>
      <c r="D621" s="5" t="s">
        <v>1176</v>
      </c>
      <c r="E621" s="5" t="s">
        <v>56</v>
      </c>
      <c r="F621" s="5" t="s">
        <v>43</v>
      </c>
      <c r="G621" s="5" t="s">
        <v>57</v>
      </c>
      <c r="H621" s="6">
        <v>5</v>
      </c>
      <c r="I621" s="6">
        <v>409.28</v>
      </c>
      <c r="J621" s="5">
        <v>0.05</v>
      </c>
      <c r="K621" s="6">
        <v>97.2</v>
      </c>
      <c r="L621" s="6">
        <v>0.68</v>
      </c>
      <c r="M621" s="6">
        <v>2041.96</v>
      </c>
      <c r="N621" s="5" t="s">
        <v>58</v>
      </c>
      <c r="O621" s="5" t="s">
        <v>25</v>
      </c>
      <c r="P621" s="5" t="s">
        <v>257</v>
      </c>
      <c r="Q621" s="5" t="s">
        <v>69</v>
      </c>
      <c r="R621" s="5" t="s">
        <v>28</v>
      </c>
    </row>
    <row r="622" spans="1:18" x14ac:dyDescent="0.3">
      <c r="A622" s="2" t="s">
        <v>1564</v>
      </c>
      <c r="B622" s="1">
        <v>44592</v>
      </c>
      <c r="C622" s="2" t="s">
        <v>1565</v>
      </c>
      <c r="D622" s="2" t="s">
        <v>242</v>
      </c>
      <c r="E622" s="2" t="s">
        <v>271</v>
      </c>
      <c r="F622" s="2" t="s">
        <v>22</v>
      </c>
      <c r="G622" s="2" t="s">
        <v>100</v>
      </c>
      <c r="H622" s="3">
        <v>2</v>
      </c>
      <c r="I622" s="3">
        <v>548.88</v>
      </c>
      <c r="J622" s="2">
        <v>0</v>
      </c>
      <c r="K622" s="3">
        <v>54.89</v>
      </c>
      <c r="L622" s="3">
        <v>2.15</v>
      </c>
      <c r="M622" s="3">
        <v>1154.8</v>
      </c>
      <c r="N622" s="2" t="s">
        <v>35</v>
      </c>
      <c r="O622" s="2" t="s">
        <v>25</v>
      </c>
      <c r="P622" s="2" t="s">
        <v>257</v>
      </c>
      <c r="Q622" s="2" t="s">
        <v>69</v>
      </c>
      <c r="R622" s="2" t="s">
        <v>38</v>
      </c>
    </row>
    <row r="623" spans="1:18" x14ac:dyDescent="0.3">
      <c r="A623" s="5" t="s">
        <v>1566</v>
      </c>
      <c r="B623" s="4">
        <v>45513</v>
      </c>
      <c r="C623" s="5" t="s">
        <v>1567</v>
      </c>
      <c r="D623" s="5" t="s">
        <v>788</v>
      </c>
      <c r="E623" s="5" t="s">
        <v>111</v>
      </c>
      <c r="F623" s="5" t="s">
        <v>22</v>
      </c>
      <c r="G623" s="5" t="s">
        <v>100</v>
      </c>
      <c r="H623" s="6">
        <v>5</v>
      </c>
      <c r="I623" s="6">
        <v>16.8</v>
      </c>
      <c r="J623" s="5">
        <v>0</v>
      </c>
      <c r="K623" s="6">
        <v>4.2</v>
      </c>
      <c r="L623" s="6">
        <v>2.83</v>
      </c>
      <c r="M623" s="6">
        <v>91.03</v>
      </c>
      <c r="N623" s="5" t="s">
        <v>35</v>
      </c>
      <c r="O623" s="5" t="s">
        <v>25</v>
      </c>
      <c r="P623" s="5" t="s">
        <v>74</v>
      </c>
      <c r="Q623" s="5" t="s">
        <v>75</v>
      </c>
      <c r="R623" s="5" t="s">
        <v>38</v>
      </c>
    </row>
    <row r="624" spans="1:18" x14ac:dyDescent="0.3">
      <c r="A624" s="2" t="s">
        <v>1568</v>
      </c>
      <c r="B624" s="1">
        <v>44272</v>
      </c>
      <c r="C624" s="2" t="s">
        <v>1569</v>
      </c>
      <c r="D624" s="2" t="s">
        <v>246</v>
      </c>
      <c r="E624" s="2" t="s">
        <v>106</v>
      </c>
      <c r="F624" s="2" t="s">
        <v>143</v>
      </c>
      <c r="G624" s="2" t="s">
        <v>49</v>
      </c>
      <c r="H624" s="3">
        <v>5</v>
      </c>
      <c r="I624" s="3">
        <v>508.77</v>
      </c>
      <c r="J624" s="2">
        <v>0</v>
      </c>
      <c r="K624" s="3">
        <v>127.19</v>
      </c>
      <c r="L624" s="3">
        <v>11.33</v>
      </c>
      <c r="M624" s="3">
        <v>2682.37</v>
      </c>
      <c r="N624" s="2" t="s">
        <v>58</v>
      </c>
      <c r="O624" s="2" t="s">
        <v>25</v>
      </c>
      <c r="P624" s="2" t="s">
        <v>173</v>
      </c>
      <c r="Q624" s="2" t="s">
        <v>174</v>
      </c>
      <c r="R624" s="2" t="s">
        <v>38</v>
      </c>
    </row>
    <row r="625" spans="1:18" x14ac:dyDescent="0.3">
      <c r="A625" s="5" t="s">
        <v>1570</v>
      </c>
      <c r="B625" s="4">
        <v>45462</v>
      </c>
      <c r="C625" s="5" t="s">
        <v>1571</v>
      </c>
      <c r="D625" s="5" t="s">
        <v>904</v>
      </c>
      <c r="E625" s="5" t="s">
        <v>111</v>
      </c>
      <c r="F625" s="5" t="s">
        <v>143</v>
      </c>
      <c r="G625" s="5" t="s">
        <v>268</v>
      </c>
      <c r="H625" s="6">
        <v>1</v>
      </c>
      <c r="I625" s="6">
        <v>102.17</v>
      </c>
      <c r="J625" s="5">
        <v>0.05</v>
      </c>
      <c r="K625" s="6">
        <v>7.76</v>
      </c>
      <c r="L625" s="6">
        <v>11.53</v>
      </c>
      <c r="M625" s="6">
        <v>116.35</v>
      </c>
      <c r="N625" s="5" t="s">
        <v>67</v>
      </c>
      <c r="O625" s="5" t="s">
        <v>25</v>
      </c>
      <c r="P625" s="5" t="s">
        <v>44</v>
      </c>
      <c r="Q625" s="5" t="s">
        <v>37</v>
      </c>
      <c r="R625" s="5" t="s">
        <v>38</v>
      </c>
    </row>
    <row r="626" spans="1:18" x14ac:dyDescent="0.3">
      <c r="A626" s="2" t="s">
        <v>1572</v>
      </c>
      <c r="B626" s="1">
        <v>44599</v>
      </c>
      <c r="C626" s="2" t="s">
        <v>1573</v>
      </c>
      <c r="D626" s="2" t="s">
        <v>181</v>
      </c>
      <c r="E626" s="2" t="s">
        <v>56</v>
      </c>
      <c r="F626" s="2" t="s">
        <v>89</v>
      </c>
      <c r="G626" s="2" t="s">
        <v>100</v>
      </c>
      <c r="H626" s="3">
        <v>2</v>
      </c>
      <c r="I626" s="3">
        <v>291.54000000000002</v>
      </c>
      <c r="J626" s="2">
        <v>0</v>
      </c>
      <c r="K626" s="3">
        <v>0</v>
      </c>
      <c r="L626" s="3">
        <v>2.78</v>
      </c>
      <c r="M626" s="3">
        <v>585.86</v>
      </c>
      <c r="N626" s="2" t="s">
        <v>58</v>
      </c>
      <c r="O626" s="2" t="s">
        <v>82</v>
      </c>
      <c r="P626" s="2" t="s">
        <v>133</v>
      </c>
      <c r="Q626" s="2" t="s">
        <v>134</v>
      </c>
      <c r="R626" s="2" t="s">
        <v>38</v>
      </c>
    </row>
    <row r="627" spans="1:18" x14ac:dyDescent="0.3">
      <c r="A627" s="5" t="s">
        <v>1574</v>
      </c>
      <c r="B627" s="4">
        <v>44846</v>
      </c>
      <c r="C627" s="5" t="s">
        <v>1575</v>
      </c>
      <c r="D627" s="5" t="s">
        <v>219</v>
      </c>
      <c r="E627" s="5" t="s">
        <v>94</v>
      </c>
      <c r="F627" s="5" t="s">
        <v>22</v>
      </c>
      <c r="G627" s="5" t="s">
        <v>100</v>
      </c>
      <c r="H627" s="6">
        <v>3</v>
      </c>
      <c r="I627" s="6">
        <v>86.49</v>
      </c>
      <c r="J627" s="5">
        <v>0.15</v>
      </c>
      <c r="K627" s="6">
        <v>11.03</v>
      </c>
      <c r="L627" s="6">
        <v>13.31</v>
      </c>
      <c r="M627" s="6">
        <v>244.89</v>
      </c>
      <c r="N627" s="5" t="s">
        <v>58</v>
      </c>
      <c r="O627" s="5" t="s">
        <v>107</v>
      </c>
      <c r="P627" s="5" t="s">
        <v>112</v>
      </c>
      <c r="Q627" s="5" t="s">
        <v>113</v>
      </c>
      <c r="R627" s="5" t="s">
        <v>38</v>
      </c>
    </row>
    <row r="628" spans="1:18" x14ac:dyDescent="0.3">
      <c r="A628" s="2" t="s">
        <v>1576</v>
      </c>
      <c r="B628" s="1">
        <v>45179</v>
      </c>
      <c r="C628" s="2" t="s">
        <v>1577</v>
      </c>
      <c r="D628" s="2" t="s">
        <v>720</v>
      </c>
      <c r="E628" s="2" t="s">
        <v>256</v>
      </c>
      <c r="F628" s="2" t="s">
        <v>143</v>
      </c>
      <c r="G628" s="2" t="s">
        <v>23</v>
      </c>
      <c r="H628" s="3">
        <v>2</v>
      </c>
      <c r="I628" s="3">
        <v>106.56</v>
      </c>
      <c r="J628" s="2">
        <v>0</v>
      </c>
      <c r="K628" s="3">
        <v>0</v>
      </c>
      <c r="L628" s="3">
        <v>5.84</v>
      </c>
      <c r="M628" s="3">
        <v>218.96</v>
      </c>
      <c r="N628" s="2" t="s">
        <v>123</v>
      </c>
      <c r="O628" s="2" t="s">
        <v>25</v>
      </c>
      <c r="P628" s="2" t="s">
        <v>145</v>
      </c>
      <c r="Q628" s="2" t="s">
        <v>146</v>
      </c>
      <c r="R628" s="2" t="s">
        <v>38</v>
      </c>
    </row>
    <row r="629" spans="1:18" x14ac:dyDescent="0.3">
      <c r="A629" s="5" t="s">
        <v>1578</v>
      </c>
      <c r="B629" s="4">
        <v>44346</v>
      </c>
      <c r="C629" s="5" t="s">
        <v>1579</v>
      </c>
      <c r="D629" s="5" t="s">
        <v>1580</v>
      </c>
      <c r="E629" s="5" t="s">
        <v>197</v>
      </c>
      <c r="F629" s="5" t="s">
        <v>143</v>
      </c>
      <c r="G629" s="5" t="s">
        <v>34</v>
      </c>
      <c r="H629" s="6">
        <v>3</v>
      </c>
      <c r="I629" s="6">
        <v>513.54999999999995</v>
      </c>
      <c r="J629" s="5">
        <v>0.1</v>
      </c>
      <c r="K629" s="6">
        <v>166.39</v>
      </c>
      <c r="L629" s="6">
        <v>1.44</v>
      </c>
      <c r="M629" s="6">
        <v>1554.42</v>
      </c>
      <c r="N629" s="5" t="s">
        <v>123</v>
      </c>
      <c r="O629" s="5" t="s">
        <v>25</v>
      </c>
      <c r="P629" s="5" t="s">
        <v>26</v>
      </c>
      <c r="Q629" s="5" t="s">
        <v>27</v>
      </c>
      <c r="R629" s="5" t="s">
        <v>28</v>
      </c>
    </row>
    <row r="630" spans="1:18" x14ac:dyDescent="0.3">
      <c r="A630" s="2" t="s">
        <v>1581</v>
      </c>
      <c r="B630" s="1">
        <v>44870</v>
      </c>
      <c r="C630" s="2" t="s">
        <v>1582</v>
      </c>
      <c r="D630" s="2" t="s">
        <v>904</v>
      </c>
      <c r="E630" s="2" t="s">
        <v>392</v>
      </c>
      <c r="F630" s="2" t="s">
        <v>43</v>
      </c>
      <c r="G630" s="2" t="s">
        <v>268</v>
      </c>
      <c r="H630" s="3">
        <v>3</v>
      </c>
      <c r="I630" s="3">
        <v>592.04</v>
      </c>
      <c r="J630" s="2">
        <v>0.25</v>
      </c>
      <c r="K630" s="3">
        <v>106.57</v>
      </c>
      <c r="L630" s="3">
        <v>9.9700000000000006</v>
      </c>
      <c r="M630" s="3">
        <v>1448.63</v>
      </c>
      <c r="N630" s="2" t="s">
        <v>58</v>
      </c>
      <c r="O630" s="2" t="s">
        <v>25</v>
      </c>
      <c r="P630" s="2" t="s">
        <v>60</v>
      </c>
      <c r="Q630" s="2" t="s">
        <v>37</v>
      </c>
      <c r="R630" s="2" t="s">
        <v>38</v>
      </c>
    </row>
    <row r="631" spans="1:18" x14ac:dyDescent="0.3">
      <c r="A631" s="5" t="s">
        <v>1583</v>
      </c>
      <c r="B631" s="4">
        <v>44622</v>
      </c>
      <c r="C631" s="5" t="s">
        <v>1584</v>
      </c>
      <c r="D631" s="5" t="s">
        <v>317</v>
      </c>
      <c r="E631" s="5" t="s">
        <v>392</v>
      </c>
      <c r="F631" s="5" t="s">
        <v>143</v>
      </c>
      <c r="G631" s="5" t="s">
        <v>49</v>
      </c>
      <c r="H631" s="6">
        <v>5</v>
      </c>
      <c r="I631" s="6">
        <v>80.2</v>
      </c>
      <c r="J631" s="5">
        <v>0.05</v>
      </c>
      <c r="K631" s="6">
        <v>0</v>
      </c>
      <c r="L631" s="6">
        <v>7.31</v>
      </c>
      <c r="M631" s="6">
        <v>388.26</v>
      </c>
      <c r="N631" s="5" t="s">
        <v>123</v>
      </c>
      <c r="O631" s="5" t="s">
        <v>25</v>
      </c>
      <c r="P631" s="5" t="s">
        <v>101</v>
      </c>
      <c r="Q631" s="5" t="s">
        <v>102</v>
      </c>
      <c r="R631" s="5" t="s">
        <v>38</v>
      </c>
    </row>
    <row r="632" spans="1:18" x14ac:dyDescent="0.3">
      <c r="A632" s="2" t="s">
        <v>1585</v>
      </c>
      <c r="B632" s="1">
        <v>44166</v>
      </c>
      <c r="C632" s="2" t="s">
        <v>1586</v>
      </c>
      <c r="D632" s="2" t="s">
        <v>286</v>
      </c>
      <c r="E632" s="2" t="s">
        <v>216</v>
      </c>
      <c r="F632" s="2" t="s">
        <v>33</v>
      </c>
      <c r="G632" s="2" t="s">
        <v>100</v>
      </c>
      <c r="H632" s="3">
        <v>5</v>
      </c>
      <c r="I632" s="3">
        <v>229.54</v>
      </c>
      <c r="J632" s="2">
        <v>0</v>
      </c>
      <c r="K632" s="3">
        <v>91.82</v>
      </c>
      <c r="L632" s="3">
        <v>6.9</v>
      </c>
      <c r="M632" s="3">
        <v>1246.42</v>
      </c>
      <c r="N632" s="2" t="s">
        <v>58</v>
      </c>
      <c r="O632" s="2" t="s">
        <v>25</v>
      </c>
      <c r="P632" s="2" t="s">
        <v>178</v>
      </c>
      <c r="Q632" s="2" t="s">
        <v>69</v>
      </c>
      <c r="R632" s="2" t="s">
        <v>61</v>
      </c>
    </row>
    <row r="633" spans="1:18" x14ac:dyDescent="0.3">
      <c r="A633" s="5" t="s">
        <v>1587</v>
      </c>
      <c r="B633" s="4">
        <v>45613</v>
      </c>
      <c r="C633" s="5" t="s">
        <v>1588</v>
      </c>
      <c r="D633" s="5" t="s">
        <v>263</v>
      </c>
      <c r="E633" s="5" t="s">
        <v>190</v>
      </c>
      <c r="F633" s="5" t="s">
        <v>81</v>
      </c>
      <c r="G633" s="5" t="s">
        <v>57</v>
      </c>
      <c r="H633" s="6">
        <v>5</v>
      </c>
      <c r="I633" s="6">
        <v>101.63</v>
      </c>
      <c r="J633" s="5">
        <v>0.05</v>
      </c>
      <c r="K633" s="6">
        <v>38.619999999999997</v>
      </c>
      <c r="L633" s="6">
        <v>1.65</v>
      </c>
      <c r="M633" s="6">
        <v>523.01</v>
      </c>
      <c r="N633" s="5" t="s">
        <v>35</v>
      </c>
      <c r="O633" s="5" t="s">
        <v>25</v>
      </c>
      <c r="P633" s="5" t="s">
        <v>51</v>
      </c>
      <c r="Q633" s="5" t="s">
        <v>52</v>
      </c>
      <c r="R633" s="5" t="s">
        <v>38</v>
      </c>
    </row>
    <row r="634" spans="1:18" x14ac:dyDescent="0.3">
      <c r="A634" s="2" t="s">
        <v>1589</v>
      </c>
      <c r="B634" s="1">
        <v>44088</v>
      </c>
      <c r="C634" s="2" t="s">
        <v>1590</v>
      </c>
      <c r="D634" s="2" t="s">
        <v>525</v>
      </c>
      <c r="E634" s="2" t="s">
        <v>156</v>
      </c>
      <c r="F634" s="2" t="s">
        <v>81</v>
      </c>
      <c r="G634" s="2" t="s">
        <v>100</v>
      </c>
      <c r="H634" s="3">
        <v>1</v>
      </c>
      <c r="I634" s="3">
        <v>92.3</v>
      </c>
      <c r="J634" s="2">
        <v>0</v>
      </c>
      <c r="K634" s="3">
        <v>11.08</v>
      </c>
      <c r="L634" s="3">
        <v>10.61</v>
      </c>
      <c r="M634" s="3">
        <v>113.99</v>
      </c>
      <c r="N634" s="2" t="s">
        <v>24</v>
      </c>
      <c r="O634" s="2" t="s">
        <v>82</v>
      </c>
      <c r="P634" s="2" t="s">
        <v>117</v>
      </c>
      <c r="Q634" s="2" t="s">
        <v>118</v>
      </c>
      <c r="R634" s="2" t="s">
        <v>38</v>
      </c>
    </row>
    <row r="635" spans="1:18" x14ac:dyDescent="0.3">
      <c r="A635" s="5" t="s">
        <v>1591</v>
      </c>
      <c r="B635" s="4">
        <v>44327</v>
      </c>
      <c r="C635" s="5" t="s">
        <v>1592</v>
      </c>
      <c r="D635" s="5" t="s">
        <v>1593</v>
      </c>
      <c r="E635" s="5" t="s">
        <v>216</v>
      </c>
      <c r="F635" s="5" t="s">
        <v>89</v>
      </c>
      <c r="G635" s="5" t="s">
        <v>100</v>
      </c>
      <c r="H635" s="6">
        <v>5</v>
      </c>
      <c r="I635" s="6">
        <v>214.56</v>
      </c>
      <c r="J635" s="5">
        <v>0</v>
      </c>
      <c r="K635" s="6">
        <v>128.74</v>
      </c>
      <c r="L635" s="6">
        <v>4.45</v>
      </c>
      <c r="M635" s="6">
        <v>1205.99</v>
      </c>
      <c r="N635" s="5" t="s">
        <v>67</v>
      </c>
      <c r="O635" s="5" t="s">
        <v>25</v>
      </c>
      <c r="P635" s="5" t="s">
        <v>145</v>
      </c>
      <c r="Q635" s="5" t="s">
        <v>146</v>
      </c>
      <c r="R635" s="5" t="s">
        <v>28</v>
      </c>
    </row>
    <row r="636" spans="1:18" x14ac:dyDescent="0.3">
      <c r="A636" s="2" t="s">
        <v>1594</v>
      </c>
      <c r="B636" s="1">
        <v>44726</v>
      </c>
      <c r="C636" s="2" t="s">
        <v>1595</v>
      </c>
      <c r="D636" s="2" t="s">
        <v>882</v>
      </c>
      <c r="E636" s="2" t="s">
        <v>99</v>
      </c>
      <c r="F636" s="2" t="s">
        <v>43</v>
      </c>
      <c r="G636" s="2" t="s">
        <v>90</v>
      </c>
      <c r="H636" s="3">
        <v>3</v>
      </c>
      <c r="I636" s="3">
        <v>211.25</v>
      </c>
      <c r="J636" s="2">
        <v>0.2</v>
      </c>
      <c r="K636" s="3">
        <v>60.84</v>
      </c>
      <c r="L636" s="3">
        <v>6.1</v>
      </c>
      <c r="M636" s="3">
        <v>573.94000000000005</v>
      </c>
      <c r="N636" s="2" t="s">
        <v>58</v>
      </c>
      <c r="O636" s="2" t="s">
        <v>25</v>
      </c>
      <c r="P636" s="2" t="s">
        <v>124</v>
      </c>
      <c r="Q636" s="2" t="s">
        <v>125</v>
      </c>
      <c r="R636" s="2" t="s">
        <v>38</v>
      </c>
    </row>
    <row r="637" spans="1:18" x14ac:dyDescent="0.3">
      <c r="A637" s="5" t="s">
        <v>1596</v>
      </c>
      <c r="B637" s="4">
        <v>43990</v>
      </c>
      <c r="C637" s="5" t="s">
        <v>1597</v>
      </c>
      <c r="D637" s="5" t="s">
        <v>400</v>
      </c>
      <c r="E637" s="5" t="s">
        <v>324</v>
      </c>
      <c r="F637" s="5" t="s">
        <v>81</v>
      </c>
      <c r="G637" s="5" t="s">
        <v>57</v>
      </c>
      <c r="H637" s="6">
        <v>5</v>
      </c>
      <c r="I637" s="6">
        <v>209.51</v>
      </c>
      <c r="J637" s="5">
        <v>0.05</v>
      </c>
      <c r="K637" s="6">
        <v>49.76</v>
      </c>
      <c r="L637" s="6">
        <v>11.36</v>
      </c>
      <c r="M637" s="6">
        <v>1056.29</v>
      </c>
      <c r="N637" s="5" t="s">
        <v>24</v>
      </c>
      <c r="O637" s="5" t="s">
        <v>25</v>
      </c>
      <c r="P637" s="5" t="s">
        <v>173</v>
      </c>
      <c r="Q637" s="5" t="s">
        <v>174</v>
      </c>
      <c r="R637" s="5" t="s">
        <v>38</v>
      </c>
    </row>
    <row r="638" spans="1:18" x14ac:dyDescent="0.3">
      <c r="A638" s="2" t="s">
        <v>1598</v>
      </c>
      <c r="B638" s="1">
        <v>45329</v>
      </c>
      <c r="C638" s="2" t="s">
        <v>1599</v>
      </c>
      <c r="D638" s="2" t="s">
        <v>230</v>
      </c>
      <c r="E638" s="2" t="s">
        <v>56</v>
      </c>
      <c r="F638" s="2" t="s">
        <v>81</v>
      </c>
      <c r="G638" s="2" t="s">
        <v>34</v>
      </c>
      <c r="H638" s="3">
        <v>2</v>
      </c>
      <c r="I638" s="3">
        <v>421.94</v>
      </c>
      <c r="J638" s="2">
        <v>0</v>
      </c>
      <c r="K638" s="3">
        <v>101.27</v>
      </c>
      <c r="L638" s="3">
        <v>1.04</v>
      </c>
      <c r="M638" s="3">
        <v>946.19</v>
      </c>
      <c r="N638" s="2" t="s">
        <v>67</v>
      </c>
      <c r="O638" s="2" t="s">
        <v>144</v>
      </c>
      <c r="P638" s="2" t="s">
        <v>257</v>
      </c>
      <c r="Q638" s="2" t="s">
        <v>69</v>
      </c>
      <c r="R638" s="2" t="s">
        <v>28</v>
      </c>
    </row>
    <row r="639" spans="1:18" x14ac:dyDescent="0.3">
      <c r="A639" s="5" t="s">
        <v>1600</v>
      </c>
      <c r="B639" s="4">
        <v>44682</v>
      </c>
      <c r="C639" s="5" t="s">
        <v>1601</v>
      </c>
      <c r="D639" s="5" t="s">
        <v>371</v>
      </c>
      <c r="E639" s="5" t="s">
        <v>291</v>
      </c>
      <c r="F639" s="5" t="s">
        <v>81</v>
      </c>
      <c r="G639" s="5" t="s">
        <v>90</v>
      </c>
      <c r="H639" s="6">
        <v>4</v>
      </c>
      <c r="I639" s="6">
        <v>18.329999999999998</v>
      </c>
      <c r="J639" s="5">
        <v>0</v>
      </c>
      <c r="K639" s="6">
        <v>0</v>
      </c>
      <c r="L639" s="6">
        <v>3.84</v>
      </c>
      <c r="M639" s="6">
        <v>77.16</v>
      </c>
      <c r="N639" s="5" t="s">
        <v>58</v>
      </c>
      <c r="O639" s="5" t="s">
        <v>25</v>
      </c>
      <c r="P639" s="5" t="s">
        <v>26</v>
      </c>
      <c r="Q639" s="5" t="s">
        <v>27</v>
      </c>
      <c r="R639" s="5" t="s">
        <v>38</v>
      </c>
    </row>
    <row r="640" spans="1:18" x14ac:dyDescent="0.3">
      <c r="A640" s="2" t="s">
        <v>1602</v>
      </c>
      <c r="B640" s="1">
        <v>45518</v>
      </c>
      <c r="C640" s="2" t="s">
        <v>1603</v>
      </c>
      <c r="D640" s="2" t="s">
        <v>483</v>
      </c>
      <c r="E640" s="2" t="s">
        <v>294</v>
      </c>
      <c r="F640" s="2" t="s">
        <v>33</v>
      </c>
      <c r="G640" s="2" t="s">
        <v>23</v>
      </c>
      <c r="H640" s="3">
        <v>2</v>
      </c>
      <c r="I640" s="3">
        <v>123</v>
      </c>
      <c r="J640" s="2">
        <v>0.2</v>
      </c>
      <c r="K640" s="3">
        <v>9.84</v>
      </c>
      <c r="L640" s="3">
        <v>14.33</v>
      </c>
      <c r="M640" s="3">
        <v>220.97</v>
      </c>
      <c r="N640" s="2" t="s">
        <v>35</v>
      </c>
      <c r="O640" s="2" t="s">
        <v>25</v>
      </c>
      <c r="P640" s="2" t="s">
        <v>112</v>
      </c>
      <c r="Q640" s="2" t="s">
        <v>113</v>
      </c>
      <c r="R640" s="2" t="s">
        <v>38</v>
      </c>
    </row>
    <row r="641" spans="1:18" x14ac:dyDescent="0.3">
      <c r="A641" s="5" t="s">
        <v>1604</v>
      </c>
      <c r="B641" s="4">
        <v>44520</v>
      </c>
      <c r="C641" s="5" t="s">
        <v>1605</v>
      </c>
      <c r="D641" s="5" t="s">
        <v>494</v>
      </c>
      <c r="E641" s="5" t="s">
        <v>386</v>
      </c>
      <c r="F641" s="5" t="s">
        <v>43</v>
      </c>
      <c r="G641" s="5" t="s">
        <v>66</v>
      </c>
      <c r="H641" s="6">
        <v>1</v>
      </c>
      <c r="I641" s="6">
        <v>449.57</v>
      </c>
      <c r="J641" s="5">
        <v>0.2</v>
      </c>
      <c r="K641" s="6">
        <v>43.16</v>
      </c>
      <c r="L641" s="6">
        <v>3.18</v>
      </c>
      <c r="M641" s="6">
        <v>406</v>
      </c>
      <c r="N641" s="5" t="s">
        <v>24</v>
      </c>
      <c r="O641" s="5" t="s">
        <v>25</v>
      </c>
      <c r="P641" s="5" t="s">
        <v>68</v>
      </c>
      <c r="Q641" s="5" t="s">
        <v>69</v>
      </c>
      <c r="R641" s="5" t="s">
        <v>38</v>
      </c>
    </row>
    <row r="642" spans="1:18" x14ac:dyDescent="0.3">
      <c r="A642" s="2" t="s">
        <v>1606</v>
      </c>
      <c r="B642" s="1">
        <v>45529</v>
      </c>
      <c r="C642" s="2" t="s">
        <v>1607</v>
      </c>
      <c r="D642" s="2" t="s">
        <v>569</v>
      </c>
      <c r="E642" s="2" t="s">
        <v>349</v>
      </c>
      <c r="F642" s="2" t="s">
        <v>22</v>
      </c>
      <c r="G642" s="2" t="s">
        <v>57</v>
      </c>
      <c r="H642" s="3">
        <v>1</v>
      </c>
      <c r="I642" s="3">
        <v>422.22</v>
      </c>
      <c r="J642" s="2">
        <v>0.1</v>
      </c>
      <c r="K642" s="3">
        <v>45.6</v>
      </c>
      <c r="L642" s="3">
        <v>9.3800000000000008</v>
      </c>
      <c r="M642" s="3">
        <v>434.98</v>
      </c>
      <c r="N642" s="2" t="s">
        <v>35</v>
      </c>
      <c r="O642" s="2" t="s">
        <v>25</v>
      </c>
      <c r="P642" s="2" t="s">
        <v>173</v>
      </c>
      <c r="Q642" s="2" t="s">
        <v>174</v>
      </c>
      <c r="R642" s="2" t="s">
        <v>38</v>
      </c>
    </row>
    <row r="643" spans="1:18" x14ac:dyDescent="0.3">
      <c r="A643" s="5" t="s">
        <v>1608</v>
      </c>
      <c r="B643" s="4">
        <v>44210</v>
      </c>
      <c r="C643" s="5" t="s">
        <v>1609</v>
      </c>
      <c r="D643" s="5" t="s">
        <v>477</v>
      </c>
      <c r="E643" s="5" t="s">
        <v>132</v>
      </c>
      <c r="F643" s="5" t="s">
        <v>22</v>
      </c>
      <c r="G643" s="5" t="s">
        <v>34</v>
      </c>
      <c r="H643" s="6">
        <v>5</v>
      </c>
      <c r="I643" s="6">
        <v>243.42</v>
      </c>
      <c r="J643" s="5">
        <v>0.1</v>
      </c>
      <c r="K643" s="6">
        <v>131.44999999999999</v>
      </c>
      <c r="L643" s="6">
        <v>3.54</v>
      </c>
      <c r="M643" s="6">
        <v>1230.3800000000001</v>
      </c>
      <c r="N643" s="5" t="s">
        <v>123</v>
      </c>
      <c r="O643" s="5" t="s">
        <v>25</v>
      </c>
      <c r="P643" s="5" t="s">
        <v>60</v>
      </c>
      <c r="Q643" s="5" t="s">
        <v>37</v>
      </c>
      <c r="R643" s="5" t="s">
        <v>38</v>
      </c>
    </row>
    <row r="644" spans="1:18" x14ac:dyDescent="0.3">
      <c r="A644" s="2" t="s">
        <v>1610</v>
      </c>
      <c r="B644" s="1">
        <v>45399</v>
      </c>
      <c r="C644" s="2" t="s">
        <v>1611</v>
      </c>
      <c r="D644" s="2" t="s">
        <v>655</v>
      </c>
      <c r="E644" s="2" t="s">
        <v>190</v>
      </c>
      <c r="F644" s="2" t="s">
        <v>22</v>
      </c>
      <c r="G644" s="2" t="s">
        <v>90</v>
      </c>
      <c r="H644" s="3">
        <v>1</v>
      </c>
      <c r="I644" s="3">
        <v>445.19</v>
      </c>
      <c r="J644" s="2">
        <v>0.15</v>
      </c>
      <c r="K644" s="3">
        <v>45.41</v>
      </c>
      <c r="L644" s="3">
        <v>13.76</v>
      </c>
      <c r="M644" s="3">
        <v>437.58</v>
      </c>
      <c r="N644" s="2" t="s">
        <v>58</v>
      </c>
      <c r="O644" s="2" t="s">
        <v>25</v>
      </c>
      <c r="P644" s="2" t="s">
        <v>173</v>
      </c>
      <c r="Q644" s="2" t="s">
        <v>174</v>
      </c>
      <c r="R644" s="2" t="s">
        <v>76</v>
      </c>
    </row>
    <row r="645" spans="1:18" x14ac:dyDescent="0.3">
      <c r="A645" s="5" t="s">
        <v>1612</v>
      </c>
      <c r="B645" s="4">
        <v>44787</v>
      </c>
      <c r="C645" s="5" t="s">
        <v>1613</v>
      </c>
      <c r="D645" s="5" t="s">
        <v>357</v>
      </c>
      <c r="E645" s="5" t="s">
        <v>324</v>
      </c>
      <c r="F645" s="5" t="s">
        <v>143</v>
      </c>
      <c r="G645" s="5" t="s">
        <v>66</v>
      </c>
      <c r="H645" s="6">
        <v>3</v>
      </c>
      <c r="I645" s="6">
        <v>223.77</v>
      </c>
      <c r="J645" s="5">
        <v>0</v>
      </c>
      <c r="K645" s="6">
        <v>53.7</v>
      </c>
      <c r="L645" s="6">
        <v>11.24</v>
      </c>
      <c r="M645" s="6">
        <v>736.25</v>
      </c>
      <c r="N645" s="5" t="s">
        <v>58</v>
      </c>
      <c r="O645" s="5" t="s">
        <v>107</v>
      </c>
      <c r="P645" s="5" t="s">
        <v>257</v>
      </c>
      <c r="Q645" s="5" t="s">
        <v>69</v>
      </c>
      <c r="R645" s="5" t="s">
        <v>38</v>
      </c>
    </row>
    <row r="646" spans="1:18" x14ac:dyDescent="0.3">
      <c r="A646" s="2" t="s">
        <v>1614</v>
      </c>
      <c r="B646" s="1">
        <v>44521</v>
      </c>
      <c r="C646" s="2" t="s">
        <v>1615</v>
      </c>
      <c r="D646" s="2" t="s">
        <v>159</v>
      </c>
      <c r="E646" s="2" t="s">
        <v>169</v>
      </c>
      <c r="F646" s="2" t="s">
        <v>43</v>
      </c>
      <c r="G646" s="2" t="s">
        <v>203</v>
      </c>
      <c r="H646" s="3">
        <v>3</v>
      </c>
      <c r="I646" s="3">
        <v>268.82</v>
      </c>
      <c r="J646" s="2">
        <v>0.05</v>
      </c>
      <c r="K646" s="3">
        <v>91.94</v>
      </c>
      <c r="L646" s="3">
        <v>2.19</v>
      </c>
      <c r="M646" s="3">
        <v>860.27</v>
      </c>
      <c r="N646" s="2" t="s">
        <v>67</v>
      </c>
      <c r="O646" s="2" t="s">
        <v>25</v>
      </c>
      <c r="P646" s="2" t="s">
        <v>150</v>
      </c>
      <c r="Q646" s="2" t="s">
        <v>69</v>
      </c>
      <c r="R646" s="2" t="s">
        <v>38</v>
      </c>
    </row>
    <row r="647" spans="1:18" x14ac:dyDescent="0.3">
      <c r="A647" s="5" t="s">
        <v>1616</v>
      </c>
      <c r="B647" s="4">
        <v>45281</v>
      </c>
      <c r="C647" s="5" t="s">
        <v>1617</v>
      </c>
      <c r="D647" s="5" t="s">
        <v>400</v>
      </c>
      <c r="E647" s="5" t="s">
        <v>287</v>
      </c>
      <c r="F647" s="5" t="s">
        <v>143</v>
      </c>
      <c r="G647" s="5" t="s">
        <v>198</v>
      </c>
      <c r="H647" s="6">
        <v>2</v>
      </c>
      <c r="I647" s="6">
        <v>479.12</v>
      </c>
      <c r="J647" s="5">
        <v>0.1</v>
      </c>
      <c r="K647" s="6">
        <v>0</v>
      </c>
      <c r="L647" s="6">
        <v>3.92</v>
      </c>
      <c r="M647" s="6">
        <v>866.34</v>
      </c>
      <c r="N647" s="5" t="s">
        <v>35</v>
      </c>
      <c r="O647" s="5" t="s">
        <v>25</v>
      </c>
      <c r="P647" s="5" t="s">
        <v>26</v>
      </c>
      <c r="Q647" s="5" t="s">
        <v>27</v>
      </c>
      <c r="R647" s="5" t="s">
        <v>28</v>
      </c>
    </row>
    <row r="648" spans="1:18" x14ac:dyDescent="0.3">
      <c r="A648" s="2" t="s">
        <v>1618</v>
      </c>
      <c r="B648" s="1">
        <v>45467</v>
      </c>
      <c r="C648" s="2" t="s">
        <v>1619</v>
      </c>
      <c r="D648" s="2" t="s">
        <v>816</v>
      </c>
      <c r="E648" s="2" t="s">
        <v>691</v>
      </c>
      <c r="F648" s="2" t="s">
        <v>81</v>
      </c>
      <c r="G648" s="2" t="s">
        <v>34</v>
      </c>
      <c r="H648" s="3">
        <v>3</v>
      </c>
      <c r="I648" s="3">
        <v>115.37</v>
      </c>
      <c r="J648" s="2">
        <v>0.1</v>
      </c>
      <c r="K648" s="3">
        <v>15.57</v>
      </c>
      <c r="L648" s="3">
        <v>4.0999999999999996</v>
      </c>
      <c r="M648" s="3">
        <v>331.17</v>
      </c>
      <c r="N648" s="2" t="s">
        <v>67</v>
      </c>
      <c r="O648" s="2" t="s">
        <v>25</v>
      </c>
      <c r="P648" s="2" t="s">
        <v>26</v>
      </c>
      <c r="Q648" s="2" t="s">
        <v>27</v>
      </c>
      <c r="R648" s="2" t="s">
        <v>38</v>
      </c>
    </row>
    <row r="649" spans="1:18" x14ac:dyDescent="0.3">
      <c r="A649" s="5" t="s">
        <v>1620</v>
      </c>
      <c r="B649" s="4">
        <v>45122</v>
      </c>
      <c r="C649" s="5" t="s">
        <v>1621</v>
      </c>
      <c r="D649" s="5" t="s">
        <v>558</v>
      </c>
      <c r="E649" s="5" t="s">
        <v>691</v>
      </c>
      <c r="F649" s="5" t="s">
        <v>89</v>
      </c>
      <c r="G649" s="5" t="s">
        <v>66</v>
      </c>
      <c r="H649" s="6">
        <v>4</v>
      </c>
      <c r="I649" s="6">
        <v>370.92</v>
      </c>
      <c r="J649" s="5">
        <v>0.2</v>
      </c>
      <c r="K649" s="6">
        <v>59.35</v>
      </c>
      <c r="L649" s="6">
        <v>4.67</v>
      </c>
      <c r="M649" s="6">
        <v>1250.96</v>
      </c>
      <c r="N649" s="5" t="s">
        <v>123</v>
      </c>
      <c r="O649" s="5" t="s">
        <v>107</v>
      </c>
      <c r="P649" s="5" t="s">
        <v>257</v>
      </c>
      <c r="Q649" s="5" t="s">
        <v>69</v>
      </c>
      <c r="R649" s="5" t="s">
        <v>28</v>
      </c>
    </row>
    <row r="650" spans="1:18" x14ac:dyDescent="0.3">
      <c r="A650" s="2" t="s">
        <v>1622</v>
      </c>
      <c r="B650" s="1">
        <v>45431</v>
      </c>
      <c r="C650" s="2" t="s">
        <v>1623</v>
      </c>
      <c r="D650" s="2" t="s">
        <v>788</v>
      </c>
      <c r="E650" s="2" t="s">
        <v>177</v>
      </c>
      <c r="F650" s="2" t="s">
        <v>33</v>
      </c>
      <c r="G650" s="2" t="s">
        <v>198</v>
      </c>
      <c r="H650" s="3">
        <v>1</v>
      </c>
      <c r="I650" s="3">
        <v>410.06</v>
      </c>
      <c r="J650" s="2">
        <v>0.15</v>
      </c>
      <c r="K650" s="3">
        <v>62.74</v>
      </c>
      <c r="L650" s="3">
        <v>9.1</v>
      </c>
      <c r="M650" s="3">
        <v>420.39</v>
      </c>
      <c r="N650" s="2" t="s">
        <v>24</v>
      </c>
      <c r="O650" s="2" t="s">
        <v>107</v>
      </c>
      <c r="P650" s="2" t="s">
        <v>60</v>
      </c>
      <c r="Q650" s="2" t="s">
        <v>37</v>
      </c>
      <c r="R650" s="2" t="s">
        <v>76</v>
      </c>
    </row>
    <row r="651" spans="1:18" x14ac:dyDescent="0.3">
      <c r="A651" s="5" t="s">
        <v>1624</v>
      </c>
      <c r="B651" s="4">
        <v>45271</v>
      </c>
      <c r="C651" s="5" t="s">
        <v>1625</v>
      </c>
      <c r="D651" s="5" t="s">
        <v>249</v>
      </c>
      <c r="E651" s="5" t="s">
        <v>94</v>
      </c>
      <c r="F651" s="5" t="s">
        <v>143</v>
      </c>
      <c r="G651" s="5" t="s">
        <v>268</v>
      </c>
      <c r="H651" s="6">
        <v>1</v>
      </c>
      <c r="I651" s="6">
        <v>141.41</v>
      </c>
      <c r="J651" s="5">
        <v>0.2</v>
      </c>
      <c r="K651" s="6">
        <v>5.66</v>
      </c>
      <c r="L651" s="6">
        <v>4.46</v>
      </c>
      <c r="M651" s="6">
        <v>123.25</v>
      </c>
      <c r="N651" s="5" t="s">
        <v>24</v>
      </c>
      <c r="O651" s="5" t="s">
        <v>25</v>
      </c>
      <c r="P651" s="5" t="s">
        <v>117</v>
      </c>
      <c r="Q651" s="5" t="s">
        <v>118</v>
      </c>
      <c r="R651" s="5" t="s">
        <v>183</v>
      </c>
    </row>
    <row r="652" spans="1:18" x14ac:dyDescent="0.3">
      <c r="A652" s="2" t="s">
        <v>1626</v>
      </c>
      <c r="B652" s="1">
        <v>45022</v>
      </c>
      <c r="C652" s="2" t="s">
        <v>1627</v>
      </c>
      <c r="D652" s="2" t="s">
        <v>731</v>
      </c>
      <c r="E652" s="2" t="s">
        <v>216</v>
      </c>
      <c r="F652" s="2" t="s">
        <v>81</v>
      </c>
      <c r="G652" s="2" t="s">
        <v>23</v>
      </c>
      <c r="H652" s="3">
        <v>4</v>
      </c>
      <c r="I652" s="3">
        <v>58.27</v>
      </c>
      <c r="J652" s="2">
        <v>0</v>
      </c>
      <c r="K652" s="3">
        <v>27.97</v>
      </c>
      <c r="L652" s="3">
        <v>11.21</v>
      </c>
      <c r="M652" s="3">
        <v>272.26</v>
      </c>
      <c r="N652" s="2" t="s">
        <v>67</v>
      </c>
      <c r="O652" s="2" t="s">
        <v>107</v>
      </c>
      <c r="P652" s="2" t="s">
        <v>95</v>
      </c>
      <c r="Q652" s="2" t="s">
        <v>37</v>
      </c>
      <c r="R652" s="2" t="s">
        <v>38</v>
      </c>
    </row>
    <row r="653" spans="1:18" x14ac:dyDescent="0.3">
      <c r="A653" s="5" t="s">
        <v>1628</v>
      </c>
      <c r="B653" s="4">
        <v>44897</v>
      </c>
      <c r="C653" s="5" t="s">
        <v>1629</v>
      </c>
      <c r="D653" s="5" t="s">
        <v>477</v>
      </c>
      <c r="E653" s="5" t="s">
        <v>437</v>
      </c>
      <c r="F653" s="5" t="s">
        <v>33</v>
      </c>
      <c r="G653" s="5" t="s">
        <v>100</v>
      </c>
      <c r="H653" s="6">
        <v>2</v>
      </c>
      <c r="I653" s="6">
        <v>131.55000000000001</v>
      </c>
      <c r="J653" s="5">
        <v>0.15</v>
      </c>
      <c r="K653" s="6">
        <v>26.84</v>
      </c>
      <c r="L653" s="6">
        <v>0.38</v>
      </c>
      <c r="M653" s="6">
        <v>250.86</v>
      </c>
      <c r="N653" s="5" t="s">
        <v>24</v>
      </c>
      <c r="O653" s="5" t="s">
        <v>107</v>
      </c>
      <c r="P653" s="5" t="s">
        <v>124</v>
      </c>
      <c r="Q653" s="5" t="s">
        <v>125</v>
      </c>
      <c r="R653" s="5" t="s">
        <v>28</v>
      </c>
    </row>
    <row r="654" spans="1:18" x14ac:dyDescent="0.3">
      <c r="A654" s="2" t="s">
        <v>1630</v>
      </c>
      <c r="B654" s="1">
        <v>45410</v>
      </c>
      <c r="C654" s="2" t="s">
        <v>1631</v>
      </c>
      <c r="D654" s="2" t="s">
        <v>1632</v>
      </c>
      <c r="E654" s="2" t="s">
        <v>42</v>
      </c>
      <c r="F654" s="2" t="s">
        <v>22</v>
      </c>
      <c r="G654" s="2" t="s">
        <v>34</v>
      </c>
      <c r="H654" s="3">
        <v>3</v>
      </c>
      <c r="I654" s="3">
        <v>362.92</v>
      </c>
      <c r="J654" s="2">
        <v>0.05</v>
      </c>
      <c r="K654" s="3">
        <v>82.75</v>
      </c>
      <c r="L654" s="3">
        <v>11.7</v>
      </c>
      <c r="M654" s="3">
        <v>1128.77</v>
      </c>
      <c r="N654" s="2" t="s">
        <v>50</v>
      </c>
      <c r="O654" s="2" t="s">
        <v>25</v>
      </c>
      <c r="P654" s="2" t="s">
        <v>150</v>
      </c>
      <c r="Q654" s="2" t="s">
        <v>69</v>
      </c>
      <c r="R654" s="2" t="s">
        <v>28</v>
      </c>
    </row>
    <row r="655" spans="1:18" x14ac:dyDescent="0.3">
      <c r="A655" s="5" t="s">
        <v>1633</v>
      </c>
      <c r="B655" s="4">
        <v>44115</v>
      </c>
      <c r="C655" s="5" t="s">
        <v>1634</v>
      </c>
      <c r="D655" s="5" t="s">
        <v>734</v>
      </c>
      <c r="E655" s="5" t="s">
        <v>324</v>
      </c>
      <c r="F655" s="5" t="s">
        <v>81</v>
      </c>
      <c r="G655" s="5" t="s">
        <v>100</v>
      </c>
      <c r="H655" s="6">
        <v>3</v>
      </c>
      <c r="I655" s="6">
        <v>453.13</v>
      </c>
      <c r="J655" s="5">
        <v>0.05</v>
      </c>
      <c r="K655" s="6">
        <v>64.569999999999993</v>
      </c>
      <c r="L655" s="6">
        <v>1.98</v>
      </c>
      <c r="M655" s="6">
        <v>1357.97</v>
      </c>
      <c r="N655" s="5" t="s">
        <v>123</v>
      </c>
      <c r="O655" s="5" t="s">
        <v>25</v>
      </c>
      <c r="P655" s="5" t="s">
        <v>165</v>
      </c>
      <c r="Q655" s="5" t="s">
        <v>37</v>
      </c>
      <c r="R655" s="5" t="s">
        <v>38</v>
      </c>
    </row>
    <row r="656" spans="1:18" x14ac:dyDescent="0.3">
      <c r="A656" s="2" t="s">
        <v>1635</v>
      </c>
      <c r="B656" s="1">
        <v>44227</v>
      </c>
      <c r="C656" s="2" t="s">
        <v>1636</v>
      </c>
      <c r="D656" s="2" t="s">
        <v>1189</v>
      </c>
      <c r="E656" s="2" t="s">
        <v>392</v>
      </c>
      <c r="F656" s="2" t="s">
        <v>43</v>
      </c>
      <c r="G656" s="2" t="s">
        <v>268</v>
      </c>
      <c r="H656" s="3">
        <v>1</v>
      </c>
      <c r="I656" s="3">
        <v>104.92</v>
      </c>
      <c r="J656" s="2">
        <v>0.15</v>
      </c>
      <c r="K656" s="3">
        <v>7.13</v>
      </c>
      <c r="L656" s="3">
        <v>12.53</v>
      </c>
      <c r="M656" s="3">
        <v>108.84</v>
      </c>
      <c r="N656" s="2" t="s">
        <v>58</v>
      </c>
      <c r="O656" s="2" t="s">
        <v>25</v>
      </c>
      <c r="P656" s="2" t="s">
        <v>173</v>
      </c>
      <c r="Q656" s="2" t="s">
        <v>174</v>
      </c>
      <c r="R656" s="2" t="s">
        <v>38</v>
      </c>
    </row>
    <row r="657" spans="1:18" x14ac:dyDescent="0.3">
      <c r="A657" s="5" t="s">
        <v>1637</v>
      </c>
      <c r="B657" s="4">
        <v>43842</v>
      </c>
      <c r="C657" s="5" t="s">
        <v>1638</v>
      </c>
      <c r="D657" s="5" t="s">
        <v>596</v>
      </c>
      <c r="E657" s="5" t="s">
        <v>216</v>
      </c>
      <c r="F657" s="5" t="s">
        <v>22</v>
      </c>
      <c r="G657" s="5" t="s">
        <v>268</v>
      </c>
      <c r="H657" s="6">
        <v>2</v>
      </c>
      <c r="I657" s="6">
        <v>109.98</v>
      </c>
      <c r="J657" s="5">
        <v>0</v>
      </c>
      <c r="K657" s="6">
        <v>17.600000000000001</v>
      </c>
      <c r="L657" s="6">
        <v>3.26</v>
      </c>
      <c r="M657" s="6">
        <v>240.82</v>
      </c>
      <c r="N657" s="5" t="s">
        <v>58</v>
      </c>
      <c r="O657" s="5" t="s">
        <v>25</v>
      </c>
      <c r="P657" s="5" t="s">
        <v>36</v>
      </c>
      <c r="Q657" s="5" t="s">
        <v>37</v>
      </c>
      <c r="R657" s="5" t="s">
        <v>38</v>
      </c>
    </row>
    <row r="658" spans="1:18" x14ac:dyDescent="0.3">
      <c r="A658" s="2" t="s">
        <v>1639</v>
      </c>
      <c r="B658" s="1">
        <v>45461</v>
      </c>
      <c r="C658" s="2" t="s">
        <v>1640</v>
      </c>
      <c r="D658" s="2" t="s">
        <v>566</v>
      </c>
      <c r="E658" s="2" t="s">
        <v>287</v>
      </c>
      <c r="F658" s="2" t="s">
        <v>33</v>
      </c>
      <c r="G658" s="2" t="s">
        <v>203</v>
      </c>
      <c r="H658" s="3">
        <v>5</v>
      </c>
      <c r="I658" s="3">
        <v>57.21</v>
      </c>
      <c r="J658" s="2">
        <v>0.2</v>
      </c>
      <c r="K658" s="3">
        <v>11.44</v>
      </c>
      <c r="L658" s="3">
        <v>12.77</v>
      </c>
      <c r="M658" s="3">
        <v>253.05</v>
      </c>
      <c r="N658" s="2" t="s">
        <v>35</v>
      </c>
      <c r="O658" s="2" t="s">
        <v>107</v>
      </c>
      <c r="P658" s="2" t="s">
        <v>165</v>
      </c>
      <c r="Q658" s="2" t="s">
        <v>37</v>
      </c>
      <c r="R658" s="2" t="s">
        <v>28</v>
      </c>
    </row>
    <row r="659" spans="1:18" x14ac:dyDescent="0.3">
      <c r="A659" s="5" t="s">
        <v>1641</v>
      </c>
      <c r="B659" s="4">
        <v>45156</v>
      </c>
      <c r="C659" s="5" t="s">
        <v>1642</v>
      </c>
      <c r="D659" s="5" t="s">
        <v>1066</v>
      </c>
      <c r="E659" s="5" t="s">
        <v>80</v>
      </c>
      <c r="F659" s="5" t="s">
        <v>89</v>
      </c>
      <c r="G659" s="5" t="s">
        <v>34</v>
      </c>
      <c r="H659" s="6">
        <v>5</v>
      </c>
      <c r="I659" s="6">
        <v>484.82</v>
      </c>
      <c r="J659" s="5">
        <v>0.1</v>
      </c>
      <c r="K659" s="6">
        <v>109.08</v>
      </c>
      <c r="L659" s="6">
        <v>9.1199999999999992</v>
      </c>
      <c r="M659" s="6">
        <v>2299.89</v>
      </c>
      <c r="N659" s="5" t="s">
        <v>58</v>
      </c>
      <c r="O659" s="5" t="s">
        <v>25</v>
      </c>
      <c r="P659" s="5" t="s">
        <v>60</v>
      </c>
      <c r="Q659" s="5" t="s">
        <v>37</v>
      </c>
      <c r="R659" s="5" t="s">
        <v>38</v>
      </c>
    </row>
    <row r="660" spans="1:18" x14ac:dyDescent="0.3">
      <c r="A660" s="2" t="s">
        <v>1643</v>
      </c>
      <c r="B660" s="1">
        <v>45107</v>
      </c>
      <c r="C660" s="2" t="s">
        <v>1644</v>
      </c>
      <c r="D660" s="2" t="s">
        <v>297</v>
      </c>
      <c r="E660" s="2" t="s">
        <v>498</v>
      </c>
      <c r="F660" s="2" t="s">
        <v>43</v>
      </c>
      <c r="G660" s="2" t="s">
        <v>100</v>
      </c>
      <c r="H660" s="3">
        <v>3</v>
      </c>
      <c r="I660" s="3">
        <v>70.34</v>
      </c>
      <c r="J660" s="2">
        <v>0.1</v>
      </c>
      <c r="K660" s="3">
        <v>22.79</v>
      </c>
      <c r="L660" s="3">
        <v>10.51</v>
      </c>
      <c r="M660" s="3">
        <v>223.22</v>
      </c>
      <c r="N660" s="2" t="s">
        <v>50</v>
      </c>
      <c r="O660" s="2" t="s">
        <v>25</v>
      </c>
      <c r="P660" s="2" t="s">
        <v>74</v>
      </c>
      <c r="Q660" s="2" t="s">
        <v>75</v>
      </c>
      <c r="R660" s="2" t="s">
        <v>38</v>
      </c>
    </row>
    <row r="661" spans="1:18" x14ac:dyDescent="0.3">
      <c r="A661" s="5" t="s">
        <v>1645</v>
      </c>
      <c r="B661" s="4">
        <v>44329</v>
      </c>
      <c r="C661" s="5" t="s">
        <v>1646</v>
      </c>
      <c r="D661" s="5" t="s">
        <v>574</v>
      </c>
      <c r="E661" s="5" t="s">
        <v>287</v>
      </c>
      <c r="F661" s="5" t="s">
        <v>22</v>
      </c>
      <c r="G661" s="5" t="s">
        <v>49</v>
      </c>
      <c r="H661" s="6">
        <v>1</v>
      </c>
      <c r="I661" s="6">
        <v>496</v>
      </c>
      <c r="J661" s="5">
        <v>0</v>
      </c>
      <c r="K661" s="6">
        <v>24.8</v>
      </c>
      <c r="L661" s="6">
        <v>5.95</v>
      </c>
      <c r="M661" s="6">
        <v>526.75</v>
      </c>
      <c r="N661" s="5" t="s">
        <v>58</v>
      </c>
      <c r="O661" s="5" t="s">
        <v>107</v>
      </c>
      <c r="P661" s="5" t="s">
        <v>74</v>
      </c>
      <c r="Q661" s="5" t="s">
        <v>75</v>
      </c>
      <c r="R661" s="5" t="s">
        <v>76</v>
      </c>
    </row>
    <row r="662" spans="1:18" x14ac:dyDescent="0.3">
      <c r="A662" s="2" t="s">
        <v>1647</v>
      </c>
      <c r="B662" s="1">
        <v>44584</v>
      </c>
      <c r="C662" s="2" t="s">
        <v>1648</v>
      </c>
      <c r="D662" s="2" t="s">
        <v>159</v>
      </c>
      <c r="E662" s="2" t="s">
        <v>691</v>
      </c>
      <c r="F662" s="2" t="s">
        <v>43</v>
      </c>
      <c r="G662" s="2" t="s">
        <v>66</v>
      </c>
      <c r="H662" s="3">
        <v>3</v>
      </c>
      <c r="I662" s="3">
        <v>533.42999999999995</v>
      </c>
      <c r="J662" s="2">
        <v>0.1</v>
      </c>
      <c r="K662" s="3">
        <v>72.010000000000005</v>
      </c>
      <c r="L662" s="3">
        <v>0.86</v>
      </c>
      <c r="M662" s="3">
        <v>1513.13</v>
      </c>
      <c r="N662" s="2" t="s">
        <v>67</v>
      </c>
      <c r="O662" s="2" t="s">
        <v>25</v>
      </c>
      <c r="P662" s="2" t="s">
        <v>117</v>
      </c>
      <c r="Q662" s="2" t="s">
        <v>118</v>
      </c>
      <c r="R662" s="2" t="s">
        <v>28</v>
      </c>
    </row>
    <row r="663" spans="1:18" x14ac:dyDescent="0.3">
      <c r="A663" s="5" t="s">
        <v>1649</v>
      </c>
      <c r="B663" s="4">
        <v>43865</v>
      </c>
      <c r="C663" s="5" t="s">
        <v>1650</v>
      </c>
      <c r="D663" s="5" t="s">
        <v>1020</v>
      </c>
      <c r="E663" s="5" t="s">
        <v>106</v>
      </c>
      <c r="F663" s="5" t="s">
        <v>22</v>
      </c>
      <c r="G663" s="5" t="s">
        <v>49</v>
      </c>
      <c r="H663" s="6">
        <v>3</v>
      </c>
      <c r="I663" s="6">
        <v>298.35000000000002</v>
      </c>
      <c r="J663" s="5">
        <v>0</v>
      </c>
      <c r="K663" s="6">
        <v>161.11000000000001</v>
      </c>
      <c r="L663" s="6">
        <v>14.15</v>
      </c>
      <c r="M663" s="6">
        <v>1070.31</v>
      </c>
      <c r="N663" s="5" t="s">
        <v>67</v>
      </c>
      <c r="O663" s="5" t="s">
        <v>107</v>
      </c>
      <c r="P663" s="5" t="s">
        <v>36</v>
      </c>
      <c r="Q663" s="5" t="s">
        <v>37</v>
      </c>
      <c r="R663" s="5" t="s">
        <v>61</v>
      </c>
    </row>
    <row r="664" spans="1:18" x14ac:dyDescent="0.3">
      <c r="A664" s="2" t="s">
        <v>1651</v>
      </c>
      <c r="B664" s="1">
        <v>44557</v>
      </c>
      <c r="C664" s="2" t="s">
        <v>1652</v>
      </c>
      <c r="D664" s="2" t="s">
        <v>569</v>
      </c>
      <c r="E664" s="2" t="s">
        <v>32</v>
      </c>
      <c r="F664" s="2" t="s">
        <v>81</v>
      </c>
      <c r="G664" s="2" t="s">
        <v>66</v>
      </c>
      <c r="H664" s="3">
        <v>2</v>
      </c>
      <c r="I664" s="3">
        <v>101.97</v>
      </c>
      <c r="J664" s="2">
        <v>0</v>
      </c>
      <c r="K664" s="3">
        <v>10.199999999999999</v>
      </c>
      <c r="L664" s="3">
        <v>10.29</v>
      </c>
      <c r="M664" s="3">
        <v>224.43</v>
      </c>
      <c r="N664" s="2" t="s">
        <v>67</v>
      </c>
      <c r="O664" s="2" t="s">
        <v>25</v>
      </c>
      <c r="P664" s="2" t="s">
        <v>145</v>
      </c>
      <c r="Q664" s="2" t="s">
        <v>146</v>
      </c>
      <c r="R664" s="2" t="s">
        <v>38</v>
      </c>
    </row>
    <row r="665" spans="1:18" x14ac:dyDescent="0.3">
      <c r="A665" s="5" t="s">
        <v>1653</v>
      </c>
      <c r="B665" s="4">
        <v>44679</v>
      </c>
      <c r="C665" s="5" t="s">
        <v>1617</v>
      </c>
      <c r="D665" s="5" t="s">
        <v>219</v>
      </c>
      <c r="E665" s="5" t="s">
        <v>691</v>
      </c>
      <c r="F665" s="5" t="s">
        <v>22</v>
      </c>
      <c r="G665" s="5" t="s">
        <v>57</v>
      </c>
      <c r="H665" s="6">
        <v>4</v>
      </c>
      <c r="I665" s="6">
        <v>579.05999999999995</v>
      </c>
      <c r="J665" s="5">
        <v>0.2</v>
      </c>
      <c r="K665" s="6">
        <v>333.54</v>
      </c>
      <c r="L665" s="6">
        <v>11.53</v>
      </c>
      <c r="M665" s="6">
        <v>2198.06</v>
      </c>
      <c r="N665" s="5" t="s">
        <v>35</v>
      </c>
      <c r="O665" s="5" t="s">
        <v>25</v>
      </c>
      <c r="P665" s="5" t="s">
        <v>133</v>
      </c>
      <c r="Q665" s="5" t="s">
        <v>134</v>
      </c>
      <c r="R665" s="5" t="s">
        <v>38</v>
      </c>
    </row>
    <row r="666" spans="1:18" x14ac:dyDescent="0.3">
      <c r="A666" s="2" t="s">
        <v>1654</v>
      </c>
      <c r="B666" s="1">
        <v>43920</v>
      </c>
      <c r="C666" s="2" t="s">
        <v>1655</v>
      </c>
      <c r="D666" s="2" t="s">
        <v>440</v>
      </c>
      <c r="E666" s="2" t="s">
        <v>32</v>
      </c>
      <c r="F666" s="2" t="s">
        <v>43</v>
      </c>
      <c r="G666" s="2" t="s">
        <v>203</v>
      </c>
      <c r="H666" s="3">
        <v>3</v>
      </c>
      <c r="I666" s="3">
        <v>569.16</v>
      </c>
      <c r="J666" s="2">
        <v>0</v>
      </c>
      <c r="K666" s="3">
        <v>307.35000000000002</v>
      </c>
      <c r="L666" s="3">
        <v>6.44</v>
      </c>
      <c r="M666" s="3">
        <v>2021.27</v>
      </c>
      <c r="N666" s="2" t="s">
        <v>35</v>
      </c>
      <c r="O666" s="2" t="s">
        <v>25</v>
      </c>
      <c r="P666" s="2" t="s">
        <v>101</v>
      </c>
      <c r="Q666" s="2" t="s">
        <v>102</v>
      </c>
      <c r="R666" s="2" t="s">
        <v>38</v>
      </c>
    </row>
    <row r="667" spans="1:18" x14ac:dyDescent="0.3">
      <c r="A667" s="5" t="s">
        <v>1656</v>
      </c>
      <c r="B667" s="4">
        <v>44606</v>
      </c>
      <c r="C667" s="5" t="s">
        <v>1657</v>
      </c>
      <c r="D667" s="5" t="s">
        <v>531</v>
      </c>
      <c r="E667" s="5" t="s">
        <v>267</v>
      </c>
      <c r="F667" s="5" t="s">
        <v>33</v>
      </c>
      <c r="G667" s="5" t="s">
        <v>34</v>
      </c>
      <c r="H667" s="6">
        <v>2</v>
      </c>
      <c r="I667" s="6">
        <v>136.85</v>
      </c>
      <c r="J667" s="5">
        <v>0.05</v>
      </c>
      <c r="K667" s="6">
        <v>46.8</v>
      </c>
      <c r="L667" s="6">
        <v>6.46</v>
      </c>
      <c r="M667" s="6">
        <v>313.27</v>
      </c>
      <c r="N667" s="5" t="s">
        <v>58</v>
      </c>
      <c r="O667" s="5" t="s">
        <v>107</v>
      </c>
      <c r="P667" s="5" t="s">
        <v>173</v>
      </c>
      <c r="Q667" s="5" t="s">
        <v>174</v>
      </c>
      <c r="R667" s="5" t="s">
        <v>38</v>
      </c>
    </row>
    <row r="668" spans="1:18" x14ac:dyDescent="0.3">
      <c r="A668" s="2" t="s">
        <v>1658</v>
      </c>
      <c r="B668" s="1">
        <v>44435</v>
      </c>
      <c r="C668" s="2" t="s">
        <v>1659</v>
      </c>
      <c r="D668" s="2" t="s">
        <v>828</v>
      </c>
      <c r="E668" s="2" t="s">
        <v>294</v>
      </c>
      <c r="F668" s="2" t="s">
        <v>89</v>
      </c>
      <c r="G668" s="2" t="s">
        <v>49</v>
      </c>
      <c r="H668" s="3">
        <v>1</v>
      </c>
      <c r="I668" s="3">
        <v>174.15</v>
      </c>
      <c r="J668" s="2">
        <v>0.1</v>
      </c>
      <c r="K668" s="3">
        <v>28.21</v>
      </c>
      <c r="L668" s="3">
        <v>8.6199999999999992</v>
      </c>
      <c r="M668" s="3">
        <v>193.57</v>
      </c>
      <c r="N668" s="2" t="s">
        <v>35</v>
      </c>
      <c r="O668" s="2" t="s">
        <v>25</v>
      </c>
      <c r="P668" s="2" t="s">
        <v>165</v>
      </c>
      <c r="Q668" s="2" t="s">
        <v>37</v>
      </c>
      <c r="R668" s="2" t="s">
        <v>28</v>
      </c>
    </row>
    <row r="669" spans="1:18" x14ac:dyDescent="0.3">
      <c r="A669" s="5" t="s">
        <v>1660</v>
      </c>
      <c r="B669" s="4">
        <v>44800</v>
      </c>
      <c r="C669" s="5" t="s">
        <v>1661</v>
      </c>
      <c r="D669" s="5" t="s">
        <v>971</v>
      </c>
      <c r="E669" s="5" t="s">
        <v>21</v>
      </c>
      <c r="F669" s="5" t="s">
        <v>22</v>
      </c>
      <c r="G669" s="5" t="s">
        <v>23</v>
      </c>
      <c r="H669" s="6">
        <v>5</v>
      </c>
      <c r="I669" s="6">
        <v>62.49</v>
      </c>
      <c r="J669" s="5">
        <v>0</v>
      </c>
      <c r="K669" s="6">
        <v>25</v>
      </c>
      <c r="L669" s="6">
        <v>8.91</v>
      </c>
      <c r="M669" s="6">
        <v>346.36</v>
      </c>
      <c r="N669" s="5" t="s">
        <v>24</v>
      </c>
      <c r="O669" s="5" t="s">
        <v>25</v>
      </c>
      <c r="P669" s="5" t="s">
        <v>74</v>
      </c>
      <c r="Q669" s="5" t="s">
        <v>75</v>
      </c>
      <c r="R669" s="5" t="s">
        <v>183</v>
      </c>
    </row>
    <row r="670" spans="1:18" x14ac:dyDescent="0.3">
      <c r="A670" s="2" t="s">
        <v>1662</v>
      </c>
      <c r="B670" s="1">
        <v>45456</v>
      </c>
      <c r="C670" s="2" t="s">
        <v>1663</v>
      </c>
      <c r="D670" s="2" t="s">
        <v>149</v>
      </c>
      <c r="E670" s="2" t="s">
        <v>190</v>
      </c>
      <c r="F670" s="2" t="s">
        <v>43</v>
      </c>
      <c r="G670" s="2" t="s">
        <v>66</v>
      </c>
      <c r="H670" s="3">
        <v>3</v>
      </c>
      <c r="I670" s="3">
        <v>478.63</v>
      </c>
      <c r="J670" s="2">
        <v>0.2</v>
      </c>
      <c r="K670" s="3">
        <v>57.44</v>
      </c>
      <c r="L670" s="3">
        <v>9.5299999999999994</v>
      </c>
      <c r="M670" s="3">
        <v>1215.68</v>
      </c>
      <c r="N670" s="2" t="s">
        <v>24</v>
      </c>
      <c r="O670" s="2" t="s">
        <v>107</v>
      </c>
      <c r="P670" s="2" t="s">
        <v>95</v>
      </c>
      <c r="Q670" s="2" t="s">
        <v>37</v>
      </c>
      <c r="R670" s="2" t="s">
        <v>38</v>
      </c>
    </row>
    <row r="671" spans="1:18" x14ac:dyDescent="0.3">
      <c r="A671" s="5" t="s">
        <v>1664</v>
      </c>
      <c r="B671" s="4">
        <v>44852</v>
      </c>
      <c r="C671" s="5" t="s">
        <v>1665</v>
      </c>
      <c r="D671" s="5" t="s">
        <v>711</v>
      </c>
      <c r="E671" s="5" t="s">
        <v>142</v>
      </c>
      <c r="F671" s="5" t="s">
        <v>143</v>
      </c>
      <c r="G671" s="5" t="s">
        <v>100</v>
      </c>
      <c r="H671" s="6">
        <v>4</v>
      </c>
      <c r="I671" s="6">
        <v>404.87</v>
      </c>
      <c r="J671" s="5">
        <v>0</v>
      </c>
      <c r="K671" s="6">
        <v>80.97</v>
      </c>
      <c r="L671" s="6">
        <v>2.58</v>
      </c>
      <c r="M671" s="6">
        <v>1703.03</v>
      </c>
      <c r="N671" s="5" t="s">
        <v>58</v>
      </c>
      <c r="O671" s="5" t="s">
        <v>107</v>
      </c>
      <c r="P671" s="5" t="s">
        <v>150</v>
      </c>
      <c r="Q671" s="5" t="s">
        <v>69</v>
      </c>
      <c r="R671" s="5" t="s">
        <v>76</v>
      </c>
    </row>
    <row r="672" spans="1:18" x14ac:dyDescent="0.3">
      <c r="A672" s="2" t="s">
        <v>1666</v>
      </c>
      <c r="B672" s="1">
        <v>44248</v>
      </c>
      <c r="C672" s="2" t="s">
        <v>1667</v>
      </c>
      <c r="D672" s="2" t="s">
        <v>1032</v>
      </c>
      <c r="E672" s="2" t="s">
        <v>156</v>
      </c>
      <c r="F672" s="2" t="s">
        <v>143</v>
      </c>
      <c r="G672" s="2" t="s">
        <v>198</v>
      </c>
      <c r="H672" s="3">
        <v>3</v>
      </c>
      <c r="I672" s="3">
        <v>5.5</v>
      </c>
      <c r="J672" s="2">
        <v>0.05</v>
      </c>
      <c r="K672" s="3">
        <v>1.25</v>
      </c>
      <c r="L672" s="3">
        <v>0.92</v>
      </c>
      <c r="M672" s="3">
        <v>17.84</v>
      </c>
      <c r="N672" s="2" t="s">
        <v>123</v>
      </c>
      <c r="O672" s="2" t="s">
        <v>25</v>
      </c>
      <c r="P672" s="2" t="s">
        <v>44</v>
      </c>
      <c r="Q672" s="2" t="s">
        <v>37</v>
      </c>
      <c r="R672" s="2" t="s">
        <v>38</v>
      </c>
    </row>
    <row r="673" spans="1:18" x14ac:dyDescent="0.3">
      <c r="A673" s="5" t="s">
        <v>1668</v>
      </c>
      <c r="B673" s="4">
        <v>43945</v>
      </c>
      <c r="C673" s="5" t="s">
        <v>1669</v>
      </c>
      <c r="D673" s="5" t="s">
        <v>916</v>
      </c>
      <c r="E673" s="5" t="s">
        <v>220</v>
      </c>
      <c r="F673" s="5" t="s">
        <v>143</v>
      </c>
      <c r="G673" s="5" t="s">
        <v>100</v>
      </c>
      <c r="H673" s="6">
        <v>3</v>
      </c>
      <c r="I673" s="6">
        <v>22.11</v>
      </c>
      <c r="J673" s="5">
        <v>0.1</v>
      </c>
      <c r="K673" s="6">
        <v>10.75</v>
      </c>
      <c r="L673" s="6">
        <v>2.8</v>
      </c>
      <c r="M673" s="6">
        <v>73.25</v>
      </c>
      <c r="N673" s="5" t="s">
        <v>24</v>
      </c>
      <c r="O673" s="5" t="s">
        <v>25</v>
      </c>
      <c r="P673" s="5" t="s">
        <v>44</v>
      </c>
      <c r="Q673" s="5" t="s">
        <v>37</v>
      </c>
      <c r="R673" s="5" t="s">
        <v>38</v>
      </c>
    </row>
    <row r="674" spans="1:18" x14ac:dyDescent="0.3">
      <c r="A674" s="2" t="s">
        <v>1670</v>
      </c>
      <c r="B674" s="1">
        <v>44447</v>
      </c>
      <c r="C674" s="2" t="s">
        <v>1671</v>
      </c>
      <c r="D674" s="2" t="s">
        <v>1632</v>
      </c>
      <c r="E674" s="2" t="s">
        <v>392</v>
      </c>
      <c r="F674" s="2" t="s">
        <v>143</v>
      </c>
      <c r="G674" s="2" t="s">
        <v>100</v>
      </c>
      <c r="H674" s="3">
        <v>2</v>
      </c>
      <c r="I674" s="3">
        <v>72.88</v>
      </c>
      <c r="J674" s="2">
        <v>0</v>
      </c>
      <c r="K674" s="3">
        <v>7.29</v>
      </c>
      <c r="L674" s="3">
        <v>2.83</v>
      </c>
      <c r="M674" s="3">
        <v>155.88</v>
      </c>
      <c r="N674" s="2" t="s">
        <v>50</v>
      </c>
      <c r="O674" s="2" t="s">
        <v>25</v>
      </c>
      <c r="P674" s="2" t="s">
        <v>101</v>
      </c>
      <c r="Q674" s="2" t="s">
        <v>102</v>
      </c>
      <c r="R674" s="2" t="s">
        <v>61</v>
      </c>
    </row>
    <row r="675" spans="1:18" x14ac:dyDescent="0.3">
      <c r="A675" s="5" t="s">
        <v>1672</v>
      </c>
      <c r="B675" s="4">
        <v>45050</v>
      </c>
      <c r="C675" s="5" t="s">
        <v>1673</v>
      </c>
      <c r="D675" s="5" t="s">
        <v>1632</v>
      </c>
      <c r="E675" s="5" t="s">
        <v>231</v>
      </c>
      <c r="F675" s="5" t="s">
        <v>43</v>
      </c>
      <c r="G675" s="5" t="s">
        <v>90</v>
      </c>
      <c r="H675" s="6">
        <v>1</v>
      </c>
      <c r="I675" s="6">
        <v>555.47</v>
      </c>
      <c r="J675" s="5">
        <v>0</v>
      </c>
      <c r="K675" s="6">
        <v>44.44</v>
      </c>
      <c r="L675" s="6">
        <v>9.32</v>
      </c>
      <c r="M675" s="6">
        <v>609.23</v>
      </c>
      <c r="N675" s="5" t="s">
        <v>58</v>
      </c>
      <c r="O675" s="5" t="s">
        <v>107</v>
      </c>
      <c r="P675" s="5" t="s">
        <v>95</v>
      </c>
      <c r="Q675" s="5" t="s">
        <v>37</v>
      </c>
      <c r="R675" s="5" t="s">
        <v>76</v>
      </c>
    </row>
    <row r="676" spans="1:18" x14ac:dyDescent="0.3">
      <c r="A676" s="2" t="s">
        <v>1674</v>
      </c>
      <c r="B676" s="1">
        <v>44656</v>
      </c>
      <c r="C676" s="2" t="s">
        <v>1675</v>
      </c>
      <c r="D676" s="2" t="s">
        <v>731</v>
      </c>
      <c r="E676" s="2" t="s">
        <v>300</v>
      </c>
      <c r="F676" s="2" t="s">
        <v>22</v>
      </c>
      <c r="G676" s="2" t="s">
        <v>203</v>
      </c>
      <c r="H676" s="3">
        <v>1</v>
      </c>
      <c r="I676" s="3">
        <v>54.04</v>
      </c>
      <c r="J676" s="2">
        <v>0</v>
      </c>
      <c r="K676" s="3">
        <v>9.73</v>
      </c>
      <c r="L676" s="3">
        <v>14.54</v>
      </c>
      <c r="M676" s="3">
        <v>78.31</v>
      </c>
      <c r="N676" s="2" t="s">
        <v>24</v>
      </c>
      <c r="O676" s="2" t="s">
        <v>82</v>
      </c>
      <c r="P676" s="2" t="s">
        <v>95</v>
      </c>
      <c r="Q676" s="2" t="s">
        <v>37</v>
      </c>
      <c r="R676" s="2" t="s">
        <v>38</v>
      </c>
    </row>
    <row r="677" spans="1:18" x14ac:dyDescent="0.3">
      <c r="A677" s="5" t="s">
        <v>1676</v>
      </c>
      <c r="B677" s="4">
        <v>45355</v>
      </c>
      <c r="C677" s="5" t="s">
        <v>1677</v>
      </c>
      <c r="D677" s="5" t="s">
        <v>957</v>
      </c>
      <c r="E677" s="5" t="s">
        <v>287</v>
      </c>
      <c r="F677" s="5" t="s">
        <v>33</v>
      </c>
      <c r="G677" s="5" t="s">
        <v>90</v>
      </c>
      <c r="H677" s="6">
        <v>4</v>
      </c>
      <c r="I677" s="6">
        <v>176.73</v>
      </c>
      <c r="J677" s="5">
        <v>0.05</v>
      </c>
      <c r="K677" s="6">
        <v>33.58</v>
      </c>
      <c r="L677" s="6">
        <v>3.45</v>
      </c>
      <c r="M677" s="6">
        <v>708.6</v>
      </c>
      <c r="N677" s="5" t="s">
        <v>58</v>
      </c>
      <c r="O677" s="5" t="s">
        <v>25</v>
      </c>
      <c r="P677" s="5" t="s">
        <v>112</v>
      </c>
      <c r="Q677" s="5" t="s">
        <v>113</v>
      </c>
      <c r="R677" s="5" t="s">
        <v>38</v>
      </c>
    </row>
    <row r="678" spans="1:18" x14ac:dyDescent="0.3">
      <c r="A678" s="2" t="s">
        <v>1678</v>
      </c>
      <c r="B678" s="1">
        <v>45480</v>
      </c>
      <c r="C678" s="2" t="s">
        <v>1679</v>
      </c>
      <c r="D678" s="2" t="s">
        <v>469</v>
      </c>
      <c r="E678" s="2" t="s">
        <v>271</v>
      </c>
      <c r="F678" s="2" t="s">
        <v>89</v>
      </c>
      <c r="G678" s="2" t="s">
        <v>66</v>
      </c>
      <c r="H678" s="3">
        <v>4</v>
      </c>
      <c r="I678" s="3">
        <v>500.88</v>
      </c>
      <c r="J678" s="2">
        <v>0.15</v>
      </c>
      <c r="K678" s="3">
        <v>85.15</v>
      </c>
      <c r="L678" s="3">
        <v>2.61</v>
      </c>
      <c r="M678" s="3">
        <v>1790.75</v>
      </c>
      <c r="N678" s="2" t="s">
        <v>24</v>
      </c>
      <c r="O678" s="2" t="s">
        <v>82</v>
      </c>
      <c r="P678" s="2" t="s">
        <v>101</v>
      </c>
      <c r="Q678" s="2" t="s">
        <v>102</v>
      </c>
      <c r="R678" s="2" t="s">
        <v>28</v>
      </c>
    </row>
    <row r="679" spans="1:18" x14ac:dyDescent="0.3">
      <c r="A679" s="5" t="s">
        <v>1680</v>
      </c>
      <c r="B679" s="4">
        <v>45347</v>
      </c>
      <c r="C679" s="5" t="s">
        <v>1681</v>
      </c>
      <c r="D679" s="5" t="s">
        <v>397</v>
      </c>
      <c r="E679" s="5" t="s">
        <v>169</v>
      </c>
      <c r="F679" s="5" t="s">
        <v>22</v>
      </c>
      <c r="G679" s="5" t="s">
        <v>49</v>
      </c>
      <c r="H679" s="6">
        <v>4</v>
      </c>
      <c r="I679" s="6">
        <v>179.29</v>
      </c>
      <c r="J679" s="5">
        <v>0.1</v>
      </c>
      <c r="K679" s="6">
        <v>32.270000000000003</v>
      </c>
      <c r="L679" s="6">
        <v>0.96</v>
      </c>
      <c r="M679" s="6">
        <v>678.67</v>
      </c>
      <c r="N679" s="5" t="s">
        <v>67</v>
      </c>
      <c r="O679" s="5" t="s">
        <v>25</v>
      </c>
      <c r="P679" s="5" t="s">
        <v>44</v>
      </c>
      <c r="Q679" s="5" t="s">
        <v>37</v>
      </c>
      <c r="R679" s="5" t="s">
        <v>38</v>
      </c>
    </row>
    <row r="680" spans="1:18" x14ac:dyDescent="0.3">
      <c r="A680" s="2" t="s">
        <v>1682</v>
      </c>
      <c r="B680" s="1">
        <v>44929</v>
      </c>
      <c r="C680" s="2" t="s">
        <v>1683</v>
      </c>
      <c r="D680" s="2" t="s">
        <v>1066</v>
      </c>
      <c r="E680" s="2" t="s">
        <v>164</v>
      </c>
      <c r="F680" s="2" t="s">
        <v>33</v>
      </c>
      <c r="G680" s="2" t="s">
        <v>198</v>
      </c>
      <c r="H680" s="3">
        <v>4</v>
      </c>
      <c r="I680" s="3">
        <v>56.37</v>
      </c>
      <c r="J680" s="2">
        <v>0.1</v>
      </c>
      <c r="K680" s="3">
        <v>10.15</v>
      </c>
      <c r="L680" s="3">
        <v>6.88</v>
      </c>
      <c r="M680" s="3">
        <v>219.96</v>
      </c>
      <c r="N680" s="2" t="s">
        <v>58</v>
      </c>
      <c r="O680" s="2" t="s">
        <v>107</v>
      </c>
      <c r="P680" s="2" t="s">
        <v>51</v>
      </c>
      <c r="Q680" s="2" t="s">
        <v>52</v>
      </c>
      <c r="R680" s="2" t="s">
        <v>38</v>
      </c>
    </row>
    <row r="681" spans="1:18" x14ac:dyDescent="0.3">
      <c r="A681" s="5" t="s">
        <v>1684</v>
      </c>
      <c r="B681" s="4">
        <v>44243</v>
      </c>
      <c r="C681" s="5" t="s">
        <v>1685</v>
      </c>
      <c r="D681" s="5" t="s">
        <v>163</v>
      </c>
      <c r="E681" s="5" t="s">
        <v>597</v>
      </c>
      <c r="F681" s="5" t="s">
        <v>33</v>
      </c>
      <c r="G681" s="5" t="s">
        <v>100</v>
      </c>
      <c r="H681" s="6">
        <v>5</v>
      </c>
      <c r="I681" s="6">
        <v>373.9</v>
      </c>
      <c r="J681" s="5">
        <v>0.15</v>
      </c>
      <c r="K681" s="6">
        <v>79.45</v>
      </c>
      <c r="L681" s="6">
        <v>7.32</v>
      </c>
      <c r="M681" s="6">
        <v>1675.84</v>
      </c>
      <c r="N681" s="5" t="s">
        <v>123</v>
      </c>
      <c r="O681" s="5" t="s">
        <v>25</v>
      </c>
      <c r="P681" s="5" t="s">
        <v>124</v>
      </c>
      <c r="Q681" s="5" t="s">
        <v>125</v>
      </c>
      <c r="R681" s="5" t="s">
        <v>183</v>
      </c>
    </row>
    <row r="682" spans="1:18" x14ac:dyDescent="0.3">
      <c r="A682" s="2" t="s">
        <v>1686</v>
      </c>
      <c r="B682" s="1">
        <v>45230</v>
      </c>
      <c r="C682" s="2" t="s">
        <v>1687</v>
      </c>
      <c r="D682" s="2" t="s">
        <v>436</v>
      </c>
      <c r="E682" s="2" t="s">
        <v>202</v>
      </c>
      <c r="F682" s="2" t="s">
        <v>143</v>
      </c>
      <c r="G682" s="2" t="s">
        <v>57</v>
      </c>
      <c r="H682" s="3">
        <v>4</v>
      </c>
      <c r="I682" s="3">
        <v>339.26</v>
      </c>
      <c r="J682" s="2">
        <v>0.2</v>
      </c>
      <c r="K682" s="3">
        <v>86.85</v>
      </c>
      <c r="L682" s="3">
        <v>11.98</v>
      </c>
      <c r="M682" s="3">
        <v>1184.46</v>
      </c>
      <c r="N682" s="2" t="s">
        <v>24</v>
      </c>
      <c r="O682" s="2" t="s">
        <v>25</v>
      </c>
      <c r="P682" s="2" t="s">
        <v>150</v>
      </c>
      <c r="Q682" s="2" t="s">
        <v>69</v>
      </c>
      <c r="R682" s="2" t="s">
        <v>38</v>
      </c>
    </row>
    <row r="683" spans="1:18" x14ac:dyDescent="0.3">
      <c r="A683" s="5" t="s">
        <v>1688</v>
      </c>
      <c r="B683" s="4">
        <v>45274</v>
      </c>
      <c r="C683" s="5" t="s">
        <v>1689</v>
      </c>
      <c r="D683" s="5" t="s">
        <v>645</v>
      </c>
      <c r="E683" s="5" t="s">
        <v>132</v>
      </c>
      <c r="F683" s="5" t="s">
        <v>89</v>
      </c>
      <c r="G683" s="5" t="s">
        <v>203</v>
      </c>
      <c r="H683" s="6">
        <v>2</v>
      </c>
      <c r="I683" s="6">
        <v>415.43</v>
      </c>
      <c r="J683" s="5">
        <v>0.15</v>
      </c>
      <c r="K683" s="6">
        <v>84.75</v>
      </c>
      <c r="L683" s="6">
        <v>7.29</v>
      </c>
      <c r="M683" s="6">
        <v>798.27</v>
      </c>
      <c r="N683" s="5" t="s">
        <v>67</v>
      </c>
      <c r="O683" s="5" t="s">
        <v>144</v>
      </c>
      <c r="P683" s="5" t="s">
        <v>112</v>
      </c>
      <c r="Q683" s="5" t="s">
        <v>113</v>
      </c>
      <c r="R683" s="5" t="s">
        <v>28</v>
      </c>
    </row>
    <row r="684" spans="1:18" x14ac:dyDescent="0.3">
      <c r="A684" s="2" t="s">
        <v>1690</v>
      </c>
      <c r="B684" s="1">
        <v>44559</v>
      </c>
      <c r="C684" s="2" t="s">
        <v>1691</v>
      </c>
      <c r="D684" s="2" t="s">
        <v>1087</v>
      </c>
      <c r="E684" s="2" t="s">
        <v>32</v>
      </c>
      <c r="F684" s="2" t="s">
        <v>89</v>
      </c>
      <c r="G684" s="2" t="s">
        <v>198</v>
      </c>
      <c r="H684" s="3">
        <v>1</v>
      </c>
      <c r="I684" s="3">
        <v>299.44</v>
      </c>
      <c r="J684" s="2">
        <v>0.2</v>
      </c>
      <c r="K684" s="3">
        <v>0</v>
      </c>
      <c r="L684" s="3">
        <v>12.55</v>
      </c>
      <c r="M684" s="3">
        <v>252.1</v>
      </c>
      <c r="N684" s="2" t="s">
        <v>67</v>
      </c>
      <c r="O684" s="2" t="s">
        <v>25</v>
      </c>
      <c r="P684" s="2" t="s">
        <v>133</v>
      </c>
      <c r="Q684" s="2" t="s">
        <v>134</v>
      </c>
      <c r="R684" s="2" t="s">
        <v>28</v>
      </c>
    </row>
    <row r="685" spans="1:18" x14ac:dyDescent="0.3">
      <c r="A685" s="5" t="s">
        <v>1692</v>
      </c>
      <c r="B685" s="4">
        <v>45131</v>
      </c>
      <c r="C685" s="5" t="s">
        <v>1693</v>
      </c>
      <c r="D685" s="5" t="s">
        <v>1495</v>
      </c>
      <c r="E685" s="5" t="s">
        <v>73</v>
      </c>
      <c r="F685" s="5" t="s">
        <v>143</v>
      </c>
      <c r="G685" s="5" t="s">
        <v>66</v>
      </c>
      <c r="H685" s="6">
        <v>1</v>
      </c>
      <c r="I685" s="6">
        <v>597.04999999999995</v>
      </c>
      <c r="J685" s="5">
        <v>0.05</v>
      </c>
      <c r="K685" s="6">
        <v>45.38</v>
      </c>
      <c r="L685" s="6">
        <v>1.88</v>
      </c>
      <c r="M685" s="6">
        <v>614.46</v>
      </c>
      <c r="N685" s="5" t="s">
        <v>58</v>
      </c>
      <c r="O685" s="5" t="s">
        <v>25</v>
      </c>
      <c r="P685" s="5" t="s">
        <v>165</v>
      </c>
      <c r="Q685" s="5" t="s">
        <v>37</v>
      </c>
      <c r="R685" s="5" t="s">
        <v>38</v>
      </c>
    </row>
    <row r="686" spans="1:18" x14ac:dyDescent="0.3">
      <c r="A686" s="2" t="s">
        <v>1694</v>
      </c>
      <c r="B686" s="1">
        <v>44851</v>
      </c>
      <c r="C686" s="2" t="s">
        <v>1695</v>
      </c>
      <c r="D686" s="2" t="s">
        <v>397</v>
      </c>
      <c r="E686" s="2" t="s">
        <v>243</v>
      </c>
      <c r="F686" s="2" t="s">
        <v>81</v>
      </c>
      <c r="G686" s="2" t="s">
        <v>66</v>
      </c>
      <c r="H686" s="3">
        <v>2</v>
      </c>
      <c r="I686" s="3">
        <v>153.62</v>
      </c>
      <c r="J686" s="2">
        <v>0</v>
      </c>
      <c r="K686" s="3">
        <v>24.58</v>
      </c>
      <c r="L686" s="3">
        <v>10.82</v>
      </c>
      <c r="M686" s="3">
        <v>342.64</v>
      </c>
      <c r="N686" s="2" t="s">
        <v>58</v>
      </c>
      <c r="O686" s="2" t="s">
        <v>107</v>
      </c>
      <c r="P686" s="2" t="s">
        <v>74</v>
      </c>
      <c r="Q686" s="2" t="s">
        <v>75</v>
      </c>
      <c r="R686" s="2" t="s">
        <v>28</v>
      </c>
    </row>
    <row r="687" spans="1:18" x14ac:dyDescent="0.3">
      <c r="A687" s="5" t="s">
        <v>1696</v>
      </c>
      <c r="B687" s="4">
        <v>44591</v>
      </c>
      <c r="C687" s="5" t="s">
        <v>1697</v>
      </c>
      <c r="D687" s="5" t="s">
        <v>785</v>
      </c>
      <c r="E687" s="5" t="s">
        <v>80</v>
      </c>
      <c r="F687" s="5" t="s">
        <v>89</v>
      </c>
      <c r="G687" s="5" t="s">
        <v>100</v>
      </c>
      <c r="H687" s="6">
        <v>1</v>
      </c>
      <c r="I687" s="6">
        <v>250.92</v>
      </c>
      <c r="J687" s="5">
        <v>0.05</v>
      </c>
      <c r="K687" s="6">
        <v>42.91</v>
      </c>
      <c r="L687" s="6">
        <v>0.25</v>
      </c>
      <c r="M687" s="6">
        <v>281.52999999999997</v>
      </c>
      <c r="N687" s="5" t="s">
        <v>50</v>
      </c>
      <c r="O687" s="5" t="s">
        <v>25</v>
      </c>
      <c r="P687" s="5" t="s">
        <v>83</v>
      </c>
      <c r="Q687" s="5" t="s">
        <v>84</v>
      </c>
      <c r="R687" s="5" t="s">
        <v>38</v>
      </c>
    </row>
    <row r="688" spans="1:18" x14ac:dyDescent="0.3">
      <c r="A688" s="2" t="s">
        <v>1698</v>
      </c>
      <c r="B688" s="1">
        <v>44506</v>
      </c>
      <c r="C688" s="2" t="s">
        <v>1699</v>
      </c>
      <c r="D688" s="2" t="s">
        <v>418</v>
      </c>
      <c r="E688" s="2" t="s">
        <v>365</v>
      </c>
      <c r="F688" s="2" t="s">
        <v>143</v>
      </c>
      <c r="G688" s="2" t="s">
        <v>34</v>
      </c>
      <c r="H688" s="3">
        <v>1</v>
      </c>
      <c r="I688" s="3">
        <v>189.19</v>
      </c>
      <c r="J688" s="2">
        <v>0.3</v>
      </c>
      <c r="K688" s="3">
        <v>6.62</v>
      </c>
      <c r="L688" s="3">
        <v>14.37</v>
      </c>
      <c r="M688" s="3">
        <v>153.41999999999999</v>
      </c>
      <c r="N688" s="2" t="s">
        <v>58</v>
      </c>
      <c r="O688" s="2" t="s">
        <v>25</v>
      </c>
      <c r="P688" s="2" t="s">
        <v>165</v>
      </c>
      <c r="Q688" s="2" t="s">
        <v>37</v>
      </c>
      <c r="R688" s="2" t="s">
        <v>38</v>
      </c>
    </row>
    <row r="689" spans="1:18" x14ac:dyDescent="0.3">
      <c r="A689" s="5" t="s">
        <v>1700</v>
      </c>
      <c r="B689" s="4">
        <v>45248</v>
      </c>
      <c r="C689" s="5" t="s">
        <v>1701</v>
      </c>
      <c r="D689" s="5" t="s">
        <v>149</v>
      </c>
      <c r="E689" s="5" t="s">
        <v>169</v>
      </c>
      <c r="F689" s="5" t="s">
        <v>33</v>
      </c>
      <c r="G689" s="5" t="s">
        <v>198</v>
      </c>
      <c r="H689" s="6">
        <v>5</v>
      </c>
      <c r="I689" s="6">
        <v>493.13</v>
      </c>
      <c r="J689" s="5">
        <v>0</v>
      </c>
      <c r="K689" s="6">
        <v>123.28</v>
      </c>
      <c r="L689" s="6">
        <v>4.4400000000000004</v>
      </c>
      <c r="M689" s="6">
        <v>2593.37</v>
      </c>
      <c r="N689" s="5" t="s">
        <v>35</v>
      </c>
      <c r="O689" s="5" t="s">
        <v>107</v>
      </c>
      <c r="P689" s="5" t="s">
        <v>60</v>
      </c>
      <c r="Q689" s="5" t="s">
        <v>37</v>
      </c>
      <c r="R689" s="5" t="s">
        <v>38</v>
      </c>
    </row>
    <row r="690" spans="1:18" x14ac:dyDescent="0.3">
      <c r="A690" s="2" t="s">
        <v>1702</v>
      </c>
      <c r="B690" s="1">
        <v>44287</v>
      </c>
      <c r="C690" s="2" t="s">
        <v>1703</v>
      </c>
      <c r="D690" s="2" t="s">
        <v>1066</v>
      </c>
      <c r="E690" s="2" t="s">
        <v>182</v>
      </c>
      <c r="F690" s="2" t="s">
        <v>43</v>
      </c>
      <c r="G690" s="2" t="s">
        <v>268</v>
      </c>
      <c r="H690" s="3">
        <v>5</v>
      </c>
      <c r="I690" s="3">
        <v>209.19</v>
      </c>
      <c r="J690" s="2">
        <v>0.15</v>
      </c>
      <c r="K690" s="3">
        <v>0</v>
      </c>
      <c r="L690" s="3">
        <v>10.6</v>
      </c>
      <c r="M690" s="3">
        <v>899.66</v>
      </c>
      <c r="N690" s="2" t="s">
        <v>58</v>
      </c>
      <c r="O690" s="2" t="s">
        <v>25</v>
      </c>
      <c r="P690" s="2" t="s">
        <v>101</v>
      </c>
      <c r="Q690" s="2" t="s">
        <v>102</v>
      </c>
      <c r="R690" s="2" t="s">
        <v>28</v>
      </c>
    </row>
    <row r="691" spans="1:18" x14ac:dyDescent="0.3">
      <c r="A691" s="5" t="s">
        <v>1704</v>
      </c>
      <c r="B691" s="4">
        <v>44750</v>
      </c>
      <c r="C691" s="5" t="s">
        <v>1705</v>
      </c>
      <c r="D691" s="5" t="s">
        <v>701</v>
      </c>
      <c r="E691" s="5" t="s">
        <v>256</v>
      </c>
      <c r="F691" s="5" t="s">
        <v>33</v>
      </c>
      <c r="G691" s="5" t="s">
        <v>49</v>
      </c>
      <c r="H691" s="6">
        <v>4</v>
      </c>
      <c r="I691" s="6">
        <v>41.65</v>
      </c>
      <c r="J691" s="5">
        <v>0.2</v>
      </c>
      <c r="K691" s="6">
        <v>6.66</v>
      </c>
      <c r="L691" s="6">
        <v>2.87</v>
      </c>
      <c r="M691" s="6">
        <v>142.81</v>
      </c>
      <c r="N691" s="5" t="s">
        <v>67</v>
      </c>
      <c r="O691" s="5" t="s">
        <v>25</v>
      </c>
      <c r="P691" s="5" t="s">
        <v>101</v>
      </c>
      <c r="Q691" s="5" t="s">
        <v>102</v>
      </c>
      <c r="R691" s="5" t="s">
        <v>38</v>
      </c>
    </row>
    <row r="692" spans="1:18" x14ac:dyDescent="0.3">
      <c r="A692" s="2" t="s">
        <v>1706</v>
      </c>
      <c r="B692" s="1">
        <v>44022</v>
      </c>
      <c r="C692" s="2" t="s">
        <v>1707</v>
      </c>
      <c r="D692" s="2" t="s">
        <v>720</v>
      </c>
      <c r="E692" s="2" t="s">
        <v>324</v>
      </c>
      <c r="F692" s="2" t="s">
        <v>43</v>
      </c>
      <c r="G692" s="2" t="s">
        <v>34</v>
      </c>
      <c r="H692" s="3">
        <v>4</v>
      </c>
      <c r="I692" s="3">
        <v>26.16</v>
      </c>
      <c r="J692" s="2">
        <v>0.15</v>
      </c>
      <c r="K692" s="3">
        <v>4.45</v>
      </c>
      <c r="L692" s="3">
        <v>2.91</v>
      </c>
      <c r="M692" s="3">
        <v>96.3</v>
      </c>
      <c r="N692" s="2" t="s">
        <v>67</v>
      </c>
      <c r="O692" s="2" t="s">
        <v>107</v>
      </c>
      <c r="P692" s="2" t="s">
        <v>36</v>
      </c>
      <c r="Q692" s="2" t="s">
        <v>37</v>
      </c>
      <c r="R692" s="2" t="s">
        <v>38</v>
      </c>
    </row>
    <row r="693" spans="1:18" x14ac:dyDescent="0.3">
      <c r="A693" s="5" t="s">
        <v>1708</v>
      </c>
      <c r="B693" s="4">
        <v>44569</v>
      </c>
      <c r="C693" s="5" t="s">
        <v>1709</v>
      </c>
      <c r="D693" s="5" t="s">
        <v>494</v>
      </c>
      <c r="E693" s="5" t="s">
        <v>138</v>
      </c>
      <c r="F693" s="5" t="s">
        <v>81</v>
      </c>
      <c r="G693" s="5" t="s">
        <v>198</v>
      </c>
      <c r="H693" s="6">
        <v>3</v>
      </c>
      <c r="I693" s="6">
        <v>454.5</v>
      </c>
      <c r="J693" s="5">
        <v>0.1</v>
      </c>
      <c r="K693" s="6">
        <v>147.26</v>
      </c>
      <c r="L693" s="6">
        <v>13.56</v>
      </c>
      <c r="M693" s="6">
        <v>1387.97</v>
      </c>
      <c r="N693" s="5" t="s">
        <v>24</v>
      </c>
      <c r="O693" s="5" t="s">
        <v>25</v>
      </c>
      <c r="P693" s="5" t="s">
        <v>178</v>
      </c>
      <c r="Q693" s="5" t="s">
        <v>69</v>
      </c>
      <c r="R693" s="5" t="s">
        <v>38</v>
      </c>
    </row>
    <row r="694" spans="1:18" x14ac:dyDescent="0.3">
      <c r="A694" s="2" t="s">
        <v>1710</v>
      </c>
      <c r="B694" s="1">
        <v>45543</v>
      </c>
      <c r="C694" s="2" t="s">
        <v>1711</v>
      </c>
      <c r="D694" s="2" t="s">
        <v>566</v>
      </c>
      <c r="E694" s="2" t="s">
        <v>80</v>
      </c>
      <c r="F694" s="2" t="s">
        <v>43</v>
      </c>
      <c r="G694" s="2" t="s">
        <v>198</v>
      </c>
      <c r="H694" s="3">
        <v>5</v>
      </c>
      <c r="I694" s="3">
        <v>482.5</v>
      </c>
      <c r="J694" s="2">
        <v>0</v>
      </c>
      <c r="K694" s="3">
        <v>0</v>
      </c>
      <c r="L694" s="3">
        <v>5.78</v>
      </c>
      <c r="M694" s="3">
        <v>2418.2800000000002</v>
      </c>
      <c r="N694" s="2" t="s">
        <v>58</v>
      </c>
      <c r="O694" s="2" t="s">
        <v>25</v>
      </c>
      <c r="P694" s="2" t="s">
        <v>60</v>
      </c>
      <c r="Q694" s="2" t="s">
        <v>37</v>
      </c>
      <c r="R694" s="2" t="s">
        <v>38</v>
      </c>
    </row>
    <row r="695" spans="1:18" x14ac:dyDescent="0.3">
      <c r="A695" s="5" t="s">
        <v>1712</v>
      </c>
      <c r="B695" s="4">
        <v>44953</v>
      </c>
      <c r="C695" s="5" t="s">
        <v>1453</v>
      </c>
      <c r="D695" s="5" t="s">
        <v>469</v>
      </c>
      <c r="E695" s="5" t="s">
        <v>132</v>
      </c>
      <c r="F695" s="5" t="s">
        <v>81</v>
      </c>
      <c r="G695" s="5" t="s">
        <v>203</v>
      </c>
      <c r="H695" s="6">
        <v>2</v>
      </c>
      <c r="I695" s="6">
        <v>227.77</v>
      </c>
      <c r="J695" s="5">
        <v>0</v>
      </c>
      <c r="K695" s="6">
        <v>22.78</v>
      </c>
      <c r="L695" s="6">
        <v>11.15</v>
      </c>
      <c r="M695" s="6">
        <v>489.47</v>
      </c>
      <c r="N695" s="5" t="s">
        <v>24</v>
      </c>
      <c r="O695" s="5" t="s">
        <v>82</v>
      </c>
      <c r="P695" s="5" t="s">
        <v>74</v>
      </c>
      <c r="Q695" s="5" t="s">
        <v>75</v>
      </c>
      <c r="R695" s="5" t="s">
        <v>38</v>
      </c>
    </row>
    <row r="696" spans="1:18" x14ac:dyDescent="0.3">
      <c r="A696" s="2" t="s">
        <v>1713</v>
      </c>
      <c r="B696" s="1">
        <v>45402</v>
      </c>
      <c r="C696" s="2" t="s">
        <v>1714</v>
      </c>
      <c r="D696" s="2" t="s">
        <v>1087</v>
      </c>
      <c r="E696" s="2" t="s">
        <v>142</v>
      </c>
      <c r="F696" s="2" t="s">
        <v>22</v>
      </c>
      <c r="G696" s="2" t="s">
        <v>100</v>
      </c>
      <c r="H696" s="3">
        <v>2</v>
      </c>
      <c r="I696" s="3">
        <v>238.74</v>
      </c>
      <c r="J696" s="2">
        <v>0.3</v>
      </c>
      <c r="K696" s="3">
        <v>16.71</v>
      </c>
      <c r="L696" s="3">
        <v>2.2400000000000002</v>
      </c>
      <c r="M696" s="3">
        <v>353.19</v>
      </c>
      <c r="N696" s="2" t="s">
        <v>123</v>
      </c>
      <c r="O696" s="2" t="s">
        <v>25</v>
      </c>
      <c r="P696" s="2" t="s">
        <v>101</v>
      </c>
      <c r="Q696" s="2" t="s">
        <v>102</v>
      </c>
      <c r="R696" s="2" t="s">
        <v>38</v>
      </c>
    </row>
    <row r="697" spans="1:18" x14ac:dyDescent="0.3">
      <c r="A697" s="5" t="s">
        <v>1715</v>
      </c>
      <c r="B697" s="4">
        <v>44808</v>
      </c>
      <c r="C697" s="5" t="s">
        <v>1716</v>
      </c>
      <c r="D697" s="5" t="s">
        <v>1593</v>
      </c>
      <c r="E697" s="5" t="s">
        <v>94</v>
      </c>
      <c r="F697" s="5" t="s">
        <v>43</v>
      </c>
      <c r="G697" s="5" t="s">
        <v>203</v>
      </c>
      <c r="H697" s="6">
        <v>3</v>
      </c>
      <c r="I697" s="6">
        <v>107.51</v>
      </c>
      <c r="J697" s="5">
        <v>0.05</v>
      </c>
      <c r="K697" s="6">
        <v>0</v>
      </c>
      <c r="L697" s="6">
        <v>13.53</v>
      </c>
      <c r="M697" s="6">
        <v>319.93</v>
      </c>
      <c r="N697" s="5" t="s">
        <v>58</v>
      </c>
      <c r="O697" s="5" t="s">
        <v>107</v>
      </c>
      <c r="P697" s="5" t="s">
        <v>165</v>
      </c>
      <c r="Q697" s="5" t="s">
        <v>37</v>
      </c>
      <c r="R697" s="5" t="s">
        <v>38</v>
      </c>
    </row>
    <row r="698" spans="1:18" x14ac:dyDescent="0.3">
      <c r="A698" s="2" t="s">
        <v>1717</v>
      </c>
      <c r="B698" s="1">
        <v>44839</v>
      </c>
      <c r="C698" s="2" t="s">
        <v>1718</v>
      </c>
      <c r="D698" s="2" t="s">
        <v>604</v>
      </c>
      <c r="E698" s="2" t="s">
        <v>190</v>
      </c>
      <c r="F698" s="2" t="s">
        <v>89</v>
      </c>
      <c r="G698" s="2" t="s">
        <v>198</v>
      </c>
      <c r="H698" s="3">
        <v>5</v>
      </c>
      <c r="I698" s="3">
        <v>226.07</v>
      </c>
      <c r="J698" s="2">
        <v>0</v>
      </c>
      <c r="K698" s="3">
        <v>90.43</v>
      </c>
      <c r="L698" s="3">
        <v>5.75</v>
      </c>
      <c r="M698" s="3">
        <v>1226.53</v>
      </c>
      <c r="N698" s="2" t="s">
        <v>35</v>
      </c>
      <c r="O698" s="2" t="s">
        <v>25</v>
      </c>
      <c r="P698" s="2" t="s">
        <v>74</v>
      </c>
      <c r="Q698" s="2" t="s">
        <v>75</v>
      </c>
      <c r="R698" s="2" t="s">
        <v>38</v>
      </c>
    </row>
    <row r="699" spans="1:18" x14ac:dyDescent="0.3">
      <c r="A699" s="5" t="s">
        <v>1719</v>
      </c>
      <c r="B699" s="4">
        <v>43926</v>
      </c>
      <c r="C699" s="5" t="s">
        <v>1720</v>
      </c>
      <c r="D699" s="5" t="s">
        <v>852</v>
      </c>
      <c r="E699" s="5" t="s">
        <v>340</v>
      </c>
      <c r="F699" s="5" t="s">
        <v>89</v>
      </c>
      <c r="G699" s="5" t="s">
        <v>203</v>
      </c>
      <c r="H699" s="6">
        <v>5</v>
      </c>
      <c r="I699" s="6">
        <v>168.27</v>
      </c>
      <c r="J699" s="5">
        <v>0.1</v>
      </c>
      <c r="K699" s="6">
        <v>0</v>
      </c>
      <c r="L699" s="6">
        <v>8.52</v>
      </c>
      <c r="M699" s="6">
        <v>765.74</v>
      </c>
      <c r="N699" s="5" t="s">
        <v>58</v>
      </c>
      <c r="O699" s="5" t="s">
        <v>107</v>
      </c>
      <c r="P699" s="5" t="s">
        <v>44</v>
      </c>
      <c r="Q699" s="5" t="s">
        <v>37</v>
      </c>
      <c r="R699" s="5" t="s">
        <v>38</v>
      </c>
    </row>
    <row r="700" spans="1:18" x14ac:dyDescent="0.3">
      <c r="A700" s="2" t="s">
        <v>1721</v>
      </c>
      <c r="B700" s="1">
        <v>45518</v>
      </c>
      <c r="C700" s="2" t="s">
        <v>1722</v>
      </c>
      <c r="D700" s="2" t="s">
        <v>1593</v>
      </c>
      <c r="E700" s="2" t="s">
        <v>597</v>
      </c>
      <c r="F700" s="2" t="s">
        <v>22</v>
      </c>
      <c r="G700" s="2" t="s">
        <v>203</v>
      </c>
      <c r="H700" s="3">
        <v>2</v>
      </c>
      <c r="I700" s="3">
        <v>491.81</v>
      </c>
      <c r="J700" s="2">
        <v>0</v>
      </c>
      <c r="K700" s="3">
        <v>118.03</v>
      </c>
      <c r="L700" s="3">
        <v>12.07</v>
      </c>
      <c r="M700" s="3">
        <v>1113.72</v>
      </c>
      <c r="N700" s="2" t="s">
        <v>58</v>
      </c>
      <c r="O700" s="2" t="s">
        <v>25</v>
      </c>
      <c r="P700" s="2" t="s">
        <v>101</v>
      </c>
      <c r="Q700" s="2" t="s">
        <v>102</v>
      </c>
      <c r="R700" s="2" t="s">
        <v>61</v>
      </c>
    </row>
    <row r="701" spans="1:18" x14ac:dyDescent="0.3">
      <c r="A701" s="5" t="s">
        <v>1723</v>
      </c>
      <c r="B701" s="4">
        <v>44493</v>
      </c>
      <c r="C701" s="5" t="s">
        <v>1724</v>
      </c>
      <c r="D701" s="5" t="s">
        <v>904</v>
      </c>
      <c r="E701" s="5" t="s">
        <v>42</v>
      </c>
      <c r="F701" s="5" t="s">
        <v>89</v>
      </c>
      <c r="G701" s="5" t="s">
        <v>23</v>
      </c>
      <c r="H701" s="6">
        <v>5</v>
      </c>
      <c r="I701" s="6">
        <v>231.15</v>
      </c>
      <c r="J701" s="5">
        <v>0</v>
      </c>
      <c r="K701" s="6">
        <v>92.46</v>
      </c>
      <c r="L701" s="6">
        <v>4.8499999999999996</v>
      </c>
      <c r="M701" s="6">
        <v>1253.06</v>
      </c>
      <c r="N701" s="5" t="s">
        <v>24</v>
      </c>
      <c r="O701" s="5" t="s">
        <v>25</v>
      </c>
      <c r="P701" s="5" t="s">
        <v>68</v>
      </c>
      <c r="Q701" s="5" t="s">
        <v>69</v>
      </c>
      <c r="R701" s="5" t="s">
        <v>38</v>
      </c>
    </row>
    <row r="702" spans="1:18" x14ac:dyDescent="0.3">
      <c r="A702" s="2" t="s">
        <v>1725</v>
      </c>
      <c r="B702" s="1">
        <v>45044</v>
      </c>
      <c r="C702" s="2" t="s">
        <v>1726</v>
      </c>
      <c r="D702" s="2" t="s">
        <v>1367</v>
      </c>
      <c r="E702" s="2" t="s">
        <v>287</v>
      </c>
      <c r="F702" s="2" t="s">
        <v>81</v>
      </c>
      <c r="G702" s="2" t="s">
        <v>23</v>
      </c>
      <c r="H702" s="3">
        <v>4</v>
      </c>
      <c r="I702" s="3">
        <v>506.79</v>
      </c>
      <c r="J702" s="2">
        <v>0.05</v>
      </c>
      <c r="K702" s="3">
        <v>231.1</v>
      </c>
      <c r="L702" s="3">
        <v>5.61</v>
      </c>
      <c r="M702" s="3">
        <v>2162.5100000000002</v>
      </c>
      <c r="N702" s="2" t="s">
        <v>24</v>
      </c>
      <c r="O702" s="2" t="s">
        <v>107</v>
      </c>
      <c r="P702" s="2" t="s">
        <v>173</v>
      </c>
      <c r="Q702" s="2" t="s">
        <v>174</v>
      </c>
      <c r="R702" s="2" t="s">
        <v>38</v>
      </c>
    </row>
    <row r="703" spans="1:18" x14ac:dyDescent="0.3">
      <c r="A703" s="5" t="s">
        <v>1727</v>
      </c>
      <c r="B703" s="4">
        <v>45590</v>
      </c>
      <c r="C703" s="5" t="s">
        <v>1728</v>
      </c>
      <c r="D703" s="5" t="s">
        <v>807</v>
      </c>
      <c r="E703" s="5" t="s">
        <v>392</v>
      </c>
      <c r="F703" s="5" t="s">
        <v>81</v>
      </c>
      <c r="G703" s="5" t="s">
        <v>66</v>
      </c>
      <c r="H703" s="6">
        <v>5</v>
      </c>
      <c r="I703" s="6">
        <v>104.66</v>
      </c>
      <c r="J703" s="5">
        <v>0</v>
      </c>
      <c r="K703" s="6">
        <v>62.8</v>
      </c>
      <c r="L703" s="6">
        <v>4.0999999999999996</v>
      </c>
      <c r="M703" s="6">
        <v>590.20000000000005</v>
      </c>
      <c r="N703" s="5" t="s">
        <v>123</v>
      </c>
      <c r="O703" s="5" t="s">
        <v>107</v>
      </c>
      <c r="P703" s="5" t="s">
        <v>74</v>
      </c>
      <c r="Q703" s="5" t="s">
        <v>75</v>
      </c>
      <c r="R703" s="5" t="s">
        <v>38</v>
      </c>
    </row>
    <row r="704" spans="1:18" x14ac:dyDescent="0.3">
      <c r="A704" s="2" t="s">
        <v>1729</v>
      </c>
      <c r="B704" s="1">
        <v>43867</v>
      </c>
      <c r="C704" s="2" t="s">
        <v>1730</v>
      </c>
      <c r="D704" s="2" t="s">
        <v>168</v>
      </c>
      <c r="E704" s="2" t="s">
        <v>99</v>
      </c>
      <c r="F704" s="2" t="s">
        <v>89</v>
      </c>
      <c r="G704" s="2" t="s">
        <v>57</v>
      </c>
      <c r="H704" s="3">
        <v>5</v>
      </c>
      <c r="I704" s="3">
        <v>264.33999999999997</v>
      </c>
      <c r="J704" s="2">
        <v>0</v>
      </c>
      <c r="K704" s="3">
        <v>0</v>
      </c>
      <c r="L704" s="3">
        <v>10.32</v>
      </c>
      <c r="M704" s="3">
        <v>1332.02</v>
      </c>
      <c r="N704" s="2" t="s">
        <v>123</v>
      </c>
      <c r="O704" s="2" t="s">
        <v>25</v>
      </c>
      <c r="P704" s="2" t="s">
        <v>178</v>
      </c>
      <c r="Q704" s="2" t="s">
        <v>69</v>
      </c>
      <c r="R704" s="2" t="s">
        <v>183</v>
      </c>
    </row>
    <row r="705" spans="1:18" x14ac:dyDescent="0.3">
      <c r="A705" s="5" t="s">
        <v>1731</v>
      </c>
      <c r="B705" s="4">
        <v>45634</v>
      </c>
      <c r="C705" s="5" t="s">
        <v>1732</v>
      </c>
      <c r="D705" s="5" t="s">
        <v>480</v>
      </c>
      <c r="E705" s="5" t="s">
        <v>287</v>
      </c>
      <c r="F705" s="5" t="s">
        <v>43</v>
      </c>
      <c r="G705" s="5" t="s">
        <v>66</v>
      </c>
      <c r="H705" s="6">
        <v>2</v>
      </c>
      <c r="I705" s="6">
        <v>71.290000000000006</v>
      </c>
      <c r="J705" s="5">
        <v>0.05</v>
      </c>
      <c r="K705" s="6">
        <v>10.84</v>
      </c>
      <c r="L705" s="6">
        <v>13.13</v>
      </c>
      <c r="M705" s="6">
        <v>159.41999999999999</v>
      </c>
      <c r="N705" s="5" t="s">
        <v>35</v>
      </c>
      <c r="O705" s="5" t="s">
        <v>25</v>
      </c>
      <c r="P705" s="5" t="s">
        <v>36</v>
      </c>
      <c r="Q705" s="5" t="s">
        <v>37</v>
      </c>
      <c r="R705" s="5" t="s">
        <v>38</v>
      </c>
    </row>
    <row r="706" spans="1:18" x14ac:dyDescent="0.3">
      <c r="A706" s="2" t="s">
        <v>1733</v>
      </c>
      <c r="B706" s="1">
        <v>45223</v>
      </c>
      <c r="C706" s="2" t="s">
        <v>1734</v>
      </c>
      <c r="D706" s="2" t="s">
        <v>440</v>
      </c>
      <c r="E706" s="2" t="s">
        <v>122</v>
      </c>
      <c r="F706" s="2" t="s">
        <v>81</v>
      </c>
      <c r="G706" s="2" t="s">
        <v>198</v>
      </c>
      <c r="H706" s="3">
        <v>5</v>
      </c>
      <c r="I706" s="3">
        <v>597.16</v>
      </c>
      <c r="J706" s="2">
        <v>0.2</v>
      </c>
      <c r="K706" s="3">
        <v>0</v>
      </c>
      <c r="L706" s="3">
        <v>13.59</v>
      </c>
      <c r="M706" s="3">
        <v>2402.23</v>
      </c>
      <c r="N706" s="2" t="s">
        <v>58</v>
      </c>
      <c r="O706" s="2" t="s">
        <v>25</v>
      </c>
      <c r="P706" s="2" t="s">
        <v>68</v>
      </c>
      <c r="Q706" s="2" t="s">
        <v>69</v>
      </c>
      <c r="R706" s="2" t="s">
        <v>38</v>
      </c>
    </row>
    <row r="707" spans="1:18" x14ac:dyDescent="0.3">
      <c r="A707" s="5" t="s">
        <v>1735</v>
      </c>
      <c r="B707" s="4">
        <v>45549</v>
      </c>
      <c r="C707" s="5" t="s">
        <v>1736</v>
      </c>
      <c r="D707" s="5" t="s">
        <v>623</v>
      </c>
      <c r="E707" s="5" t="s">
        <v>202</v>
      </c>
      <c r="F707" s="5" t="s">
        <v>43</v>
      </c>
      <c r="G707" s="5" t="s">
        <v>100</v>
      </c>
      <c r="H707" s="6">
        <v>1</v>
      </c>
      <c r="I707" s="6">
        <v>362.88</v>
      </c>
      <c r="J707" s="5">
        <v>0.05</v>
      </c>
      <c r="K707" s="6">
        <v>41.37</v>
      </c>
      <c r="L707" s="6">
        <v>7.83</v>
      </c>
      <c r="M707" s="6">
        <v>393.94</v>
      </c>
      <c r="N707" s="5" t="s">
        <v>58</v>
      </c>
      <c r="O707" s="5" t="s">
        <v>25</v>
      </c>
      <c r="P707" s="5" t="s">
        <v>165</v>
      </c>
      <c r="Q707" s="5" t="s">
        <v>37</v>
      </c>
      <c r="R707" s="5" t="s">
        <v>38</v>
      </c>
    </row>
    <row r="708" spans="1:18" x14ac:dyDescent="0.3">
      <c r="A708" s="2" t="s">
        <v>1737</v>
      </c>
      <c r="B708" s="1">
        <v>45379</v>
      </c>
      <c r="C708" s="2" t="s">
        <v>1738</v>
      </c>
      <c r="D708" s="2" t="s">
        <v>582</v>
      </c>
      <c r="E708" s="2" t="s">
        <v>73</v>
      </c>
      <c r="F708" s="2" t="s">
        <v>22</v>
      </c>
      <c r="G708" s="2" t="s">
        <v>203</v>
      </c>
      <c r="H708" s="3">
        <v>5</v>
      </c>
      <c r="I708" s="3">
        <v>220.11</v>
      </c>
      <c r="J708" s="2">
        <v>0.05</v>
      </c>
      <c r="K708" s="3">
        <v>83.64</v>
      </c>
      <c r="L708" s="3">
        <v>6.93</v>
      </c>
      <c r="M708" s="3">
        <v>1136.0899999999999</v>
      </c>
      <c r="N708" s="2" t="s">
        <v>35</v>
      </c>
      <c r="O708" s="2" t="s">
        <v>25</v>
      </c>
      <c r="P708" s="2" t="s">
        <v>44</v>
      </c>
      <c r="Q708" s="2" t="s">
        <v>37</v>
      </c>
      <c r="R708" s="2" t="s">
        <v>38</v>
      </c>
    </row>
    <row r="709" spans="1:18" x14ac:dyDescent="0.3">
      <c r="A709" s="5" t="s">
        <v>1739</v>
      </c>
      <c r="B709" s="4">
        <v>44109</v>
      </c>
      <c r="C709" s="5" t="s">
        <v>1740</v>
      </c>
      <c r="D709" s="5" t="s">
        <v>734</v>
      </c>
      <c r="E709" s="5" t="s">
        <v>80</v>
      </c>
      <c r="F709" s="5" t="s">
        <v>43</v>
      </c>
      <c r="G709" s="5" t="s">
        <v>90</v>
      </c>
      <c r="H709" s="6">
        <v>2</v>
      </c>
      <c r="I709" s="6">
        <v>298.51</v>
      </c>
      <c r="J709" s="5">
        <v>0.3</v>
      </c>
      <c r="K709" s="6">
        <v>20.9</v>
      </c>
      <c r="L709" s="6">
        <v>6.99</v>
      </c>
      <c r="M709" s="6">
        <v>445.8</v>
      </c>
      <c r="N709" s="5" t="s">
        <v>58</v>
      </c>
      <c r="O709" s="5" t="s">
        <v>25</v>
      </c>
      <c r="P709" s="5" t="s">
        <v>165</v>
      </c>
      <c r="Q709" s="5" t="s">
        <v>37</v>
      </c>
      <c r="R709" s="5" t="s">
        <v>38</v>
      </c>
    </row>
    <row r="710" spans="1:18" x14ac:dyDescent="0.3">
      <c r="A710" s="2" t="s">
        <v>1741</v>
      </c>
      <c r="B710" s="1">
        <v>44047</v>
      </c>
      <c r="C710" s="2" t="s">
        <v>1742</v>
      </c>
      <c r="D710" s="2" t="s">
        <v>528</v>
      </c>
      <c r="E710" s="2" t="s">
        <v>283</v>
      </c>
      <c r="F710" s="2" t="s">
        <v>81</v>
      </c>
      <c r="G710" s="2" t="s">
        <v>203</v>
      </c>
      <c r="H710" s="3">
        <v>1</v>
      </c>
      <c r="I710" s="3">
        <v>19.55</v>
      </c>
      <c r="J710" s="2">
        <v>0.05</v>
      </c>
      <c r="K710" s="3">
        <v>2.23</v>
      </c>
      <c r="L710" s="3">
        <v>3.7</v>
      </c>
      <c r="M710" s="3">
        <v>24.5</v>
      </c>
      <c r="N710" s="2" t="s">
        <v>123</v>
      </c>
      <c r="O710" s="2" t="s">
        <v>25</v>
      </c>
      <c r="P710" s="2" t="s">
        <v>178</v>
      </c>
      <c r="Q710" s="2" t="s">
        <v>69</v>
      </c>
      <c r="R710" s="2" t="s">
        <v>28</v>
      </c>
    </row>
    <row r="711" spans="1:18" x14ac:dyDescent="0.3">
      <c r="A711" s="5" t="s">
        <v>1743</v>
      </c>
      <c r="B711" s="4">
        <v>44697</v>
      </c>
      <c r="C711" s="5" t="s">
        <v>63</v>
      </c>
      <c r="D711" s="5" t="s">
        <v>483</v>
      </c>
      <c r="E711" s="5" t="s">
        <v>94</v>
      </c>
      <c r="F711" s="5" t="s">
        <v>33</v>
      </c>
      <c r="G711" s="5" t="s">
        <v>198</v>
      </c>
      <c r="H711" s="6">
        <v>4</v>
      </c>
      <c r="I711" s="6">
        <v>62.63</v>
      </c>
      <c r="J711" s="5">
        <v>0.05</v>
      </c>
      <c r="K711" s="6">
        <v>19.04</v>
      </c>
      <c r="L711" s="6">
        <v>11.02</v>
      </c>
      <c r="M711" s="6">
        <v>268.05</v>
      </c>
      <c r="N711" s="5" t="s">
        <v>67</v>
      </c>
      <c r="O711" s="5" t="s">
        <v>25</v>
      </c>
      <c r="P711" s="5" t="s">
        <v>117</v>
      </c>
      <c r="Q711" s="5" t="s">
        <v>118</v>
      </c>
      <c r="R711" s="5" t="s">
        <v>183</v>
      </c>
    </row>
    <row r="712" spans="1:18" x14ac:dyDescent="0.3">
      <c r="A712" s="2" t="s">
        <v>1744</v>
      </c>
      <c r="B712" s="1">
        <v>44703</v>
      </c>
      <c r="C712" s="2" t="s">
        <v>1745</v>
      </c>
      <c r="D712" s="2" t="s">
        <v>704</v>
      </c>
      <c r="E712" s="2" t="s">
        <v>294</v>
      </c>
      <c r="F712" s="2" t="s">
        <v>43</v>
      </c>
      <c r="G712" s="2" t="s">
        <v>268</v>
      </c>
      <c r="H712" s="3">
        <v>1</v>
      </c>
      <c r="I712" s="3">
        <v>470.49</v>
      </c>
      <c r="J712" s="2">
        <v>0.15</v>
      </c>
      <c r="K712" s="3">
        <v>20</v>
      </c>
      <c r="L712" s="3">
        <v>4.9000000000000004</v>
      </c>
      <c r="M712" s="3">
        <v>424.82</v>
      </c>
      <c r="N712" s="2" t="s">
        <v>123</v>
      </c>
      <c r="O712" s="2" t="s">
        <v>25</v>
      </c>
      <c r="P712" s="2" t="s">
        <v>117</v>
      </c>
      <c r="Q712" s="2" t="s">
        <v>118</v>
      </c>
      <c r="R712" s="2" t="s">
        <v>38</v>
      </c>
    </row>
    <row r="713" spans="1:18" x14ac:dyDescent="0.3">
      <c r="A713" s="5" t="s">
        <v>1746</v>
      </c>
      <c r="B713" s="4">
        <v>45652</v>
      </c>
      <c r="C713" s="5" t="s">
        <v>1747</v>
      </c>
      <c r="D713" s="5" t="s">
        <v>282</v>
      </c>
      <c r="E713" s="5" t="s">
        <v>190</v>
      </c>
      <c r="F713" s="5" t="s">
        <v>43</v>
      </c>
      <c r="G713" s="5" t="s">
        <v>34</v>
      </c>
      <c r="H713" s="6">
        <v>5</v>
      </c>
      <c r="I713" s="6">
        <v>245.4</v>
      </c>
      <c r="J713" s="5">
        <v>0.05</v>
      </c>
      <c r="K713" s="6">
        <v>58.28</v>
      </c>
      <c r="L713" s="6">
        <v>11.42</v>
      </c>
      <c r="M713" s="6">
        <v>1235.3499999999999</v>
      </c>
      <c r="N713" s="5" t="s">
        <v>35</v>
      </c>
      <c r="O713" s="5" t="s">
        <v>82</v>
      </c>
      <c r="P713" s="5" t="s">
        <v>257</v>
      </c>
      <c r="Q713" s="5" t="s">
        <v>69</v>
      </c>
      <c r="R713" s="5" t="s">
        <v>38</v>
      </c>
    </row>
    <row r="714" spans="1:18" x14ac:dyDescent="0.3">
      <c r="A714" s="2" t="s">
        <v>1748</v>
      </c>
      <c r="B714" s="1">
        <v>45127</v>
      </c>
      <c r="C714" s="2" t="s">
        <v>1749</v>
      </c>
      <c r="D714" s="2" t="s">
        <v>460</v>
      </c>
      <c r="E714" s="2" t="s">
        <v>287</v>
      </c>
      <c r="F714" s="2" t="s">
        <v>143</v>
      </c>
      <c r="G714" s="2" t="s">
        <v>198</v>
      </c>
      <c r="H714" s="3">
        <v>5</v>
      </c>
      <c r="I714" s="3">
        <v>148.75</v>
      </c>
      <c r="J714" s="2">
        <v>0</v>
      </c>
      <c r="K714" s="3">
        <v>59.5</v>
      </c>
      <c r="L714" s="3">
        <v>1.38</v>
      </c>
      <c r="M714" s="3">
        <v>804.63</v>
      </c>
      <c r="N714" s="2" t="s">
        <v>58</v>
      </c>
      <c r="O714" s="2" t="s">
        <v>25</v>
      </c>
      <c r="P714" s="2" t="s">
        <v>36</v>
      </c>
      <c r="Q714" s="2" t="s">
        <v>37</v>
      </c>
      <c r="R714" s="2" t="s">
        <v>76</v>
      </c>
    </row>
    <row r="715" spans="1:18" x14ac:dyDescent="0.3">
      <c r="A715" s="5" t="s">
        <v>1750</v>
      </c>
      <c r="B715" s="4">
        <v>43892</v>
      </c>
      <c r="C715" s="5" t="s">
        <v>1751</v>
      </c>
      <c r="D715" s="5" t="s">
        <v>440</v>
      </c>
      <c r="E715" s="5" t="s">
        <v>231</v>
      </c>
      <c r="F715" s="5" t="s">
        <v>22</v>
      </c>
      <c r="G715" s="5" t="s">
        <v>49</v>
      </c>
      <c r="H715" s="6">
        <v>3</v>
      </c>
      <c r="I715" s="6">
        <v>35.159999999999997</v>
      </c>
      <c r="J715" s="5">
        <v>0.05</v>
      </c>
      <c r="K715" s="6">
        <v>5.01</v>
      </c>
      <c r="L715" s="6">
        <v>5.41</v>
      </c>
      <c r="M715" s="6">
        <v>110.63</v>
      </c>
      <c r="N715" s="5" t="s">
        <v>35</v>
      </c>
      <c r="O715" s="5" t="s">
        <v>25</v>
      </c>
      <c r="P715" s="5" t="s">
        <v>74</v>
      </c>
      <c r="Q715" s="5" t="s">
        <v>75</v>
      </c>
      <c r="R715" s="5" t="s">
        <v>38</v>
      </c>
    </row>
    <row r="716" spans="1:18" x14ac:dyDescent="0.3">
      <c r="A716" s="2" t="s">
        <v>1752</v>
      </c>
      <c r="B716" s="1">
        <v>44426</v>
      </c>
      <c r="C716" s="2" t="s">
        <v>1753</v>
      </c>
      <c r="D716" s="2" t="s">
        <v>1265</v>
      </c>
      <c r="E716" s="2" t="s">
        <v>202</v>
      </c>
      <c r="F716" s="2" t="s">
        <v>43</v>
      </c>
      <c r="G716" s="2" t="s">
        <v>66</v>
      </c>
      <c r="H716" s="3">
        <v>4</v>
      </c>
      <c r="I716" s="3">
        <v>467.71</v>
      </c>
      <c r="J716" s="2">
        <v>0.15</v>
      </c>
      <c r="K716" s="3">
        <v>190.83</v>
      </c>
      <c r="L716" s="3">
        <v>10.5</v>
      </c>
      <c r="M716" s="3">
        <v>1791.54</v>
      </c>
      <c r="N716" s="2" t="s">
        <v>24</v>
      </c>
      <c r="O716" s="2" t="s">
        <v>25</v>
      </c>
      <c r="P716" s="2" t="s">
        <v>95</v>
      </c>
      <c r="Q716" s="2" t="s">
        <v>37</v>
      </c>
      <c r="R716" s="2" t="s">
        <v>38</v>
      </c>
    </row>
    <row r="717" spans="1:18" x14ac:dyDescent="0.3">
      <c r="A717" s="5" t="s">
        <v>1754</v>
      </c>
      <c r="B717" s="4">
        <v>44559</v>
      </c>
      <c r="C717" s="5" t="s">
        <v>1755</v>
      </c>
      <c r="D717" s="5" t="s">
        <v>618</v>
      </c>
      <c r="E717" s="5" t="s">
        <v>106</v>
      </c>
      <c r="F717" s="5" t="s">
        <v>22</v>
      </c>
      <c r="G717" s="5" t="s">
        <v>100</v>
      </c>
      <c r="H717" s="6">
        <v>2</v>
      </c>
      <c r="I717" s="6">
        <v>221.87</v>
      </c>
      <c r="J717" s="5">
        <v>0</v>
      </c>
      <c r="K717" s="6">
        <v>22.19</v>
      </c>
      <c r="L717" s="6">
        <v>1.1100000000000001</v>
      </c>
      <c r="M717" s="6">
        <v>467.04</v>
      </c>
      <c r="N717" s="5" t="s">
        <v>58</v>
      </c>
      <c r="O717" s="5" t="s">
        <v>25</v>
      </c>
      <c r="P717" s="5" t="s">
        <v>124</v>
      </c>
      <c r="Q717" s="5" t="s">
        <v>125</v>
      </c>
      <c r="R717" s="5" t="s">
        <v>38</v>
      </c>
    </row>
    <row r="718" spans="1:18" x14ac:dyDescent="0.3">
      <c r="A718" s="2" t="s">
        <v>1756</v>
      </c>
      <c r="B718" s="1">
        <v>45196</v>
      </c>
      <c r="C718" s="2" t="s">
        <v>1757</v>
      </c>
      <c r="D718" s="2" t="s">
        <v>98</v>
      </c>
      <c r="E718" s="2" t="s">
        <v>425</v>
      </c>
      <c r="F718" s="2" t="s">
        <v>89</v>
      </c>
      <c r="G718" s="2" t="s">
        <v>100</v>
      </c>
      <c r="H718" s="3">
        <v>2</v>
      </c>
      <c r="I718" s="3">
        <v>487.44</v>
      </c>
      <c r="J718" s="2">
        <v>0</v>
      </c>
      <c r="K718" s="3">
        <v>77.989999999999995</v>
      </c>
      <c r="L718" s="3">
        <v>5.31</v>
      </c>
      <c r="M718" s="3">
        <v>1058.18</v>
      </c>
      <c r="N718" s="2" t="s">
        <v>123</v>
      </c>
      <c r="O718" s="2" t="s">
        <v>144</v>
      </c>
      <c r="P718" s="2" t="s">
        <v>68</v>
      </c>
      <c r="Q718" s="2" t="s">
        <v>69</v>
      </c>
      <c r="R718" s="2" t="s">
        <v>38</v>
      </c>
    </row>
    <row r="719" spans="1:18" x14ac:dyDescent="0.3">
      <c r="A719" s="5" t="s">
        <v>1758</v>
      </c>
      <c r="B719" s="4">
        <v>44227</v>
      </c>
      <c r="C719" s="5" t="s">
        <v>1759</v>
      </c>
      <c r="D719" s="5" t="s">
        <v>149</v>
      </c>
      <c r="E719" s="5" t="s">
        <v>190</v>
      </c>
      <c r="F719" s="5" t="s">
        <v>43</v>
      </c>
      <c r="G719" s="5" t="s">
        <v>49</v>
      </c>
      <c r="H719" s="6">
        <v>2</v>
      </c>
      <c r="I719" s="6">
        <v>56.82</v>
      </c>
      <c r="J719" s="5">
        <v>0</v>
      </c>
      <c r="K719" s="6">
        <v>13.64</v>
      </c>
      <c r="L719" s="6">
        <v>10.54</v>
      </c>
      <c r="M719" s="6">
        <v>137.82</v>
      </c>
      <c r="N719" s="5" t="s">
        <v>35</v>
      </c>
      <c r="O719" s="5" t="s">
        <v>25</v>
      </c>
      <c r="P719" s="5" t="s">
        <v>51</v>
      </c>
      <c r="Q719" s="5" t="s">
        <v>52</v>
      </c>
      <c r="R719" s="5" t="s">
        <v>28</v>
      </c>
    </row>
    <row r="720" spans="1:18" x14ac:dyDescent="0.3">
      <c r="A720" s="2" t="s">
        <v>1760</v>
      </c>
      <c r="B720" s="1">
        <v>44529</v>
      </c>
      <c r="C720" s="2" t="s">
        <v>1761</v>
      </c>
      <c r="D720" s="2" t="s">
        <v>731</v>
      </c>
      <c r="E720" s="2" t="s">
        <v>142</v>
      </c>
      <c r="F720" s="2" t="s">
        <v>81</v>
      </c>
      <c r="G720" s="2" t="s">
        <v>34</v>
      </c>
      <c r="H720" s="3">
        <v>3</v>
      </c>
      <c r="I720" s="3">
        <v>195.03</v>
      </c>
      <c r="J720" s="2">
        <v>0.1</v>
      </c>
      <c r="K720" s="3">
        <v>94.78</v>
      </c>
      <c r="L720" s="3">
        <v>13.87</v>
      </c>
      <c r="M720" s="3">
        <v>635.23</v>
      </c>
      <c r="N720" s="2" t="s">
        <v>58</v>
      </c>
      <c r="O720" s="2" t="s">
        <v>25</v>
      </c>
      <c r="P720" s="2" t="s">
        <v>83</v>
      </c>
      <c r="Q720" s="2" t="s">
        <v>84</v>
      </c>
      <c r="R720" s="2" t="s">
        <v>38</v>
      </c>
    </row>
    <row r="721" spans="1:18" x14ac:dyDescent="0.3">
      <c r="A721" s="5" t="s">
        <v>1762</v>
      </c>
      <c r="B721" s="4">
        <v>44873</v>
      </c>
      <c r="C721" s="5" t="s">
        <v>1763</v>
      </c>
      <c r="D721" s="5" t="s">
        <v>172</v>
      </c>
      <c r="E721" s="5" t="s">
        <v>65</v>
      </c>
      <c r="F721" s="5" t="s">
        <v>143</v>
      </c>
      <c r="G721" s="5" t="s">
        <v>100</v>
      </c>
      <c r="H721" s="6">
        <v>2</v>
      </c>
      <c r="I721" s="6">
        <v>391.78</v>
      </c>
      <c r="J721" s="5">
        <v>0.1</v>
      </c>
      <c r="K721" s="6">
        <v>84.62</v>
      </c>
      <c r="L721" s="6">
        <v>14.35</v>
      </c>
      <c r="M721" s="6">
        <v>804.17</v>
      </c>
      <c r="N721" s="5" t="s">
        <v>58</v>
      </c>
      <c r="O721" s="5" t="s">
        <v>82</v>
      </c>
      <c r="P721" s="5" t="s">
        <v>165</v>
      </c>
      <c r="Q721" s="5" t="s">
        <v>37</v>
      </c>
      <c r="R721" s="5" t="s">
        <v>28</v>
      </c>
    </row>
    <row r="722" spans="1:18" x14ac:dyDescent="0.3">
      <c r="A722" s="2" t="s">
        <v>1764</v>
      </c>
      <c r="B722" s="1">
        <v>44007</v>
      </c>
      <c r="C722" s="2" t="s">
        <v>1765</v>
      </c>
      <c r="D722" s="2" t="s">
        <v>368</v>
      </c>
      <c r="E722" s="2" t="s">
        <v>138</v>
      </c>
      <c r="F722" s="2" t="s">
        <v>22</v>
      </c>
      <c r="G722" s="2" t="s">
        <v>268</v>
      </c>
      <c r="H722" s="3">
        <v>1</v>
      </c>
      <c r="I722" s="3">
        <v>167.4</v>
      </c>
      <c r="J722" s="2">
        <v>0</v>
      </c>
      <c r="K722" s="3">
        <v>30.13</v>
      </c>
      <c r="L722" s="3">
        <v>7.61</v>
      </c>
      <c r="M722" s="3">
        <v>205.14</v>
      </c>
      <c r="N722" s="2" t="s">
        <v>58</v>
      </c>
      <c r="O722" s="2" t="s">
        <v>25</v>
      </c>
      <c r="P722" s="2" t="s">
        <v>26</v>
      </c>
      <c r="Q722" s="2" t="s">
        <v>27</v>
      </c>
      <c r="R722" s="2" t="s">
        <v>76</v>
      </c>
    </row>
    <row r="723" spans="1:18" x14ac:dyDescent="0.3">
      <c r="A723" s="5" t="s">
        <v>1766</v>
      </c>
      <c r="B723" s="4">
        <v>45466</v>
      </c>
      <c r="C723" s="5" t="s">
        <v>1767</v>
      </c>
      <c r="D723" s="5" t="s">
        <v>1096</v>
      </c>
      <c r="E723" s="5" t="s">
        <v>231</v>
      </c>
      <c r="F723" s="5" t="s">
        <v>22</v>
      </c>
      <c r="G723" s="5" t="s">
        <v>23</v>
      </c>
      <c r="H723" s="6">
        <v>4</v>
      </c>
      <c r="I723" s="6">
        <v>260.35000000000002</v>
      </c>
      <c r="J723" s="5">
        <v>0.2</v>
      </c>
      <c r="K723" s="6">
        <v>99.97</v>
      </c>
      <c r="L723" s="6">
        <v>2</v>
      </c>
      <c r="M723" s="6">
        <v>935.09</v>
      </c>
      <c r="N723" s="5" t="s">
        <v>58</v>
      </c>
      <c r="O723" s="5" t="s">
        <v>107</v>
      </c>
      <c r="P723" s="5" t="s">
        <v>133</v>
      </c>
      <c r="Q723" s="5" t="s">
        <v>134</v>
      </c>
      <c r="R723" s="5" t="s">
        <v>38</v>
      </c>
    </row>
    <row r="724" spans="1:18" x14ac:dyDescent="0.3">
      <c r="A724" s="2" t="s">
        <v>1768</v>
      </c>
      <c r="B724" s="1">
        <v>44226</v>
      </c>
      <c r="C724" s="2" t="s">
        <v>1769</v>
      </c>
      <c r="D724" s="2" t="s">
        <v>531</v>
      </c>
      <c r="E724" s="2" t="s">
        <v>294</v>
      </c>
      <c r="F724" s="2" t="s">
        <v>33</v>
      </c>
      <c r="G724" s="2" t="s">
        <v>23</v>
      </c>
      <c r="H724" s="3">
        <v>5</v>
      </c>
      <c r="I724" s="3">
        <v>419.07</v>
      </c>
      <c r="J724" s="2">
        <v>0.25</v>
      </c>
      <c r="K724" s="3">
        <v>78.58</v>
      </c>
      <c r="L724" s="3">
        <v>9.7200000000000006</v>
      </c>
      <c r="M724" s="3">
        <v>1659.81</v>
      </c>
      <c r="N724" s="2" t="s">
        <v>24</v>
      </c>
      <c r="O724" s="2" t="s">
        <v>25</v>
      </c>
      <c r="P724" s="2" t="s">
        <v>150</v>
      </c>
      <c r="Q724" s="2" t="s">
        <v>69</v>
      </c>
      <c r="R724" s="2" t="s">
        <v>38</v>
      </c>
    </row>
    <row r="725" spans="1:18" x14ac:dyDescent="0.3">
      <c r="A725" s="5" t="s">
        <v>1770</v>
      </c>
      <c r="B725" s="4">
        <v>44275</v>
      </c>
      <c r="C725" s="5" t="s">
        <v>1771</v>
      </c>
      <c r="D725" s="5" t="s">
        <v>539</v>
      </c>
      <c r="E725" s="5" t="s">
        <v>349</v>
      </c>
      <c r="F725" s="5" t="s">
        <v>143</v>
      </c>
      <c r="G725" s="5" t="s">
        <v>23</v>
      </c>
      <c r="H725" s="6">
        <v>2</v>
      </c>
      <c r="I725" s="6">
        <v>299.49</v>
      </c>
      <c r="J725" s="5">
        <v>0</v>
      </c>
      <c r="K725" s="6">
        <v>29.95</v>
      </c>
      <c r="L725" s="6">
        <v>0.04</v>
      </c>
      <c r="M725" s="6">
        <v>628.97</v>
      </c>
      <c r="N725" s="5" t="s">
        <v>58</v>
      </c>
      <c r="O725" s="5" t="s">
        <v>25</v>
      </c>
      <c r="P725" s="5" t="s">
        <v>178</v>
      </c>
      <c r="Q725" s="5" t="s">
        <v>69</v>
      </c>
      <c r="R725" s="5" t="s">
        <v>28</v>
      </c>
    </row>
    <row r="726" spans="1:18" x14ac:dyDescent="0.3">
      <c r="A726" s="2" t="s">
        <v>1772</v>
      </c>
      <c r="B726" s="1">
        <v>45087</v>
      </c>
      <c r="C726" s="2" t="s">
        <v>1773</v>
      </c>
      <c r="D726" s="2" t="s">
        <v>942</v>
      </c>
      <c r="E726" s="2" t="s">
        <v>216</v>
      </c>
      <c r="F726" s="2" t="s">
        <v>33</v>
      </c>
      <c r="G726" s="2" t="s">
        <v>57</v>
      </c>
      <c r="H726" s="3">
        <v>4</v>
      </c>
      <c r="I726" s="3">
        <v>446.33</v>
      </c>
      <c r="J726" s="2">
        <v>0</v>
      </c>
      <c r="K726" s="3">
        <v>142.83000000000001</v>
      </c>
      <c r="L726" s="3">
        <v>13.92</v>
      </c>
      <c r="M726" s="3">
        <v>1942.07</v>
      </c>
      <c r="N726" s="2" t="s">
        <v>67</v>
      </c>
      <c r="O726" s="2" t="s">
        <v>144</v>
      </c>
      <c r="P726" s="2" t="s">
        <v>83</v>
      </c>
      <c r="Q726" s="2" t="s">
        <v>84</v>
      </c>
      <c r="R726" s="2" t="s">
        <v>38</v>
      </c>
    </row>
    <row r="727" spans="1:18" x14ac:dyDescent="0.3">
      <c r="A727" s="5" t="s">
        <v>1774</v>
      </c>
      <c r="B727" s="4">
        <v>43906</v>
      </c>
      <c r="C727" s="5" t="s">
        <v>1775</v>
      </c>
      <c r="D727" s="5" t="s">
        <v>352</v>
      </c>
      <c r="E727" s="5" t="s">
        <v>80</v>
      </c>
      <c r="F727" s="5" t="s">
        <v>81</v>
      </c>
      <c r="G727" s="5" t="s">
        <v>23</v>
      </c>
      <c r="H727" s="6">
        <v>5</v>
      </c>
      <c r="I727" s="6">
        <v>38.119999999999997</v>
      </c>
      <c r="J727" s="5">
        <v>0.05</v>
      </c>
      <c r="K727" s="6">
        <v>14.49</v>
      </c>
      <c r="L727" s="6">
        <v>13.53</v>
      </c>
      <c r="M727" s="6">
        <v>209.09</v>
      </c>
      <c r="N727" s="5" t="s">
        <v>58</v>
      </c>
      <c r="O727" s="5" t="s">
        <v>107</v>
      </c>
      <c r="P727" s="5" t="s">
        <v>133</v>
      </c>
      <c r="Q727" s="5" t="s">
        <v>134</v>
      </c>
      <c r="R727" s="5" t="s">
        <v>28</v>
      </c>
    </row>
    <row r="728" spans="1:18" x14ac:dyDescent="0.3">
      <c r="A728" s="2" t="s">
        <v>1776</v>
      </c>
      <c r="B728" s="1">
        <v>44095</v>
      </c>
      <c r="C728" s="2" t="s">
        <v>1777</v>
      </c>
      <c r="D728" s="2" t="s">
        <v>596</v>
      </c>
      <c r="E728" s="2" t="s">
        <v>256</v>
      </c>
      <c r="F728" s="2" t="s">
        <v>43</v>
      </c>
      <c r="G728" s="2" t="s">
        <v>66</v>
      </c>
      <c r="H728" s="3">
        <v>5</v>
      </c>
      <c r="I728" s="3">
        <v>552.04</v>
      </c>
      <c r="J728" s="2">
        <v>0.05</v>
      </c>
      <c r="K728" s="3">
        <v>314.66000000000003</v>
      </c>
      <c r="L728" s="3">
        <v>0.69</v>
      </c>
      <c r="M728" s="3">
        <v>2937.54</v>
      </c>
      <c r="N728" s="2" t="s">
        <v>24</v>
      </c>
      <c r="O728" s="2" t="s">
        <v>59</v>
      </c>
      <c r="P728" s="2" t="s">
        <v>145</v>
      </c>
      <c r="Q728" s="2" t="s">
        <v>146</v>
      </c>
      <c r="R728" s="2" t="s">
        <v>38</v>
      </c>
    </row>
    <row r="729" spans="1:18" x14ac:dyDescent="0.3">
      <c r="A729" s="5" t="s">
        <v>1778</v>
      </c>
      <c r="B729" s="4">
        <v>44285</v>
      </c>
      <c r="C729" s="5" t="s">
        <v>1779</v>
      </c>
      <c r="D729" s="5" t="s">
        <v>1780</v>
      </c>
      <c r="E729" s="5" t="s">
        <v>65</v>
      </c>
      <c r="F729" s="5" t="s">
        <v>143</v>
      </c>
      <c r="G729" s="5" t="s">
        <v>34</v>
      </c>
      <c r="H729" s="6">
        <v>1</v>
      </c>
      <c r="I729" s="6">
        <v>598.22</v>
      </c>
      <c r="J729" s="5">
        <v>0.2</v>
      </c>
      <c r="K729" s="6">
        <v>23.93</v>
      </c>
      <c r="L729" s="6">
        <v>9.98</v>
      </c>
      <c r="M729" s="6">
        <v>512.49</v>
      </c>
      <c r="N729" s="5" t="s">
        <v>58</v>
      </c>
      <c r="O729" s="5" t="s">
        <v>82</v>
      </c>
      <c r="P729" s="5" t="s">
        <v>83</v>
      </c>
      <c r="Q729" s="5" t="s">
        <v>84</v>
      </c>
      <c r="R729" s="5" t="s">
        <v>38</v>
      </c>
    </row>
    <row r="730" spans="1:18" x14ac:dyDescent="0.3">
      <c r="A730" s="2" t="s">
        <v>1781</v>
      </c>
      <c r="B730" s="1">
        <v>45650</v>
      </c>
      <c r="C730" s="2" t="s">
        <v>1782</v>
      </c>
      <c r="D730" s="2" t="s">
        <v>20</v>
      </c>
      <c r="E730" s="2" t="s">
        <v>386</v>
      </c>
      <c r="F730" s="2" t="s">
        <v>81</v>
      </c>
      <c r="G730" s="2" t="s">
        <v>90</v>
      </c>
      <c r="H730" s="3">
        <v>1</v>
      </c>
      <c r="I730" s="3">
        <v>564.47</v>
      </c>
      <c r="J730" s="2">
        <v>0</v>
      </c>
      <c r="K730" s="3">
        <v>67.739999999999995</v>
      </c>
      <c r="L730" s="3">
        <v>12.64</v>
      </c>
      <c r="M730" s="3">
        <v>644.85</v>
      </c>
      <c r="N730" s="2" t="s">
        <v>24</v>
      </c>
      <c r="O730" s="2" t="s">
        <v>107</v>
      </c>
      <c r="P730" s="2" t="s">
        <v>124</v>
      </c>
      <c r="Q730" s="2" t="s">
        <v>125</v>
      </c>
      <c r="R730" s="2" t="s">
        <v>28</v>
      </c>
    </row>
    <row r="731" spans="1:18" x14ac:dyDescent="0.3">
      <c r="A731" s="5" t="s">
        <v>1783</v>
      </c>
      <c r="B731" s="4">
        <v>44548</v>
      </c>
      <c r="C731" s="5" t="s">
        <v>1784</v>
      </c>
      <c r="D731" s="5" t="s">
        <v>249</v>
      </c>
      <c r="E731" s="5" t="s">
        <v>287</v>
      </c>
      <c r="F731" s="5" t="s">
        <v>143</v>
      </c>
      <c r="G731" s="5" t="s">
        <v>34</v>
      </c>
      <c r="H731" s="6">
        <v>5</v>
      </c>
      <c r="I731" s="6">
        <v>144.61000000000001</v>
      </c>
      <c r="J731" s="5">
        <v>0</v>
      </c>
      <c r="K731" s="6">
        <v>130.15</v>
      </c>
      <c r="L731" s="6">
        <v>5.13</v>
      </c>
      <c r="M731" s="6">
        <v>858.33</v>
      </c>
      <c r="N731" s="5" t="s">
        <v>35</v>
      </c>
      <c r="O731" s="5" t="s">
        <v>144</v>
      </c>
      <c r="P731" s="5" t="s">
        <v>101</v>
      </c>
      <c r="Q731" s="5" t="s">
        <v>102</v>
      </c>
      <c r="R731" s="5" t="s">
        <v>183</v>
      </c>
    </row>
    <row r="732" spans="1:18" x14ac:dyDescent="0.3">
      <c r="A732" s="2" t="s">
        <v>1785</v>
      </c>
      <c r="B732" s="1">
        <v>44565</v>
      </c>
      <c r="C732" s="2" t="s">
        <v>1786</v>
      </c>
      <c r="D732" s="2" t="s">
        <v>662</v>
      </c>
      <c r="E732" s="2" t="s">
        <v>42</v>
      </c>
      <c r="F732" s="2" t="s">
        <v>43</v>
      </c>
      <c r="G732" s="2" t="s">
        <v>268</v>
      </c>
      <c r="H732" s="3">
        <v>2</v>
      </c>
      <c r="I732" s="3">
        <v>567.80999999999995</v>
      </c>
      <c r="J732" s="2">
        <v>0</v>
      </c>
      <c r="K732" s="3">
        <v>0</v>
      </c>
      <c r="L732" s="3">
        <v>2.09</v>
      </c>
      <c r="M732" s="3">
        <v>1137.71</v>
      </c>
      <c r="N732" s="2" t="s">
        <v>58</v>
      </c>
      <c r="O732" s="2" t="s">
        <v>25</v>
      </c>
      <c r="P732" s="2" t="s">
        <v>26</v>
      </c>
      <c r="Q732" s="2" t="s">
        <v>27</v>
      </c>
      <c r="R732" s="2" t="s">
        <v>38</v>
      </c>
    </row>
    <row r="733" spans="1:18" x14ac:dyDescent="0.3">
      <c r="A733" s="5" t="s">
        <v>1787</v>
      </c>
      <c r="B733" s="4">
        <v>45238</v>
      </c>
      <c r="C733" s="5" t="s">
        <v>1788</v>
      </c>
      <c r="D733" s="5" t="s">
        <v>696</v>
      </c>
      <c r="E733" s="5" t="s">
        <v>386</v>
      </c>
      <c r="F733" s="5" t="s">
        <v>22</v>
      </c>
      <c r="G733" s="5" t="s">
        <v>23</v>
      </c>
      <c r="H733" s="6">
        <v>3</v>
      </c>
      <c r="I733" s="6">
        <v>129.66999999999999</v>
      </c>
      <c r="J733" s="5">
        <v>0</v>
      </c>
      <c r="K733" s="6">
        <v>31.12</v>
      </c>
      <c r="L733" s="6">
        <v>6.2</v>
      </c>
      <c r="M733" s="6">
        <v>426.33</v>
      </c>
      <c r="N733" s="5" t="s">
        <v>58</v>
      </c>
      <c r="O733" s="5" t="s">
        <v>107</v>
      </c>
      <c r="P733" s="5" t="s">
        <v>26</v>
      </c>
      <c r="Q733" s="5" t="s">
        <v>27</v>
      </c>
      <c r="R733" s="5" t="s">
        <v>38</v>
      </c>
    </row>
    <row r="734" spans="1:18" x14ac:dyDescent="0.3">
      <c r="A734" s="2" t="s">
        <v>1789</v>
      </c>
      <c r="B734" s="1">
        <v>45418</v>
      </c>
      <c r="C734" s="2" t="s">
        <v>1790</v>
      </c>
      <c r="D734" s="2" t="s">
        <v>260</v>
      </c>
      <c r="E734" s="2" t="s">
        <v>142</v>
      </c>
      <c r="F734" s="2" t="s">
        <v>143</v>
      </c>
      <c r="G734" s="2" t="s">
        <v>66</v>
      </c>
      <c r="H734" s="3">
        <v>3</v>
      </c>
      <c r="I734" s="3">
        <v>304.31</v>
      </c>
      <c r="J734" s="2">
        <v>0</v>
      </c>
      <c r="K734" s="3">
        <v>109.55</v>
      </c>
      <c r="L734" s="3">
        <v>7.02</v>
      </c>
      <c r="M734" s="3">
        <v>1029.5</v>
      </c>
      <c r="N734" s="2" t="s">
        <v>24</v>
      </c>
      <c r="O734" s="2" t="s">
        <v>25</v>
      </c>
      <c r="P734" s="2" t="s">
        <v>74</v>
      </c>
      <c r="Q734" s="2" t="s">
        <v>75</v>
      </c>
      <c r="R734" s="2" t="s">
        <v>38</v>
      </c>
    </row>
    <row r="735" spans="1:18" x14ac:dyDescent="0.3">
      <c r="A735" s="5" t="s">
        <v>1791</v>
      </c>
      <c r="B735" s="4">
        <v>44681</v>
      </c>
      <c r="C735" s="5" t="s">
        <v>1792</v>
      </c>
      <c r="D735" s="5" t="s">
        <v>1066</v>
      </c>
      <c r="E735" s="5" t="s">
        <v>21</v>
      </c>
      <c r="F735" s="5" t="s">
        <v>33</v>
      </c>
      <c r="G735" s="5" t="s">
        <v>203</v>
      </c>
      <c r="H735" s="6">
        <v>2</v>
      </c>
      <c r="I735" s="6">
        <v>481.79</v>
      </c>
      <c r="J735" s="5">
        <v>0.1</v>
      </c>
      <c r="K735" s="6">
        <v>156.1</v>
      </c>
      <c r="L735" s="6">
        <v>2.37</v>
      </c>
      <c r="M735" s="6">
        <v>1025.69</v>
      </c>
      <c r="N735" s="5" t="s">
        <v>67</v>
      </c>
      <c r="O735" s="5" t="s">
        <v>25</v>
      </c>
      <c r="P735" s="5" t="s">
        <v>83</v>
      </c>
      <c r="Q735" s="5" t="s">
        <v>84</v>
      </c>
      <c r="R735" s="5" t="s">
        <v>38</v>
      </c>
    </row>
    <row r="736" spans="1:18" x14ac:dyDescent="0.3">
      <c r="A736" s="2" t="s">
        <v>1793</v>
      </c>
      <c r="B736" s="1">
        <v>45360</v>
      </c>
      <c r="C736" s="2" t="s">
        <v>1794</v>
      </c>
      <c r="D736" s="2" t="s">
        <v>141</v>
      </c>
      <c r="E736" s="2" t="s">
        <v>197</v>
      </c>
      <c r="F736" s="2" t="s">
        <v>22</v>
      </c>
      <c r="G736" s="2" t="s">
        <v>49</v>
      </c>
      <c r="H736" s="3">
        <v>5</v>
      </c>
      <c r="I736" s="3">
        <v>404.96</v>
      </c>
      <c r="J736" s="2">
        <v>0</v>
      </c>
      <c r="K736" s="3">
        <v>0</v>
      </c>
      <c r="L736" s="3">
        <v>9.1300000000000008</v>
      </c>
      <c r="M736" s="3">
        <v>2033.93</v>
      </c>
      <c r="N736" s="2" t="s">
        <v>58</v>
      </c>
      <c r="O736" s="2" t="s">
        <v>25</v>
      </c>
      <c r="P736" s="2" t="s">
        <v>51</v>
      </c>
      <c r="Q736" s="2" t="s">
        <v>52</v>
      </c>
      <c r="R736" s="2" t="s">
        <v>61</v>
      </c>
    </row>
    <row r="737" spans="1:18" x14ac:dyDescent="0.3">
      <c r="A737" s="5" t="s">
        <v>1795</v>
      </c>
      <c r="B737" s="4">
        <v>45221</v>
      </c>
      <c r="C737" s="5" t="s">
        <v>1796</v>
      </c>
      <c r="D737" s="5" t="s">
        <v>445</v>
      </c>
      <c r="E737" s="5" t="s">
        <v>577</v>
      </c>
      <c r="F737" s="5" t="s">
        <v>89</v>
      </c>
      <c r="G737" s="5" t="s">
        <v>198</v>
      </c>
      <c r="H737" s="6">
        <v>2</v>
      </c>
      <c r="I737" s="6">
        <v>296.23</v>
      </c>
      <c r="J737" s="5">
        <v>0.05</v>
      </c>
      <c r="K737" s="6">
        <v>67.540000000000006</v>
      </c>
      <c r="L737" s="6">
        <v>11.3</v>
      </c>
      <c r="M737" s="6">
        <v>641.67999999999995</v>
      </c>
      <c r="N737" s="5" t="s">
        <v>35</v>
      </c>
      <c r="O737" s="5" t="s">
        <v>25</v>
      </c>
      <c r="P737" s="5" t="s">
        <v>112</v>
      </c>
      <c r="Q737" s="5" t="s">
        <v>113</v>
      </c>
      <c r="R737" s="5" t="s">
        <v>28</v>
      </c>
    </row>
    <row r="738" spans="1:18" x14ac:dyDescent="0.3">
      <c r="A738" s="2" t="s">
        <v>1797</v>
      </c>
      <c r="B738" s="1">
        <v>43974</v>
      </c>
      <c r="C738" s="2" t="s">
        <v>1798</v>
      </c>
      <c r="D738" s="2" t="s">
        <v>563</v>
      </c>
      <c r="E738" s="2" t="s">
        <v>287</v>
      </c>
      <c r="F738" s="2" t="s">
        <v>22</v>
      </c>
      <c r="G738" s="2" t="s">
        <v>268</v>
      </c>
      <c r="H738" s="3">
        <v>3</v>
      </c>
      <c r="I738" s="3">
        <v>171.95</v>
      </c>
      <c r="J738" s="2">
        <v>0</v>
      </c>
      <c r="K738" s="3">
        <v>41.27</v>
      </c>
      <c r="L738" s="3">
        <v>8.5</v>
      </c>
      <c r="M738" s="3">
        <v>565.62</v>
      </c>
      <c r="N738" s="2" t="s">
        <v>58</v>
      </c>
      <c r="O738" s="2" t="s">
        <v>107</v>
      </c>
      <c r="P738" s="2" t="s">
        <v>95</v>
      </c>
      <c r="Q738" s="2" t="s">
        <v>37</v>
      </c>
      <c r="R738" s="2" t="s">
        <v>38</v>
      </c>
    </row>
    <row r="739" spans="1:18" x14ac:dyDescent="0.3">
      <c r="A739" s="5" t="s">
        <v>1799</v>
      </c>
      <c r="B739" s="4">
        <v>44715</v>
      </c>
      <c r="C739" s="5" t="s">
        <v>1800</v>
      </c>
      <c r="D739" s="5" t="s">
        <v>1801</v>
      </c>
      <c r="E739" s="5" t="s">
        <v>202</v>
      </c>
      <c r="F739" s="5" t="s">
        <v>22</v>
      </c>
      <c r="G739" s="5" t="s">
        <v>90</v>
      </c>
      <c r="H739" s="6">
        <v>5</v>
      </c>
      <c r="I739" s="6">
        <v>587.98</v>
      </c>
      <c r="J739" s="5">
        <v>0.25</v>
      </c>
      <c r="K739" s="6">
        <v>396.89</v>
      </c>
      <c r="L739" s="6">
        <v>14.43</v>
      </c>
      <c r="M739" s="6">
        <v>2616.2399999999998</v>
      </c>
      <c r="N739" s="5" t="s">
        <v>35</v>
      </c>
      <c r="O739" s="5" t="s">
        <v>25</v>
      </c>
      <c r="P739" s="5" t="s">
        <v>74</v>
      </c>
      <c r="Q739" s="5" t="s">
        <v>75</v>
      </c>
      <c r="R739" s="5" t="s">
        <v>76</v>
      </c>
    </row>
    <row r="740" spans="1:18" x14ac:dyDescent="0.3">
      <c r="A740" s="2" t="s">
        <v>1802</v>
      </c>
      <c r="B740" s="1">
        <v>44923</v>
      </c>
      <c r="C740" s="2" t="s">
        <v>1803</v>
      </c>
      <c r="D740" s="2" t="s">
        <v>266</v>
      </c>
      <c r="E740" s="2" t="s">
        <v>32</v>
      </c>
      <c r="F740" s="2" t="s">
        <v>81</v>
      </c>
      <c r="G740" s="2" t="s">
        <v>34</v>
      </c>
      <c r="H740" s="3">
        <v>1</v>
      </c>
      <c r="I740" s="3">
        <v>420.81</v>
      </c>
      <c r="J740" s="2">
        <v>0.05</v>
      </c>
      <c r="K740" s="3">
        <v>0</v>
      </c>
      <c r="L740" s="3">
        <v>8.26</v>
      </c>
      <c r="M740" s="3">
        <v>408.03</v>
      </c>
      <c r="N740" s="2" t="s">
        <v>58</v>
      </c>
      <c r="O740" s="2" t="s">
        <v>25</v>
      </c>
      <c r="P740" s="2" t="s">
        <v>112</v>
      </c>
      <c r="Q740" s="2" t="s">
        <v>113</v>
      </c>
      <c r="R740" s="2" t="s">
        <v>38</v>
      </c>
    </row>
    <row r="741" spans="1:18" x14ac:dyDescent="0.3">
      <c r="A741" s="5" t="s">
        <v>1804</v>
      </c>
      <c r="B741" s="4">
        <v>44953</v>
      </c>
      <c r="C741" s="5" t="s">
        <v>120</v>
      </c>
      <c r="D741" s="5" t="s">
        <v>266</v>
      </c>
      <c r="E741" s="5" t="s">
        <v>498</v>
      </c>
      <c r="F741" s="5" t="s">
        <v>89</v>
      </c>
      <c r="G741" s="5" t="s">
        <v>66</v>
      </c>
      <c r="H741" s="6">
        <v>1</v>
      </c>
      <c r="I741" s="6">
        <v>123.43</v>
      </c>
      <c r="J741" s="5">
        <v>0</v>
      </c>
      <c r="K741" s="6">
        <v>22.22</v>
      </c>
      <c r="L741" s="6">
        <v>13.52</v>
      </c>
      <c r="M741" s="6">
        <v>159.16999999999999</v>
      </c>
      <c r="N741" s="5" t="s">
        <v>67</v>
      </c>
      <c r="O741" s="5" t="s">
        <v>25</v>
      </c>
      <c r="P741" s="5" t="s">
        <v>95</v>
      </c>
      <c r="Q741" s="5" t="s">
        <v>37</v>
      </c>
      <c r="R741" s="5" t="s">
        <v>38</v>
      </c>
    </row>
    <row r="742" spans="1:18" x14ac:dyDescent="0.3">
      <c r="A742" s="2" t="s">
        <v>1805</v>
      </c>
      <c r="B742" s="1">
        <v>44226</v>
      </c>
      <c r="C742" s="2" t="s">
        <v>1806</v>
      </c>
      <c r="D742" s="2" t="s">
        <v>618</v>
      </c>
      <c r="E742" s="2" t="s">
        <v>340</v>
      </c>
      <c r="F742" s="2" t="s">
        <v>33</v>
      </c>
      <c r="G742" s="2" t="s">
        <v>198</v>
      </c>
      <c r="H742" s="3">
        <v>3</v>
      </c>
      <c r="I742" s="3">
        <v>249.04</v>
      </c>
      <c r="J742" s="2">
        <v>0.05</v>
      </c>
      <c r="K742" s="3">
        <v>127.76</v>
      </c>
      <c r="L742" s="3">
        <v>2.56</v>
      </c>
      <c r="M742" s="3">
        <v>840.08</v>
      </c>
      <c r="N742" s="2" t="s">
        <v>58</v>
      </c>
      <c r="O742" s="2" t="s">
        <v>25</v>
      </c>
      <c r="P742" s="2" t="s">
        <v>173</v>
      </c>
      <c r="Q742" s="2" t="s">
        <v>174</v>
      </c>
      <c r="R742" s="2" t="s">
        <v>38</v>
      </c>
    </row>
    <row r="743" spans="1:18" x14ac:dyDescent="0.3">
      <c r="A743" s="5" t="s">
        <v>1807</v>
      </c>
      <c r="B743" s="4">
        <v>44879</v>
      </c>
      <c r="C743" s="5" t="s">
        <v>1808</v>
      </c>
      <c r="D743" s="5" t="s">
        <v>163</v>
      </c>
      <c r="E743" s="5" t="s">
        <v>177</v>
      </c>
      <c r="F743" s="5" t="s">
        <v>33</v>
      </c>
      <c r="G743" s="5" t="s">
        <v>203</v>
      </c>
      <c r="H743" s="6">
        <v>1</v>
      </c>
      <c r="I743" s="6">
        <v>248.15</v>
      </c>
      <c r="J743" s="5">
        <v>0</v>
      </c>
      <c r="K743" s="6">
        <v>19.850000000000001</v>
      </c>
      <c r="L743" s="6">
        <v>4.74</v>
      </c>
      <c r="M743" s="6">
        <v>272.74</v>
      </c>
      <c r="N743" s="5" t="s">
        <v>67</v>
      </c>
      <c r="O743" s="5" t="s">
        <v>82</v>
      </c>
      <c r="P743" s="5" t="s">
        <v>60</v>
      </c>
      <c r="Q743" s="5" t="s">
        <v>37</v>
      </c>
      <c r="R743" s="5" t="s">
        <v>38</v>
      </c>
    </row>
    <row r="744" spans="1:18" x14ac:dyDescent="0.3">
      <c r="A744" s="2" t="s">
        <v>1809</v>
      </c>
      <c r="B744" s="1">
        <v>44778</v>
      </c>
      <c r="C744" s="2" t="s">
        <v>1810</v>
      </c>
      <c r="D744" s="2" t="s">
        <v>882</v>
      </c>
      <c r="E744" s="2" t="s">
        <v>231</v>
      </c>
      <c r="F744" s="2" t="s">
        <v>143</v>
      </c>
      <c r="G744" s="2" t="s">
        <v>34</v>
      </c>
      <c r="H744" s="3">
        <v>2</v>
      </c>
      <c r="I744" s="3">
        <v>541.34</v>
      </c>
      <c r="J744" s="2">
        <v>0</v>
      </c>
      <c r="K744" s="3">
        <v>129.91999999999999</v>
      </c>
      <c r="L744" s="3">
        <v>8.0299999999999994</v>
      </c>
      <c r="M744" s="3">
        <v>1220.6300000000001</v>
      </c>
      <c r="N744" s="2" t="s">
        <v>58</v>
      </c>
      <c r="O744" s="2" t="s">
        <v>25</v>
      </c>
      <c r="P744" s="2" t="s">
        <v>95</v>
      </c>
      <c r="Q744" s="2" t="s">
        <v>37</v>
      </c>
      <c r="R744" s="2" t="s">
        <v>28</v>
      </c>
    </row>
    <row r="745" spans="1:18" x14ac:dyDescent="0.3">
      <c r="A745" s="5" t="s">
        <v>1811</v>
      </c>
      <c r="B745" s="4">
        <v>44721</v>
      </c>
      <c r="C745" s="5" t="s">
        <v>1812</v>
      </c>
      <c r="D745" s="5" t="s">
        <v>704</v>
      </c>
      <c r="E745" s="5" t="s">
        <v>425</v>
      </c>
      <c r="F745" s="5" t="s">
        <v>43</v>
      </c>
      <c r="G745" s="5" t="s">
        <v>100</v>
      </c>
      <c r="H745" s="6">
        <v>4</v>
      </c>
      <c r="I745" s="6">
        <v>52.22</v>
      </c>
      <c r="J745" s="5">
        <v>0.05</v>
      </c>
      <c r="K745" s="6">
        <v>15.87</v>
      </c>
      <c r="L745" s="6">
        <v>3.55</v>
      </c>
      <c r="M745" s="6">
        <v>217.86</v>
      </c>
      <c r="N745" s="5" t="s">
        <v>24</v>
      </c>
      <c r="O745" s="5" t="s">
        <v>25</v>
      </c>
      <c r="P745" s="5" t="s">
        <v>101</v>
      </c>
      <c r="Q745" s="5" t="s">
        <v>102</v>
      </c>
      <c r="R745" s="5" t="s">
        <v>38</v>
      </c>
    </row>
    <row r="746" spans="1:18" x14ac:dyDescent="0.3">
      <c r="A746" s="2" t="s">
        <v>1813</v>
      </c>
      <c r="B746" s="1">
        <v>45323</v>
      </c>
      <c r="C746" s="2" t="s">
        <v>1814</v>
      </c>
      <c r="D746" s="2" t="s">
        <v>201</v>
      </c>
      <c r="E746" s="2" t="s">
        <v>291</v>
      </c>
      <c r="F746" s="2" t="s">
        <v>22</v>
      </c>
      <c r="G746" s="2" t="s">
        <v>203</v>
      </c>
      <c r="H746" s="3">
        <v>4</v>
      </c>
      <c r="I746" s="3">
        <v>198.26</v>
      </c>
      <c r="J746" s="2">
        <v>0.15</v>
      </c>
      <c r="K746" s="3">
        <v>33.700000000000003</v>
      </c>
      <c r="L746" s="3">
        <v>9.39</v>
      </c>
      <c r="M746" s="3">
        <v>717.17</v>
      </c>
      <c r="N746" s="2" t="s">
        <v>58</v>
      </c>
      <c r="O746" s="2" t="s">
        <v>25</v>
      </c>
      <c r="P746" s="2" t="s">
        <v>178</v>
      </c>
      <c r="Q746" s="2" t="s">
        <v>69</v>
      </c>
      <c r="R746" s="2" t="s">
        <v>61</v>
      </c>
    </row>
    <row r="747" spans="1:18" x14ac:dyDescent="0.3">
      <c r="A747" s="5" t="s">
        <v>1815</v>
      </c>
      <c r="B747" s="4">
        <v>45338</v>
      </c>
      <c r="C747" s="5" t="s">
        <v>1816</v>
      </c>
      <c r="D747" s="5" t="s">
        <v>141</v>
      </c>
      <c r="E747" s="5" t="s">
        <v>597</v>
      </c>
      <c r="F747" s="5" t="s">
        <v>81</v>
      </c>
      <c r="G747" s="5" t="s">
        <v>198</v>
      </c>
      <c r="H747" s="6">
        <v>1</v>
      </c>
      <c r="I747" s="6">
        <v>111.71</v>
      </c>
      <c r="J747" s="5">
        <v>0.1</v>
      </c>
      <c r="K747" s="6">
        <v>8.0399999999999991</v>
      </c>
      <c r="L747" s="6">
        <v>3.49</v>
      </c>
      <c r="M747" s="6">
        <v>112.07</v>
      </c>
      <c r="N747" s="5" t="s">
        <v>24</v>
      </c>
      <c r="O747" s="5" t="s">
        <v>59</v>
      </c>
      <c r="P747" s="5" t="s">
        <v>165</v>
      </c>
      <c r="Q747" s="5" t="s">
        <v>37</v>
      </c>
      <c r="R747" s="5" t="s">
        <v>38</v>
      </c>
    </row>
    <row r="748" spans="1:18" x14ac:dyDescent="0.3">
      <c r="A748" s="2" t="s">
        <v>1817</v>
      </c>
      <c r="B748" s="1">
        <v>45419</v>
      </c>
      <c r="C748" s="2" t="s">
        <v>1818</v>
      </c>
      <c r="D748" s="2" t="s">
        <v>389</v>
      </c>
      <c r="E748" s="2" t="s">
        <v>300</v>
      </c>
      <c r="F748" s="2" t="s">
        <v>143</v>
      </c>
      <c r="G748" s="2" t="s">
        <v>66</v>
      </c>
      <c r="H748" s="3">
        <v>2</v>
      </c>
      <c r="I748" s="3">
        <v>569.66999999999996</v>
      </c>
      <c r="J748" s="2">
        <v>0</v>
      </c>
      <c r="K748" s="3">
        <v>91.15</v>
      </c>
      <c r="L748" s="3">
        <v>3.4</v>
      </c>
      <c r="M748" s="3">
        <v>1233.8900000000001</v>
      </c>
      <c r="N748" s="2" t="s">
        <v>58</v>
      </c>
      <c r="O748" s="2" t="s">
        <v>107</v>
      </c>
      <c r="P748" s="2" t="s">
        <v>145</v>
      </c>
      <c r="Q748" s="2" t="s">
        <v>146</v>
      </c>
      <c r="R748" s="2" t="s">
        <v>183</v>
      </c>
    </row>
    <row r="749" spans="1:18" x14ac:dyDescent="0.3">
      <c r="A749" s="5" t="s">
        <v>1819</v>
      </c>
      <c r="B749" s="4">
        <v>45005</v>
      </c>
      <c r="C749" s="5" t="s">
        <v>1820</v>
      </c>
      <c r="D749" s="5" t="s">
        <v>290</v>
      </c>
      <c r="E749" s="5" t="s">
        <v>220</v>
      </c>
      <c r="F749" s="5" t="s">
        <v>89</v>
      </c>
      <c r="G749" s="5" t="s">
        <v>57</v>
      </c>
      <c r="H749" s="6">
        <v>1</v>
      </c>
      <c r="I749" s="6">
        <v>346.29</v>
      </c>
      <c r="J749" s="5">
        <v>0.3</v>
      </c>
      <c r="K749" s="6">
        <v>12.12</v>
      </c>
      <c r="L749" s="6">
        <v>9.0399999999999991</v>
      </c>
      <c r="M749" s="6">
        <v>263.56</v>
      </c>
      <c r="N749" s="5" t="s">
        <v>24</v>
      </c>
      <c r="O749" s="5" t="s">
        <v>25</v>
      </c>
      <c r="P749" s="5" t="s">
        <v>26</v>
      </c>
      <c r="Q749" s="5" t="s">
        <v>27</v>
      </c>
      <c r="R749" s="5" t="s">
        <v>38</v>
      </c>
    </row>
    <row r="750" spans="1:18" x14ac:dyDescent="0.3">
      <c r="A750" s="2" t="s">
        <v>1821</v>
      </c>
      <c r="B750" s="1">
        <v>44998</v>
      </c>
      <c r="C750" s="2" t="s">
        <v>1822</v>
      </c>
      <c r="D750" s="2" t="s">
        <v>696</v>
      </c>
      <c r="E750" s="2" t="s">
        <v>365</v>
      </c>
      <c r="F750" s="2" t="s">
        <v>89</v>
      </c>
      <c r="G750" s="2" t="s">
        <v>34</v>
      </c>
      <c r="H750" s="3">
        <v>1</v>
      </c>
      <c r="I750" s="3">
        <v>408.88</v>
      </c>
      <c r="J750" s="2">
        <v>0.05</v>
      </c>
      <c r="K750" s="3">
        <v>69.92</v>
      </c>
      <c r="L750" s="3">
        <v>3.2</v>
      </c>
      <c r="M750" s="3">
        <v>461.56</v>
      </c>
      <c r="N750" s="2" t="s">
        <v>24</v>
      </c>
      <c r="O750" s="2" t="s">
        <v>25</v>
      </c>
      <c r="P750" s="2" t="s">
        <v>165</v>
      </c>
      <c r="Q750" s="2" t="s">
        <v>37</v>
      </c>
      <c r="R750" s="2" t="s">
        <v>38</v>
      </c>
    </row>
    <row r="751" spans="1:18" x14ac:dyDescent="0.3">
      <c r="A751" s="5" t="s">
        <v>1823</v>
      </c>
      <c r="B751" s="4">
        <v>44399</v>
      </c>
      <c r="C751" s="5" t="s">
        <v>1824</v>
      </c>
      <c r="D751" s="5" t="s">
        <v>141</v>
      </c>
      <c r="E751" s="5" t="s">
        <v>216</v>
      </c>
      <c r="F751" s="5" t="s">
        <v>33</v>
      </c>
      <c r="G751" s="5" t="s">
        <v>23</v>
      </c>
      <c r="H751" s="6">
        <v>5</v>
      </c>
      <c r="I751" s="6">
        <v>111.1</v>
      </c>
      <c r="J751" s="5">
        <v>0</v>
      </c>
      <c r="K751" s="6">
        <v>44.44</v>
      </c>
      <c r="L751" s="6">
        <v>6.94</v>
      </c>
      <c r="M751" s="6">
        <v>606.88</v>
      </c>
      <c r="N751" s="5" t="s">
        <v>67</v>
      </c>
      <c r="O751" s="5" t="s">
        <v>25</v>
      </c>
      <c r="P751" s="5" t="s">
        <v>26</v>
      </c>
      <c r="Q751" s="5" t="s">
        <v>27</v>
      </c>
      <c r="R751" s="5" t="s">
        <v>28</v>
      </c>
    </row>
    <row r="752" spans="1:18" x14ac:dyDescent="0.3">
      <c r="A752" s="2" t="s">
        <v>1825</v>
      </c>
      <c r="B752" s="1">
        <v>44893</v>
      </c>
      <c r="C752" s="2" t="s">
        <v>1826</v>
      </c>
      <c r="D752" s="2" t="s">
        <v>1780</v>
      </c>
      <c r="E752" s="2" t="s">
        <v>386</v>
      </c>
      <c r="F752" s="2" t="s">
        <v>81</v>
      </c>
      <c r="G752" s="2" t="s">
        <v>66</v>
      </c>
      <c r="H752" s="3">
        <v>2</v>
      </c>
      <c r="I752" s="3">
        <v>284.32</v>
      </c>
      <c r="J752" s="2">
        <v>0</v>
      </c>
      <c r="K752" s="3">
        <v>28.43</v>
      </c>
      <c r="L752" s="3">
        <v>4.72</v>
      </c>
      <c r="M752" s="3">
        <v>601.79</v>
      </c>
      <c r="N752" s="2" t="s">
        <v>24</v>
      </c>
      <c r="O752" s="2" t="s">
        <v>25</v>
      </c>
      <c r="P752" s="2" t="s">
        <v>74</v>
      </c>
      <c r="Q752" s="2" t="s">
        <v>75</v>
      </c>
      <c r="R752" s="2" t="s">
        <v>38</v>
      </c>
    </row>
    <row r="753" spans="1:18" x14ac:dyDescent="0.3">
      <c r="A753" s="5" t="s">
        <v>1827</v>
      </c>
      <c r="B753" s="4">
        <v>43939</v>
      </c>
      <c r="C753" s="5" t="s">
        <v>1828</v>
      </c>
      <c r="D753" s="5" t="s">
        <v>1580</v>
      </c>
      <c r="E753" s="5" t="s">
        <v>498</v>
      </c>
      <c r="F753" s="5" t="s">
        <v>43</v>
      </c>
      <c r="G753" s="5" t="s">
        <v>57</v>
      </c>
      <c r="H753" s="6">
        <v>3</v>
      </c>
      <c r="I753" s="6">
        <v>369.85</v>
      </c>
      <c r="J753" s="5">
        <v>0</v>
      </c>
      <c r="K753" s="6">
        <v>199.72</v>
      </c>
      <c r="L753" s="6">
        <v>11.04</v>
      </c>
      <c r="M753" s="6">
        <v>1320.31</v>
      </c>
      <c r="N753" s="5" t="s">
        <v>35</v>
      </c>
      <c r="O753" s="5" t="s">
        <v>82</v>
      </c>
      <c r="P753" s="5" t="s">
        <v>36</v>
      </c>
      <c r="Q753" s="5" t="s">
        <v>37</v>
      </c>
      <c r="R753" s="5" t="s">
        <v>38</v>
      </c>
    </row>
    <row r="754" spans="1:18" x14ac:dyDescent="0.3">
      <c r="A754" s="2" t="s">
        <v>1829</v>
      </c>
      <c r="B754" s="1">
        <v>45547</v>
      </c>
      <c r="C754" s="2" t="s">
        <v>1830</v>
      </c>
      <c r="D754" s="2" t="s">
        <v>525</v>
      </c>
      <c r="E754" s="2" t="s">
        <v>256</v>
      </c>
      <c r="F754" s="2" t="s">
        <v>33</v>
      </c>
      <c r="G754" s="2" t="s">
        <v>203</v>
      </c>
      <c r="H754" s="3">
        <v>2</v>
      </c>
      <c r="I754" s="3">
        <v>116.36</v>
      </c>
      <c r="J754" s="2">
        <v>0.25</v>
      </c>
      <c r="K754" s="3">
        <v>8.73</v>
      </c>
      <c r="L754" s="3">
        <v>1.61</v>
      </c>
      <c r="M754" s="3">
        <v>184.88</v>
      </c>
      <c r="N754" s="2" t="s">
        <v>35</v>
      </c>
      <c r="O754" s="2" t="s">
        <v>144</v>
      </c>
      <c r="P754" s="2" t="s">
        <v>173</v>
      </c>
      <c r="Q754" s="2" t="s">
        <v>174</v>
      </c>
      <c r="R754" s="2" t="s">
        <v>28</v>
      </c>
    </row>
    <row r="755" spans="1:18" x14ac:dyDescent="0.3">
      <c r="A755" s="5" t="s">
        <v>1831</v>
      </c>
      <c r="B755" s="4">
        <v>44896</v>
      </c>
      <c r="C755" s="5" t="s">
        <v>1832</v>
      </c>
      <c r="D755" s="5" t="s">
        <v>323</v>
      </c>
      <c r="E755" s="5" t="s">
        <v>386</v>
      </c>
      <c r="F755" s="5" t="s">
        <v>43</v>
      </c>
      <c r="G755" s="5" t="s">
        <v>90</v>
      </c>
      <c r="H755" s="6">
        <v>2</v>
      </c>
      <c r="I755" s="6">
        <v>535.91</v>
      </c>
      <c r="J755" s="5">
        <v>0</v>
      </c>
      <c r="K755" s="6">
        <v>53.59</v>
      </c>
      <c r="L755" s="6">
        <v>6.09</v>
      </c>
      <c r="M755" s="6">
        <v>1131.5</v>
      </c>
      <c r="N755" s="5" t="s">
        <v>24</v>
      </c>
      <c r="O755" s="5" t="s">
        <v>25</v>
      </c>
      <c r="P755" s="5" t="s">
        <v>173</v>
      </c>
      <c r="Q755" s="5" t="s">
        <v>174</v>
      </c>
      <c r="R755" s="5" t="s">
        <v>38</v>
      </c>
    </row>
    <row r="756" spans="1:18" x14ac:dyDescent="0.3">
      <c r="A756" s="2" t="s">
        <v>1833</v>
      </c>
      <c r="B756" s="1">
        <v>45040</v>
      </c>
      <c r="C756" s="2" t="s">
        <v>1834</v>
      </c>
      <c r="D756" s="2" t="s">
        <v>517</v>
      </c>
      <c r="E756" s="2" t="s">
        <v>32</v>
      </c>
      <c r="F756" s="2" t="s">
        <v>89</v>
      </c>
      <c r="G756" s="2" t="s">
        <v>203</v>
      </c>
      <c r="H756" s="3">
        <v>1</v>
      </c>
      <c r="I756" s="3">
        <v>6.85</v>
      </c>
      <c r="J756" s="2">
        <v>0.15</v>
      </c>
      <c r="K756" s="3">
        <v>0.7</v>
      </c>
      <c r="L756" s="3">
        <v>5.57</v>
      </c>
      <c r="M756" s="3">
        <v>12.09</v>
      </c>
      <c r="N756" s="2" t="s">
        <v>123</v>
      </c>
      <c r="O756" s="2" t="s">
        <v>25</v>
      </c>
      <c r="P756" s="2" t="s">
        <v>26</v>
      </c>
      <c r="Q756" s="2" t="s">
        <v>27</v>
      </c>
      <c r="R756" s="2" t="s">
        <v>38</v>
      </c>
    </row>
    <row r="757" spans="1:18" x14ac:dyDescent="0.3">
      <c r="A757" s="5" t="s">
        <v>1835</v>
      </c>
      <c r="B757" s="4">
        <v>44765</v>
      </c>
      <c r="C757" s="5" t="s">
        <v>1836</v>
      </c>
      <c r="D757" s="5" t="s">
        <v>550</v>
      </c>
      <c r="E757" s="5" t="s">
        <v>216</v>
      </c>
      <c r="F757" s="5" t="s">
        <v>33</v>
      </c>
      <c r="G757" s="5" t="s">
        <v>23</v>
      </c>
      <c r="H757" s="6">
        <v>5</v>
      </c>
      <c r="I757" s="6">
        <v>106.25</v>
      </c>
      <c r="J757" s="5">
        <v>0.25</v>
      </c>
      <c r="K757" s="6">
        <v>19.920000000000002</v>
      </c>
      <c r="L757" s="6">
        <v>4.62</v>
      </c>
      <c r="M757" s="6">
        <v>422.98</v>
      </c>
      <c r="N757" s="5" t="s">
        <v>35</v>
      </c>
      <c r="O757" s="5" t="s">
        <v>25</v>
      </c>
      <c r="P757" s="5" t="s">
        <v>257</v>
      </c>
      <c r="Q757" s="5" t="s">
        <v>69</v>
      </c>
      <c r="R757" s="5" t="s">
        <v>76</v>
      </c>
    </row>
    <row r="758" spans="1:18" x14ac:dyDescent="0.3">
      <c r="A758" s="2" t="s">
        <v>1837</v>
      </c>
      <c r="B758" s="1">
        <v>44228</v>
      </c>
      <c r="C758" s="2" t="s">
        <v>1838</v>
      </c>
      <c r="D758" s="2" t="s">
        <v>957</v>
      </c>
      <c r="E758" s="2" t="s">
        <v>324</v>
      </c>
      <c r="F758" s="2" t="s">
        <v>33</v>
      </c>
      <c r="G758" s="2" t="s">
        <v>66</v>
      </c>
      <c r="H758" s="3">
        <v>5</v>
      </c>
      <c r="I758" s="3">
        <v>569.91</v>
      </c>
      <c r="J758" s="2">
        <v>0.05</v>
      </c>
      <c r="K758" s="3">
        <v>487.27</v>
      </c>
      <c r="L758" s="3">
        <v>9.11</v>
      </c>
      <c r="M758" s="3">
        <v>3203.45</v>
      </c>
      <c r="N758" s="2" t="s">
        <v>123</v>
      </c>
      <c r="O758" s="2" t="s">
        <v>107</v>
      </c>
      <c r="P758" s="2" t="s">
        <v>26</v>
      </c>
      <c r="Q758" s="2" t="s">
        <v>27</v>
      </c>
      <c r="R758" s="2" t="s">
        <v>38</v>
      </c>
    </row>
    <row r="759" spans="1:18" x14ac:dyDescent="0.3">
      <c r="A759" s="5" t="s">
        <v>1839</v>
      </c>
      <c r="B759" s="4">
        <v>45077</v>
      </c>
      <c r="C759" s="5" t="s">
        <v>1840</v>
      </c>
      <c r="D759" s="5" t="s">
        <v>193</v>
      </c>
      <c r="E759" s="5" t="s">
        <v>231</v>
      </c>
      <c r="F759" s="5" t="s">
        <v>143</v>
      </c>
      <c r="G759" s="5" t="s">
        <v>23</v>
      </c>
      <c r="H759" s="6">
        <v>1</v>
      </c>
      <c r="I759" s="6">
        <v>341.91</v>
      </c>
      <c r="J759" s="5">
        <v>0.1</v>
      </c>
      <c r="K759" s="6">
        <v>15.39</v>
      </c>
      <c r="L759" s="6">
        <v>12.55</v>
      </c>
      <c r="M759" s="6">
        <v>335.66</v>
      </c>
      <c r="N759" s="5" t="s">
        <v>58</v>
      </c>
      <c r="O759" s="5" t="s">
        <v>25</v>
      </c>
      <c r="P759" s="5" t="s">
        <v>74</v>
      </c>
      <c r="Q759" s="5" t="s">
        <v>75</v>
      </c>
      <c r="R759" s="5" t="s">
        <v>38</v>
      </c>
    </row>
    <row r="760" spans="1:18" x14ac:dyDescent="0.3">
      <c r="A760" s="2" t="s">
        <v>1841</v>
      </c>
      <c r="B760" s="1">
        <v>44464</v>
      </c>
      <c r="C760" s="2" t="s">
        <v>1842</v>
      </c>
      <c r="D760" s="2" t="s">
        <v>596</v>
      </c>
      <c r="E760" s="2" t="s">
        <v>294</v>
      </c>
      <c r="F760" s="2" t="s">
        <v>89</v>
      </c>
      <c r="G760" s="2" t="s">
        <v>100</v>
      </c>
      <c r="H760" s="3">
        <v>5</v>
      </c>
      <c r="I760" s="3">
        <v>240.42</v>
      </c>
      <c r="J760" s="2">
        <v>0.2</v>
      </c>
      <c r="K760" s="3">
        <v>0</v>
      </c>
      <c r="L760" s="3">
        <v>12.58</v>
      </c>
      <c r="M760" s="3">
        <v>974.26</v>
      </c>
      <c r="N760" s="2" t="s">
        <v>24</v>
      </c>
      <c r="O760" s="2" t="s">
        <v>25</v>
      </c>
      <c r="P760" s="2" t="s">
        <v>44</v>
      </c>
      <c r="Q760" s="2" t="s">
        <v>37</v>
      </c>
      <c r="R760" s="2" t="s">
        <v>38</v>
      </c>
    </row>
    <row r="761" spans="1:18" x14ac:dyDescent="0.3">
      <c r="A761" s="5" t="s">
        <v>1843</v>
      </c>
      <c r="B761" s="4">
        <v>44987</v>
      </c>
      <c r="C761" s="5" t="s">
        <v>1844</v>
      </c>
      <c r="D761" s="5" t="s">
        <v>785</v>
      </c>
      <c r="E761" s="5" t="s">
        <v>190</v>
      </c>
      <c r="F761" s="5" t="s">
        <v>33</v>
      </c>
      <c r="G761" s="5" t="s">
        <v>66</v>
      </c>
      <c r="H761" s="6">
        <v>2</v>
      </c>
      <c r="I761" s="6">
        <v>340.07</v>
      </c>
      <c r="J761" s="5">
        <v>0</v>
      </c>
      <c r="K761" s="6">
        <v>54.41</v>
      </c>
      <c r="L761" s="6">
        <v>5.31</v>
      </c>
      <c r="M761" s="6">
        <v>739.86</v>
      </c>
      <c r="N761" s="5" t="s">
        <v>24</v>
      </c>
      <c r="O761" s="5" t="s">
        <v>107</v>
      </c>
      <c r="P761" s="5" t="s">
        <v>112</v>
      </c>
      <c r="Q761" s="5" t="s">
        <v>113</v>
      </c>
      <c r="R761" s="5" t="s">
        <v>38</v>
      </c>
    </row>
    <row r="762" spans="1:18" x14ac:dyDescent="0.3">
      <c r="A762" s="2" t="s">
        <v>1845</v>
      </c>
      <c r="B762" s="1">
        <v>45017</v>
      </c>
      <c r="C762" s="2" t="s">
        <v>1846</v>
      </c>
      <c r="D762" s="2" t="s">
        <v>215</v>
      </c>
      <c r="E762" s="2" t="s">
        <v>190</v>
      </c>
      <c r="F762" s="2" t="s">
        <v>33</v>
      </c>
      <c r="G762" s="2" t="s">
        <v>268</v>
      </c>
      <c r="H762" s="3">
        <v>3</v>
      </c>
      <c r="I762" s="3">
        <v>400.82</v>
      </c>
      <c r="J762" s="2">
        <v>0.2</v>
      </c>
      <c r="K762" s="3">
        <v>48.1</v>
      </c>
      <c r="L762" s="3">
        <v>13.82</v>
      </c>
      <c r="M762" s="3">
        <v>1023.89</v>
      </c>
      <c r="N762" s="2" t="s">
        <v>24</v>
      </c>
      <c r="O762" s="2" t="s">
        <v>107</v>
      </c>
      <c r="P762" s="2" t="s">
        <v>44</v>
      </c>
      <c r="Q762" s="2" t="s">
        <v>37</v>
      </c>
      <c r="R762" s="2" t="s">
        <v>38</v>
      </c>
    </row>
    <row r="763" spans="1:18" x14ac:dyDescent="0.3">
      <c r="A763" s="5" t="s">
        <v>1847</v>
      </c>
      <c r="B763" s="4">
        <v>45069</v>
      </c>
      <c r="C763" s="5" t="s">
        <v>1848</v>
      </c>
      <c r="D763" s="5" t="s">
        <v>634</v>
      </c>
      <c r="E763" s="5" t="s">
        <v>65</v>
      </c>
      <c r="F763" s="5" t="s">
        <v>33</v>
      </c>
      <c r="G763" s="5" t="s">
        <v>49</v>
      </c>
      <c r="H763" s="6">
        <v>3</v>
      </c>
      <c r="I763" s="6">
        <v>299.57</v>
      </c>
      <c r="J763" s="5">
        <v>0</v>
      </c>
      <c r="K763" s="6">
        <v>107.85</v>
      </c>
      <c r="L763" s="6">
        <v>9.8699999999999992</v>
      </c>
      <c r="M763" s="6">
        <v>1016.43</v>
      </c>
      <c r="N763" s="5" t="s">
        <v>123</v>
      </c>
      <c r="O763" s="5" t="s">
        <v>25</v>
      </c>
      <c r="P763" s="5" t="s">
        <v>173</v>
      </c>
      <c r="Q763" s="5" t="s">
        <v>174</v>
      </c>
      <c r="R763" s="5" t="s">
        <v>38</v>
      </c>
    </row>
    <row r="764" spans="1:18" x14ac:dyDescent="0.3">
      <c r="A764" s="2" t="s">
        <v>1849</v>
      </c>
      <c r="B764" s="1">
        <v>44563</v>
      </c>
      <c r="C764" s="2" t="s">
        <v>1850</v>
      </c>
      <c r="D764" s="2" t="s">
        <v>477</v>
      </c>
      <c r="E764" s="2" t="s">
        <v>111</v>
      </c>
      <c r="F764" s="2" t="s">
        <v>89</v>
      </c>
      <c r="G764" s="2" t="s">
        <v>100</v>
      </c>
      <c r="H764" s="3">
        <v>3</v>
      </c>
      <c r="I764" s="3">
        <v>293.74</v>
      </c>
      <c r="J764" s="2">
        <v>0.1</v>
      </c>
      <c r="K764" s="3">
        <v>39.65</v>
      </c>
      <c r="L764" s="3">
        <v>6.29</v>
      </c>
      <c r="M764" s="3">
        <v>839.04</v>
      </c>
      <c r="N764" s="2" t="s">
        <v>24</v>
      </c>
      <c r="O764" s="2" t="s">
        <v>107</v>
      </c>
      <c r="P764" s="2" t="s">
        <v>124</v>
      </c>
      <c r="Q764" s="2" t="s">
        <v>125</v>
      </c>
      <c r="R764" s="2" t="s">
        <v>38</v>
      </c>
    </row>
    <row r="765" spans="1:18" x14ac:dyDescent="0.3">
      <c r="A765" s="5" t="s">
        <v>1851</v>
      </c>
      <c r="B765" s="4">
        <v>44065</v>
      </c>
      <c r="C765" s="5" t="s">
        <v>1852</v>
      </c>
      <c r="D765" s="5" t="s">
        <v>424</v>
      </c>
      <c r="E765" s="5" t="s">
        <v>291</v>
      </c>
      <c r="F765" s="5" t="s">
        <v>89</v>
      </c>
      <c r="G765" s="5" t="s">
        <v>203</v>
      </c>
      <c r="H765" s="6">
        <v>5</v>
      </c>
      <c r="I765" s="6">
        <v>238.68</v>
      </c>
      <c r="J765" s="5">
        <v>0.2</v>
      </c>
      <c r="K765" s="6">
        <v>114.57</v>
      </c>
      <c r="L765" s="6">
        <v>1.51</v>
      </c>
      <c r="M765" s="6">
        <v>1070.8</v>
      </c>
      <c r="N765" s="5" t="s">
        <v>50</v>
      </c>
      <c r="O765" s="5" t="s">
        <v>25</v>
      </c>
      <c r="P765" s="5" t="s">
        <v>173</v>
      </c>
      <c r="Q765" s="5" t="s">
        <v>174</v>
      </c>
      <c r="R765" s="5" t="s">
        <v>28</v>
      </c>
    </row>
    <row r="766" spans="1:18" x14ac:dyDescent="0.3">
      <c r="A766" s="2" t="s">
        <v>1853</v>
      </c>
      <c r="B766" s="1">
        <v>44488</v>
      </c>
      <c r="C766" s="2" t="s">
        <v>1854</v>
      </c>
      <c r="D766" s="2" t="s">
        <v>110</v>
      </c>
      <c r="E766" s="2" t="s">
        <v>42</v>
      </c>
      <c r="F766" s="2" t="s">
        <v>143</v>
      </c>
      <c r="G766" s="2" t="s">
        <v>90</v>
      </c>
      <c r="H766" s="3">
        <v>4</v>
      </c>
      <c r="I766" s="3">
        <v>72.73</v>
      </c>
      <c r="J766" s="2">
        <v>0.05</v>
      </c>
      <c r="K766" s="3">
        <v>13.82</v>
      </c>
      <c r="L766" s="3">
        <v>0.72</v>
      </c>
      <c r="M766" s="3">
        <v>290.91000000000003</v>
      </c>
      <c r="N766" s="2" t="s">
        <v>35</v>
      </c>
      <c r="O766" s="2" t="s">
        <v>25</v>
      </c>
      <c r="P766" s="2" t="s">
        <v>60</v>
      </c>
      <c r="Q766" s="2" t="s">
        <v>37</v>
      </c>
      <c r="R766" s="2" t="s">
        <v>38</v>
      </c>
    </row>
    <row r="767" spans="1:18" x14ac:dyDescent="0.3">
      <c r="A767" s="5" t="s">
        <v>1855</v>
      </c>
      <c r="B767" s="4">
        <v>44581</v>
      </c>
      <c r="C767" s="5" t="s">
        <v>1856</v>
      </c>
      <c r="D767" s="5" t="s">
        <v>343</v>
      </c>
      <c r="E767" s="5" t="s">
        <v>691</v>
      </c>
      <c r="F767" s="5" t="s">
        <v>43</v>
      </c>
      <c r="G767" s="5" t="s">
        <v>57</v>
      </c>
      <c r="H767" s="6">
        <v>1</v>
      </c>
      <c r="I767" s="6">
        <v>97.37</v>
      </c>
      <c r="J767" s="5">
        <v>0.1</v>
      </c>
      <c r="K767" s="6">
        <v>7.01</v>
      </c>
      <c r="L767" s="6">
        <v>7.33</v>
      </c>
      <c r="M767" s="6">
        <v>101.97</v>
      </c>
      <c r="N767" s="5" t="s">
        <v>58</v>
      </c>
      <c r="O767" s="5" t="s">
        <v>25</v>
      </c>
      <c r="P767" s="5" t="s">
        <v>124</v>
      </c>
      <c r="Q767" s="5" t="s">
        <v>125</v>
      </c>
      <c r="R767" s="5" t="s">
        <v>61</v>
      </c>
    </row>
    <row r="768" spans="1:18" x14ac:dyDescent="0.3">
      <c r="A768" s="2" t="s">
        <v>1857</v>
      </c>
      <c r="B768" s="1">
        <v>44418</v>
      </c>
      <c r="C768" s="2" t="s">
        <v>1858</v>
      </c>
      <c r="D768" s="2" t="s">
        <v>623</v>
      </c>
      <c r="E768" s="2" t="s">
        <v>498</v>
      </c>
      <c r="F768" s="2" t="s">
        <v>33</v>
      </c>
      <c r="G768" s="2" t="s">
        <v>34</v>
      </c>
      <c r="H768" s="3">
        <v>4</v>
      </c>
      <c r="I768" s="3">
        <v>149.24</v>
      </c>
      <c r="J768" s="2">
        <v>0.3</v>
      </c>
      <c r="K768" s="3">
        <v>20.89</v>
      </c>
      <c r="L768" s="3">
        <v>3.18</v>
      </c>
      <c r="M768" s="3">
        <v>441.94</v>
      </c>
      <c r="N768" s="2" t="s">
        <v>24</v>
      </c>
      <c r="O768" s="2" t="s">
        <v>25</v>
      </c>
      <c r="P768" s="2" t="s">
        <v>145</v>
      </c>
      <c r="Q768" s="2" t="s">
        <v>146</v>
      </c>
      <c r="R768" s="2" t="s">
        <v>76</v>
      </c>
    </row>
    <row r="769" spans="1:18" x14ac:dyDescent="0.3">
      <c r="A769" s="5" t="s">
        <v>1859</v>
      </c>
      <c r="B769" s="4">
        <v>44863</v>
      </c>
      <c r="C769" s="5" t="s">
        <v>1860</v>
      </c>
      <c r="D769" s="5" t="s">
        <v>1176</v>
      </c>
      <c r="E769" s="5" t="s">
        <v>169</v>
      </c>
      <c r="F769" s="5" t="s">
        <v>33</v>
      </c>
      <c r="G769" s="5" t="s">
        <v>23</v>
      </c>
      <c r="H769" s="6">
        <v>1</v>
      </c>
      <c r="I769" s="6">
        <v>477.44</v>
      </c>
      <c r="J769" s="5">
        <v>0</v>
      </c>
      <c r="K769" s="6">
        <v>0</v>
      </c>
      <c r="L769" s="6">
        <v>14.59</v>
      </c>
      <c r="M769" s="6">
        <v>492.03</v>
      </c>
      <c r="N769" s="5" t="s">
        <v>58</v>
      </c>
      <c r="O769" s="5" t="s">
        <v>107</v>
      </c>
      <c r="P769" s="5" t="s">
        <v>60</v>
      </c>
      <c r="Q769" s="5" t="s">
        <v>37</v>
      </c>
      <c r="R769" s="5" t="s">
        <v>28</v>
      </c>
    </row>
    <row r="770" spans="1:18" x14ac:dyDescent="0.3">
      <c r="A770" s="2" t="s">
        <v>1861</v>
      </c>
      <c r="B770" s="1">
        <v>44928</v>
      </c>
      <c r="C770" s="2" t="s">
        <v>1862</v>
      </c>
      <c r="D770" s="2" t="s">
        <v>477</v>
      </c>
      <c r="E770" s="2" t="s">
        <v>132</v>
      </c>
      <c r="F770" s="2" t="s">
        <v>43</v>
      </c>
      <c r="G770" s="2" t="s">
        <v>268</v>
      </c>
      <c r="H770" s="3">
        <v>4</v>
      </c>
      <c r="I770" s="3">
        <v>239.64</v>
      </c>
      <c r="J770" s="2">
        <v>0.05</v>
      </c>
      <c r="K770" s="3">
        <v>109.28</v>
      </c>
      <c r="L770" s="3">
        <v>5.29</v>
      </c>
      <c r="M770" s="3">
        <v>1025.2</v>
      </c>
      <c r="N770" s="2" t="s">
        <v>58</v>
      </c>
      <c r="O770" s="2" t="s">
        <v>25</v>
      </c>
      <c r="P770" s="2" t="s">
        <v>165</v>
      </c>
      <c r="Q770" s="2" t="s">
        <v>37</v>
      </c>
      <c r="R770" s="2" t="s">
        <v>38</v>
      </c>
    </row>
    <row r="771" spans="1:18" x14ac:dyDescent="0.3">
      <c r="A771" s="5" t="s">
        <v>1863</v>
      </c>
      <c r="B771" s="4">
        <v>44784</v>
      </c>
      <c r="C771" s="5" t="s">
        <v>1850</v>
      </c>
      <c r="D771" s="5" t="s">
        <v>1173</v>
      </c>
      <c r="E771" s="5" t="s">
        <v>164</v>
      </c>
      <c r="F771" s="5" t="s">
        <v>43</v>
      </c>
      <c r="G771" s="5" t="s">
        <v>57</v>
      </c>
      <c r="H771" s="6">
        <v>1</v>
      </c>
      <c r="I771" s="6">
        <v>462.85</v>
      </c>
      <c r="J771" s="5">
        <v>0</v>
      </c>
      <c r="K771" s="6">
        <v>55.54</v>
      </c>
      <c r="L771" s="6">
        <v>12.33</v>
      </c>
      <c r="M771" s="6">
        <v>530.72</v>
      </c>
      <c r="N771" s="5" t="s">
        <v>24</v>
      </c>
      <c r="O771" s="5" t="s">
        <v>82</v>
      </c>
      <c r="P771" s="5" t="s">
        <v>74</v>
      </c>
      <c r="Q771" s="5" t="s">
        <v>75</v>
      </c>
      <c r="R771" s="5" t="s">
        <v>38</v>
      </c>
    </row>
    <row r="772" spans="1:18" x14ac:dyDescent="0.3">
      <c r="A772" s="2" t="s">
        <v>1864</v>
      </c>
      <c r="B772" s="1">
        <v>44322</v>
      </c>
      <c r="C772" s="2" t="s">
        <v>1865</v>
      </c>
      <c r="D772" s="2" t="s">
        <v>911</v>
      </c>
      <c r="E772" s="2" t="s">
        <v>197</v>
      </c>
      <c r="F772" s="2" t="s">
        <v>81</v>
      </c>
      <c r="G772" s="2" t="s">
        <v>23</v>
      </c>
      <c r="H772" s="3">
        <v>3</v>
      </c>
      <c r="I772" s="3">
        <v>431.18</v>
      </c>
      <c r="J772" s="2">
        <v>0.05</v>
      </c>
      <c r="K772" s="3">
        <v>98.31</v>
      </c>
      <c r="L772" s="3">
        <v>9.2200000000000006</v>
      </c>
      <c r="M772" s="3">
        <v>1336.39</v>
      </c>
      <c r="N772" s="2" t="s">
        <v>67</v>
      </c>
      <c r="O772" s="2" t="s">
        <v>25</v>
      </c>
      <c r="P772" s="2" t="s">
        <v>36</v>
      </c>
      <c r="Q772" s="2" t="s">
        <v>37</v>
      </c>
      <c r="R772" s="2" t="s">
        <v>38</v>
      </c>
    </row>
    <row r="773" spans="1:18" x14ac:dyDescent="0.3">
      <c r="A773" s="5" t="s">
        <v>1866</v>
      </c>
      <c r="B773" s="4">
        <v>44743</v>
      </c>
      <c r="C773" s="5" t="s">
        <v>1867</v>
      </c>
      <c r="D773" s="5" t="s">
        <v>655</v>
      </c>
      <c r="E773" s="5" t="s">
        <v>498</v>
      </c>
      <c r="F773" s="5" t="s">
        <v>143</v>
      </c>
      <c r="G773" s="5" t="s">
        <v>49</v>
      </c>
      <c r="H773" s="6">
        <v>3</v>
      </c>
      <c r="I773" s="6">
        <v>442.03</v>
      </c>
      <c r="J773" s="5">
        <v>0.2</v>
      </c>
      <c r="K773" s="6">
        <v>53.04</v>
      </c>
      <c r="L773" s="6">
        <v>2.11</v>
      </c>
      <c r="M773" s="6">
        <v>1116.02</v>
      </c>
      <c r="N773" s="5" t="s">
        <v>58</v>
      </c>
      <c r="O773" s="5" t="s">
        <v>25</v>
      </c>
      <c r="P773" s="5" t="s">
        <v>165</v>
      </c>
      <c r="Q773" s="5" t="s">
        <v>37</v>
      </c>
      <c r="R773" s="5" t="s">
        <v>183</v>
      </c>
    </row>
    <row r="774" spans="1:18" x14ac:dyDescent="0.3">
      <c r="A774" s="2" t="s">
        <v>1868</v>
      </c>
      <c r="B774" s="1">
        <v>45107</v>
      </c>
      <c r="C774" s="2" t="s">
        <v>1869</v>
      </c>
      <c r="D774" s="2" t="s">
        <v>690</v>
      </c>
      <c r="E774" s="2" t="s">
        <v>425</v>
      </c>
      <c r="F774" s="2" t="s">
        <v>33</v>
      </c>
      <c r="G774" s="2" t="s">
        <v>268</v>
      </c>
      <c r="H774" s="3">
        <v>2</v>
      </c>
      <c r="I774" s="3">
        <v>427.05</v>
      </c>
      <c r="J774" s="2">
        <v>0</v>
      </c>
      <c r="K774" s="3">
        <v>102.49</v>
      </c>
      <c r="L774" s="3">
        <v>9.06</v>
      </c>
      <c r="M774" s="3">
        <v>965.65</v>
      </c>
      <c r="N774" s="2" t="s">
        <v>24</v>
      </c>
      <c r="O774" s="2" t="s">
        <v>25</v>
      </c>
      <c r="P774" s="2" t="s">
        <v>74</v>
      </c>
      <c r="Q774" s="2" t="s">
        <v>75</v>
      </c>
      <c r="R774" s="2" t="s">
        <v>38</v>
      </c>
    </row>
    <row r="775" spans="1:18" x14ac:dyDescent="0.3">
      <c r="A775" s="5" t="s">
        <v>1870</v>
      </c>
      <c r="B775" s="4">
        <v>45084</v>
      </c>
      <c r="C775" s="5" t="s">
        <v>1871</v>
      </c>
      <c r="D775" s="5" t="s">
        <v>767</v>
      </c>
      <c r="E775" s="5" t="s">
        <v>216</v>
      </c>
      <c r="F775" s="5" t="s">
        <v>22</v>
      </c>
      <c r="G775" s="5" t="s">
        <v>198</v>
      </c>
      <c r="H775" s="6">
        <v>4</v>
      </c>
      <c r="I775" s="6">
        <v>22.31</v>
      </c>
      <c r="J775" s="5">
        <v>0</v>
      </c>
      <c r="K775" s="6">
        <v>7.14</v>
      </c>
      <c r="L775" s="6">
        <v>11.55</v>
      </c>
      <c r="M775" s="6">
        <v>107.93</v>
      </c>
      <c r="N775" s="5" t="s">
        <v>50</v>
      </c>
      <c r="O775" s="5" t="s">
        <v>25</v>
      </c>
      <c r="P775" s="5" t="s">
        <v>60</v>
      </c>
      <c r="Q775" s="5" t="s">
        <v>37</v>
      </c>
      <c r="R775" s="5" t="s">
        <v>38</v>
      </c>
    </row>
    <row r="776" spans="1:18" x14ac:dyDescent="0.3">
      <c r="A776" s="2" t="s">
        <v>1872</v>
      </c>
      <c r="B776" s="1">
        <v>45373</v>
      </c>
      <c r="C776" s="2" t="s">
        <v>1873</v>
      </c>
      <c r="D776" s="2" t="s">
        <v>511</v>
      </c>
      <c r="E776" s="2" t="s">
        <v>271</v>
      </c>
      <c r="F776" s="2" t="s">
        <v>89</v>
      </c>
      <c r="G776" s="2" t="s">
        <v>23</v>
      </c>
      <c r="H776" s="3">
        <v>1</v>
      </c>
      <c r="I776" s="3">
        <v>532.46</v>
      </c>
      <c r="J776" s="2">
        <v>0.15</v>
      </c>
      <c r="K776" s="3">
        <v>36.21</v>
      </c>
      <c r="L776" s="3">
        <v>2.8</v>
      </c>
      <c r="M776" s="3">
        <v>491.6</v>
      </c>
      <c r="N776" s="2" t="s">
        <v>67</v>
      </c>
      <c r="O776" s="2" t="s">
        <v>144</v>
      </c>
      <c r="P776" s="2" t="s">
        <v>74</v>
      </c>
      <c r="Q776" s="2" t="s">
        <v>75</v>
      </c>
      <c r="R776" s="2" t="s">
        <v>28</v>
      </c>
    </row>
    <row r="777" spans="1:18" x14ac:dyDescent="0.3">
      <c r="A777" s="5" t="s">
        <v>1874</v>
      </c>
      <c r="B777" s="4">
        <v>45028</v>
      </c>
      <c r="C777" s="5" t="s">
        <v>1875</v>
      </c>
      <c r="D777" s="5" t="s">
        <v>582</v>
      </c>
      <c r="E777" s="5" t="s">
        <v>498</v>
      </c>
      <c r="F777" s="5" t="s">
        <v>22</v>
      </c>
      <c r="G777" s="5" t="s">
        <v>66</v>
      </c>
      <c r="H777" s="6">
        <v>3</v>
      </c>
      <c r="I777" s="6">
        <v>205.45</v>
      </c>
      <c r="J777" s="5">
        <v>0</v>
      </c>
      <c r="K777" s="6">
        <v>110.94</v>
      </c>
      <c r="L777" s="6">
        <v>2.67</v>
      </c>
      <c r="M777" s="6">
        <v>729.96</v>
      </c>
      <c r="N777" s="5" t="s">
        <v>35</v>
      </c>
      <c r="O777" s="5" t="s">
        <v>107</v>
      </c>
      <c r="P777" s="5" t="s">
        <v>74</v>
      </c>
      <c r="Q777" s="5" t="s">
        <v>75</v>
      </c>
      <c r="R777" s="5" t="s">
        <v>28</v>
      </c>
    </row>
    <row r="778" spans="1:18" x14ac:dyDescent="0.3">
      <c r="A778" s="2" t="s">
        <v>1876</v>
      </c>
      <c r="B778" s="1">
        <v>45507</v>
      </c>
      <c r="C778" s="2" t="s">
        <v>1877</v>
      </c>
      <c r="D778" s="2" t="s">
        <v>1632</v>
      </c>
      <c r="E778" s="2" t="s">
        <v>283</v>
      </c>
      <c r="F778" s="2" t="s">
        <v>43</v>
      </c>
      <c r="G778" s="2" t="s">
        <v>198</v>
      </c>
      <c r="H778" s="3">
        <v>1</v>
      </c>
      <c r="I778" s="3">
        <v>438.95</v>
      </c>
      <c r="J778" s="2">
        <v>0.1</v>
      </c>
      <c r="K778" s="3">
        <v>31.6</v>
      </c>
      <c r="L778" s="3">
        <v>1.46</v>
      </c>
      <c r="M778" s="3">
        <v>428.12</v>
      </c>
      <c r="N778" s="2" t="s">
        <v>67</v>
      </c>
      <c r="O778" s="2" t="s">
        <v>25</v>
      </c>
      <c r="P778" s="2" t="s">
        <v>165</v>
      </c>
      <c r="Q778" s="2" t="s">
        <v>37</v>
      </c>
      <c r="R778" s="2" t="s">
        <v>38</v>
      </c>
    </row>
    <row r="779" spans="1:18" x14ac:dyDescent="0.3">
      <c r="A779" s="5" t="s">
        <v>1878</v>
      </c>
      <c r="B779" s="4">
        <v>45022</v>
      </c>
      <c r="C779" s="5" t="s">
        <v>1879</v>
      </c>
      <c r="D779" s="5" t="s">
        <v>566</v>
      </c>
      <c r="E779" s="5" t="s">
        <v>169</v>
      </c>
      <c r="F779" s="5" t="s">
        <v>33</v>
      </c>
      <c r="G779" s="5" t="s">
        <v>49</v>
      </c>
      <c r="H779" s="6">
        <v>3</v>
      </c>
      <c r="I779" s="6">
        <v>232.27</v>
      </c>
      <c r="J779" s="5">
        <v>0.1</v>
      </c>
      <c r="K779" s="6">
        <v>31.36</v>
      </c>
      <c r="L779" s="6">
        <v>6.69</v>
      </c>
      <c r="M779" s="6">
        <v>665.18</v>
      </c>
      <c r="N779" s="5" t="s">
        <v>35</v>
      </c>
      <c r="O779" s="5" t="s">
        <v>25</v>
      </c>
      <c r="P779" s="5" t="s">
        <v>68</v>
      </c>
      <c r="Q779" s="5" t="s">
        <v>69</v>
      </c>
      <c r="R779" s="5" t="s">
        <v>28</v>
      </c>
    </row>
    <row r="780" spans="1:18" x14ac:dyDescent="0.3">
      <c r="A780" s="2" t="s">
        <v>1880</v>
      </c>
      <c r="B780" s="1">
        <v>44000</v>
      </c>
      <c r="C780" s="2" t="s">
        <v>1881</v>
      </c>
      <c r="D780" s="2" t="s">
        <v>1882</v>
      </c>
      <c r="E780" s="2" t="s">
        <v>283</v>
      </c>
      <c r="F780" s="2" t="s">
        <v>22</v>
      </c>
      <c r="G780" s="2" t="s">
        <v>203</v>
      </c>
      <c r="H780" s="3">
        <v>1</v>
      </c>
      <c r="I780" s="3">
        <v>353.27</v>
      </c>
      <c r="J780" s="2">
        <v>0.05</v>
      </c>
      <c r="K780" s="3">
        <v>16.78</v>
      </c>
      <c r="L780" s="3">
        <v>4.5</v>
      </c>
      <c r="M780" s="3">
        <v>356.89</v>
      </c>
      <c r="N780" s="2" t="s">
        <v>58</v>
      </c>
      <c r="O780" s="2" t="s">
        <v>25</v>
      </c>
      <c r="P780" s="2" t="s">
        <v>95</v>
      </c>
      <c r="Q780" s="2" t="s">
        <v>37</v>
      </c>
      <c r="R780" s="2" t="s">
        <v>28</v>
      </c>
    </row>
    <row r="781" spans="1:18" x14ac:dyDescent="0.3">
      <c r="A781" s="5" t="s">
        <v>1883</v>
      </c>
      <c r="B781" s="4">
        <v>45247</v>
      </c>
      <c r="C781" s="5" t="s">
        <v>1884</v>
      </c>
      <c r="D781" s="5" t="s">
        <v>110</v>
      </c>
      <c r="E781" s="5" t="s">
        <v>365</v>
      </c>
      <c r="F781" s="5" t="s">
        <v>89</v>
      </c>
      <c r="G781" s="5" t="s">
        <v>66</v>
      </c>
      <c r="H781" s="6">
        <v>4</v>
      </c>
      <c r="I781" s="6">
        <v>334.8</v>
      </c>
      <c r="J781" s="5">
        <v>0</v>
      </c>
      <c r="K781" s="6">
        <v>241.06</v>
      </c>
      <c r="L781" s="6">
        <v>6.64</v>
      </c>
      <c r="M781" s="6">
        <v>1586.9</v>
      </c>
      <c r="N781" s="5" t="s">
        <v>123</v>
      </c>
      <c r="O781" s="5" t="s">
        <v>25</v>
      </c>
      <c r="P781" s="5" t="s">
        <v>51</v>
      </c>
      <c r="Q781" s="5" t="s">
        <v>52</v>
      </c>
      <c r="R781" s="5" t="s">
        <v>38</v>
      </c>
    </row>
    <row r="782" spans="1:18" x14ac:dyDescent="0.3">
      <c r="A782" s="2" t="s">
        <v>1885</v>
      </c>
      <c r="B782" s="1">
        <v>44776</v>
      </c>
      <c r="C782" s="2" t="s">
        <v>1886</v>
      </c>
      <c r="D782" s="2" t="s">
        <v>469</v>
      </c>
      <c r="E782" s="2" t="s">
        <v>267</v>
      </c>
      <c r="F782" s="2" t="s">
        <v>43</v>
      </c>
      <c r="G782" s="2" t="s">
        <v>49</v>
      </c>
      <c r="H782" s="3">
        <v>1</v>
      </c>
      <c r="I782" s="3">
        <v>570.99</v>
      </c>
      <c r="J782" s="2">
        <v>0.15</v>
      </c>
      <c r="K782" s="3">
        <v>58.24</v>
      </c>
      <c r="L782" s="3">
        <v>0.54</v>
      </c>
      <c r="M782" s="3">
        <v>544.12</v>
      </c>
      <c r="N782" s="2" t="s">
        <v>58</v>
      </c>
      <c r="O782" s="2" t="s">
        <v>25</v>
      </c>
      <c r="P782" s="2" t="s">
        <v>101</v>
      </c>
      <c r="Q782" s="2" t="s">
        <v>102</v>
      </c>
      <c r="R782" s="2" t="s">
        <v>38</v>
      </c>
    </row>
    <row r="783" spans="1:18" x14ac:dyDescent="0.3">
      <c r="A783" s="5" t="s">
        <v>1887</v>
      </c>
      <c r="B783" s="4">
        <v>44625</v>
      </c>
      <c r="C783" s="5" t="s">
        <v>1888</v>
      </c>
      <c r="D783" s="5" t="s">
        <v>110</v>
      </c>
      <c r="E783" s="5" t="s">
        <v>169</v>
      </c>
      <c r="F783" s="5" t="s">
        <v>43</v>
      </c>
      <c r="G783" s="5" t="s">
        <v>198</v>
      </c>
      <c r="H783" s="6">
        <v>3</v>
      </c>
      <c r="I783" s="6">
        <v>527.74</v>
      </c>
      <c r="J783" s="5">
        <v>0</v>
      </c>
      <c r="K783" s="6">
        <v>189.99</v>
      </c>
      <c r="L783" s="6">
        <v>7.05</v>
      </c>
      <c r="M783" s="6">
        <v>1780.26</v>
      </c>
      <c r="N783" s="5" t="s">
        <v>58</v>
      </c>
      <c r="O783" s="5" t="s">
        <v>25</v>
      </c>
      <c r="P783" s="5" t="s">
        <v>51</v>
      </c>
      <c r="Q783" s="5" t="s">
        <v>52</v>
      </c>
      <c r="R783" s="5" t="s">
        <v>38</v>
      </c>
    </row>
    <row r="784" spans="1:18" x14ac:dyDescent="0.3">
      <c r="A784" s="2" t="s">
        <v>1889</v>
      </c>
      <c r="B784" s="1">
        <v>44464</v>
      </c>
      <c r="C784" s="2" t="s">
        <v>1890</v>
      </c>
      <c r="D784" s="2" t="s">
        <v>550</v>
      </c>
      <c r="E784" s="2" t="s">
        <v>294</v>
      </c>
      <c r="F784" s="2" t="s">
        <v>143</v>
      </c>
      <c r="G784" s="2" t="s">
        <v>49</v>
      </c>
      <c r="H784" s="3">
        <v>1</v>
      </c>
      <c r="I784" s="3">
        <v>532.6</v>
      </c>
      <c r="J784" s="2">
        <v>0.05</v>
      </c>
      <c r="K784" s="3">
        <v>60.72</v>
      </c>
      <c r="L784" s="3">
        <v>10.38</v>
      </c>
      <c r="M784" s="3">
        <v>577.07000000000005</v>
      </c>
      <c r="N784" s="2" t="s">
        <v>24</v>
      </c>
      <c r="O784" s="2" t="s">
        <v>25</v>
      </c>
      <c r="P784" s="2" t="s">
        <v>60</v>
      </c>
      <c r="Q784" s="2" t="s">
        <v>37</v>
      </c>
      <c r="R784" s="2" t="s">
        <v>38</v>
      </c>
    </row>
    <row r="785" spans="1:18" x14ac:dyDescent="0.3">
      <c r="A785" s="5" t="s">
        <v>1891</v>
      </c>
      <c r="B785" s="4">
        <v>45048</v>
      </c>
      <c r="C785" s="5" t="s">
        <v>1892</v>
      </c>
      <c r="D785" s="5" t="s">
        <v>1265</v>
      </c>
      <c r="E785" s="5" t="s">
        <v>177</v>
      </c>
      <c r="F785" s="5" t="s">
        <v>89</v>
      </c>
      <c r="G785" s="5" t="s">
        <v>23</v>
      </c>
      <c r="H785" s="6">
        <v>3</v>
      </c>
      <c r="I785" s="6">
        <v>596.12</v>
      </c>
      <c r="J785" s="5">
        <v>0</v>
      </c>
      <c r="K785" s="6">
        <v>143.07</v>
      </c>
      <c r="L785" s="6">
        <v>12.15</v>
      </c>
      <c r="M785" s="6">
        <v>1943.58</v>
      </c>
      <c r="N785" s="5" t="s">
        <v>58</v>
      </c>
      <c r="O785" s="5" t="s">
        <v>25</v>
      </c>
      <c r="P785" s="5" t="s">
        <v>44</v>
      </c>
      <c r="Q785" s="5" t="s">
        <v>37</v>
      </c>
      <c r="R785" s="5" t="s">
        <v>61</v>
      </c>
    </row>
    <row r="786" spans="1:18" x14ac:dyDescent="0.3">
      <c r="A786" s="2" t="s">
        <v>1893</v>
      </c>
      <c r="B786" s="1">
        <v>45371</v>
      </c>
      <c r="C786" s="2" t="s">
        <v>1894</v>
      </c>
      <c r="D786" s="2" t="s">
        <v>320</v>
      </c>
      <c r="E786" s="2" t="s">
        <v>283</v>
      </c>
      <c r="F786" s="2" t="s">
        <v>22</v>
      </c>
      <c r="G786" s="2" t="s">
        <v>268</v>
      </c>
      <c r="H786" s="3">
        <v>2</v>
      </c>
      <c r="I786" s="3">
        <v>352.31</v>
      </c>
      <c r="J786" s="2">
        <v>0.05</v>
      </c>
      <c r="K786" s="3">
        <v>53.55</v>
      </c>
      <c r="L786" s="3">
        <v>4.53</v>
      </c>
      <c r="M786" s="3">
        <v>727.47</v>
      </c>
      <c r="N786" s="2" t="s">
        <v>123</v>
      </c>
      <c r="O786" s="2" t="s">
        <v>59</v>
      </c>
      <c r="P786" s="2" t="s">
        <v>133</v>
      </c>
      <c r="Q786" s="2" t="s">
        <v>134</v>
      </c>
      <c r="R786" s="2" t="s">
        <v>38</v>
      </c>
    </row>
    <row r="787" spans="1:18" x14ac:dyDescent="0.3">
      <c r="A787" s="5" t="s">
        <v>1895</v>
      </c>
      <c r="B787" s="4">
        <v>43859</v>
      </c>
      <c r="C787" s="5" t="s">
        <v>1896</v>
      </c>
      <c r="D787" s="5" t="s">
        <v>675</v>
      </c>
      <c r="E787" s="5" t="s">
        <v>122</v>
      </c>
      <c r="F787" s="5" t="s">
        <v>81</v>
      </c>
      <c r="G787" s="5" t="s">
        <v>49</v>
      </c>
      <c r="H787" s="6">
        <v>5</v>
      </c>
      <c r="I787" s="6">
        <v>407.02</v>
      </c>
      <c r="J787" s="5">
        <v>0.25</v>
      </c>
      <c r="K787" s="6">
        <v>76.319999999999993</v>
      </c>
      <c r="L787" s="6">
        <v>12.99</v>
      </c>
      <c r="M787" s="6">
        <v>1615.63</v>
      </c>
      <c r="N787" s="5" t="s">
        <v>58</v>
      </c>
      <c r="O787" s="5" t="s">
        <v>59</v>
      </c>
      <c r="P787" s="5" t="s">
        <v>150</v>
      </c>
      <c r="Q787" s="5" t="s">
        <v>69</v>
      </c>
      <c r="R787" s="5" t="s">
        <v>28</v>
      </c>
    </row>
    <row r="788" spans="1:18" x14ac:dyDescent="0.3">
      <c r="A788" s="2" t="s">
        <v>1897</v>
      </c>
      <c r="B788" s="1">
        <v>45019</v>
      </c>
      <c r="C788" s="2" t="s">
        <v>1898</v>
      </c>
      <c r="D788" s="2" t="s">
        <v>149</v>
      </c>
      <c r="E788" s="2" t="s">
        <v>291</v>
      </c>
      <c r="F788" s="2" t="s">
        <v>22</v>
      </c>
      <c r="G788" s="2" t="s">
        <v>49</v>
      </c>
      <c r="H788" s="3">
        <v>5</v>
      </c>
      <c r="I788" s="3">
        <v>436.19</v>
      </c>
      <c r="J788" s="2">
        <v>0</v>
      </c>
      <c r="K788" s="3">
        <v>174.48</v>
      </c>
      <c r="L788" s="3">
        <v>6.81</v>
      </c>
      <c r="M788" s="3">
        <v>2362.2399999999998</v>
      </c>
      <c r="N788" s="2" t="s">
        <v>58</v>
      </c>
      <c r="O788" s="2" t="s">
        <v>82</v>
      </c>
      <c r="P788" s="2" t="s">
        <v>101</v>
      </c>
      <c r="Q788" s="2" t="s">
        <v>102</v>
      </c>
      <c r="R788" s="2" t="s">
        <v>28</v>
      </c>
    </row>
    <row r="789" spans="1:18" x14ac:dyDescent="0.3">
      <c r="A789" s="5" t="s">
        <v>1899</v>
      </c>
      <c r="B789" s="4">
        <v>45276</v>
      </c>
      <c r="C789" s="5" t="s">
        <v>1900</v>
      </c>
      <c r="D789" s="5" t="s">
        <v>168</v>
      </c>
      <c r="E789" s="5" t="s">
        <v>220</v>
      </c>
      <c r="F789" s="5" t="s">
        <v>33</v>
      </c>
      <c r="G789" s="5" t="s">
        <v>23</v>
      </c>
      <c r="H789" s="6">
        <v>4</v>
      </c>
      <c r="I789" s="6">
        <v>243.36</v>
      </c>
      <c r="J789" s="5">
        <v>0</v>
      </c>
      <c r="K789" s="6">
        <v>48.67</v>
      </c>
      <c r="L789" s="6">
        <v>9.56</v>
      </c>
      <c r="M789" s="6">
        <v>1031.67</v>
      </c>
      <c r="N789" s="5" t="s">
        <v>24</v>
      </c>
      <c r="O789" s="5" t="s">
        <v>59</v>
      </c>
      <c r="P789" s="5" t="s">
        <v>124</v>
      </c>
      <c r="Q789" s="5" t="s">
        <v>125</v>
      </c>
      <c r="R789" s="5" t="s">
        <v>38</v>
      </c>
    </row>
    <row r="790" spans="1:18" x14ac:dyDescent="0.3">
      <c r="A790" s="2" t="s">
        <v>1901</v>
      </c>
      <c r="B790" s="1">
        <v>44169</v>
      </c>
      <c r="C790" s="2" t="s">
        <v>1902</v>
      </c>
      <c r="D790" s="2" t="s">
        <v>520</v>
      </c>
      <c r="E790" s="2" t="s">
        <v>294</v>
      </c>
      <c r="F790" s="2" t="s">
        <v>81</v>
      </c>
      <c r="G790" s="2" t="s">
        <v>100</v>
      </c>
      <c r="H790" s="3">
        <v>3</v>
      </c>
      <c r="I790" s="3">
        <v>175.51</v>
      </c>
      <c r="J790" s="2">
        <v>0.1</v>
      </c>
      <c r="K790" s="3">
        <v>23.69</v>
      </c>
      <c r="L790" s="3">
        <v>12.69</v>
      </c>
      <c r="M790" s="3">
        <v>510.26</v>
      </c>
      <c r="N790" s="2" t="s">
        <v>24</v>
      </c>
      <c r="O790" s="2" t="s">
        <v>25</v>
      </c>
      <c r="P790" s="2" t="s">
        <v>112</v>
      </c>
      <c r="Q790" s="2" t="s">
        <v>113</v>
      </c>
      <c r="R790" s="2" t="s">
        <v>38</v>
      </c>
    </row>
    <row r="791" spans="1:18" x14ac:dyDescent="0.3">
      <c r="A791" s="5" t="s">
        <v>1903</v>
      </c>
      <c r="B791" s="4">
        <v>45502</v>
      </c>
      <c r="C791" s="5" t="s">
        <v>1904</v>
      </c>
      <c r="D791" s="5" t="s">
        <v>791</v>
      </c>
      <c r="E791" s="5" t="s">
        <v>577</v>
      </c>
      <c r="F791" s="5" t="s">
        <v>143</v>
      </c>
      <c r="G791" s="5" t="s">
        <v>66</v>
      </c>
      <c r="H791" s="6">
        <v>4</v>
      </c>
      <c r="I791" s="6">
        <v>475.21</v>
      </c>
      <c r="J791" s="5">
        <v>0.15</v>
      </c>
      <c r="K791" s="6">
        <v>290.83</v>
      </c>
      <c r="L791" s="6">
        <v>1.88</v>
      </c>
      <c r="M791" s="6">
        <v>1908.42</v>
      </c>
      <c r="N791" s="5" t="s">
        <v>24</v>
      </c>
      <c r="O791" s="5" t="s">
        <v>144</v>
      </c>
      <c r="P791" s="5" t="s">
        <v>150</v>
      </c>
      <c r="Q791" s="5" t="s">
        <v>69</v>
      </c>
      <c r="R791" s="5" t="s">
        <v>28</v>
      </c>
    </row>
    <row r="792" spans="1:18" x14ac:dyDescent="0.3">
      <c r="A792" s="2" t="s">
        <v>1905</v>
      </c>
      <c r="B792" s="1">
        <v>45350</v>
      </c>
      <c r="C792" s="2" t="s">
        <v>1732</v>
      </c>
      <c r="D792" s="2" t="s">
        <v>159</v>
      </c>
      <c r="E792" s="2" t="s">
        <v>182</v>
      </c>
      <c r="F792" s="2" t="s">
        <v>81</v>
      </c>
      <c r="G792" s="2" t="s">
        <v>34</v>
      </c>
      <c r="H792" s="3">
        <v>4</v>
      </c>
      <c r="I792" s="3">
        <v>279.89999999999998</v>
      </c>
      <c r="J792" s="2">
        <v>0</v>
      </c>
      <c r="K792" s="3">
        <v>55.98</v>
      </c>
      <c r="L792" s="3">
        <v>14.23</v>
      </c>
      <c r="M792" s="3">
        <v>1189.81</v>
      </c>
      <c r="N792" s="2" t="s">
        <v>24</v>
      </c>
      <c r="O792" s="2" t="s">
        <v>25</v>
      </c>
      <c r="P792" s="2" t="s">
        <v>101</v>
      </c>
      <c r="Q792" s="2" t="s">
        <v>102</v>
      </c>
      <c r="R792" s="2" t="s">
        <v>38</v>
      </c>
    </row>
    <row r="793" spans="1:18" x14ac:dyDescent="0.3">
      <c r="A793" s="5" t="s">
        <v>1906</v>
      </c>
      <c r="B793" s="4">
        <v>45219</v>
      </c>
      <c r="C793" s="5" t="s">
        <v>1907</v>
      </c>
      <c r="D793" s="5" t="s">
        <v>87</v>
      </c>
      <c r="E793" s="5" t="s">
        <v>324</v>
      </c>
      <c r="F793" s="5" t="s">
        <v>143</v>
      </c>
      <c r="G793" s="5" t="s">
        <v>268</v>
      </c>
      <c r="H793" s="6">
        <v>1</v>
      </c>
      <c r="I793" s="6">
        <v>8.06</v>
      </c>
      <c r="J793" s="5">
        <v>0</v>
      </c>
      <c r="K793" s="6">
        <v>0</v>
      </c>
      <c r="L793" s="6">
        <v>2.93</v>
      </c>
      <c r="M793" s="6">
        <v>10.99</v>
      </c>
      <c r="N793" s="5" t="s">
        <v>50</v>
      </c>
      <c r="O793" s="5" t="s">
        <v>25</v>
      </c>
      <c r="P793" s="5" t="s">
        <v>68</v>
      </c>
      <c r="Q793" s="5" t="s">
        <v>69</v>
      </c>
      <c r="R793" s="5" t="s">
        <v>38</v>
      </c>
    </row>
    <row r="794" spans="1:18" x14ac:dyDescent="0.3">
      <c r="A794" s="2" t="s">
        <v>1908</v>
      </c>
      <c r="B794" s="1">
        <v>45196</v>
      </c>
      <c r="C794" s="2" t="s">
        <v>1909</v>
      </c>
      <c r="D794" s="2" t="s">
        <v>206</v>
      </c>
      <c r="E794" s="2" t="s">
        <v>169</v>
      </c>
      <c r="F794" s="2" t="s">
        <v>22</v>
      </c>
      <c r="G794" s="2" t="s">
        <v>57</v>
      </c>
      <c r="H794" s="3">
        <v>5</v>
      </c>
      <c r="I794" s="3">
        <v>206.18</v>
      </c>
      <c r="J794" s="2">
        <v>0.05</v>
      </c>
      <c r="K794" s="3">
        <v>48.97</v>
      </c>
      <c r="L794" s="3">
        <v>1.93</v>
      </c>
      <c r="M794" s="3">
        <v>1030.26</v>
      </c>
      <c r="N794" s="2" t="s">
        <v>24</v>
      </c>
      <c r="O794" s="2" t="s">
        <v>25</v>
      </c>
      <c r="P794" s="2" t="s">
        <v>44</v>
      </c>
      <c r="Q794" s="2" t="s">
        <v>37</v>
      </c>
      <c r="R794" s="2" t="s">
        <v>38</v>
      </c>
    </row>
    <row r="795" spans="1:18" x14ac:dyDescent="0.3">
      <c r="A795" s="5" t="s">
        <v>1910</v>
      </c>
      <c r="B795" s="4">
        <v>44330</v>
      </c>
      <c r="C795" s="5" t="s">
        <v>1911</v>
      </c>
      <c r="D795" s="5" t="s">
        <v>582</v>
      </c>
      <c r="E795" s="5" t="s">
        <v>437</v>
      </c>
      <c r="F795" s="5" t="s">
        <v>81</v>
      </c>
      <c r="G795" s="5" t="s">
        <v>49</v>
      </c>
      <c r="H795" s="6">
        <v>4</v>
      </c>
      <c r="I795" s="6">
        <v>141.19</v>
      </c>
      <c r="J795" s="5">
        <v>0.1</v>
      </c>
      <c r="K795" s="6">
        <v>0</v>
      </c>
      <c r="L795" s="6">
        <v>4.51</v>
      </c>
      <c r="M795" s="6">
        <v>512.79</v>
      </c>
      <c r="N795" s="5" t="s">
        <v>24</v>
      </c>
      <c r="O795" s="5" t="s">
        <v>25</v>
      </c>
      <c r="P795" s="5" t="s">
        <v>165</v>
      </c>
      <c r="Q795" s="5" t="s">
        <v>37</v>
      </c>
      <c r="R795" s="5" t="s">
        <v>28</v>
      </c>
    </row>
    <row r="796" spans="1:18" x14ac:dyDescent="0.3">
      <c r="A796" s="2" t="s">
        <v>1912</v>
      </c>
      <c r="B796" s="1">
        <v>45511</v>
      </c>
      <c r="C796" s="2" t="s">
        <v>1913</v>
      </c>
      <c r="D796" s="2" t="s">
        <v>971</v>
      </c>
      <c r="E796" s="2" t="s">
        <v>577</v>
      </c>
      <c r="F796" s="2" t="s">
        <v>143</v>
      </c>
      <c r="G796" s="2" t="s">
        <v>100</v>
      </c>
      <c r="H796" s="3">
        <v>3</v>
      </c>
      <c r="I796" s="3">
        <v>402.32</v>
      </c>
      <c r="J796" s="2">
        <v>0</v>
      </c>
      <c r="K796" s="3">
        <v>144.84</v>
      </c>
      <c r="L796" s="3">
        <v>12.57</v>
      </c>
      <c r="M796" s="3">
        <v>1364.37</v>
      </c>
      <c r="N796" s="2" t="s">
        <v>35</v>
      </c>
      <c r="O796" s="2" t="s">
        <v>25</v>
      </c>
      <c r="P796" s="2" t="s">
        <v>74</v>
      </c>
      <c r="Q796" s="2" t="s">
        <v>75</v>
      </c>
      <c r="R796" s="2" t="s">
        <v>38</v>
      </c>
    </row>
    <row r="797" spans="1:18" x14ac:dyDescent="0.3">
      <c r="A797" s="5" t="s">
        <v>1914</v>
      </c>
      <c r="B797" s="4">
        <v>44341</v>
      </c>
      <c r="C797" s="5" t="s">
        <v>1915</v>
      </c>
      <c r="D797" s="5" t="s">
        <v>734</v>
      </c>
      <c r="E797" s="5" t="s">
        <v>160</v>
      </c>
      <c r="F797" s="5" t="s">
        <v>33</v>
      </c>
      <c r="G797" s="5" t="s">
        <v>49</v>
      </c>
      <c r="H797" s="6">
        <v>3</v>
      </c>
      <c r="I797" s="6">
        <v>474.11</v>
      </c>
      <c r="J797" s="5">
        <v>0.15</v>
      </c>
      <c r="K797" s="6">
        <v>145.08000000000001</v>
      </c>
      <c r="L797" s="6">
        <v>5.2</v>
      </c>
      <c r="M797" s="6">
        <v>1359.26</v>
      </c>
      <c r="N797" s="5" t="s">
        <v>24</v>
      </c>
      <c r="O797" s="5" t="s">
        <v>25</v>
      </c>
      <c r="P797" s="5" t="s">
        <v>68</v>
      </c>
      <c r="Q797" s="5" t="s">
        <v>69</v>
      </c>
      <c r="R797" s="5" t="s">
        <v>38</v>
      </c>
    </row>
    <row r="798" spans="1:18" x14ac:dyDescent="0.3">
      <c r="A798" s="2" t="s">
        <v>1916</v>
      </c>
      <c r="B798" s="1">
        <v>45181</v>
      </c>
      <c r="C798" s="2" t="s">
        <v>1917</v>
      </c>
      <c r="D798" s="2" t="s">
        <v>410</v>
      </c>
      <c r="E798" s="2" t="s">
        <v>386</v>
      </c>
      <c r="F798" s="2" t="s">
        <v>33</v>
      </c>
      <c r="G798" s="2" t="s">
        <v>66</v>
      </c>
      <c r="H798" s="3">
        <v>2</v>
      </c>
      <c r="I798" s="3">
        <v>283.06</v>
      </c>
      <c r="J798" s="2">
        <v>0.05</v>
      </c>
      <c r="K798" s="3">
        <v>0</v>
      </c>
      <c r="L798" s="3">
        <v>11.74</v>
      </c>
      <c r="M798" s="3">
        <v>549.54999999999995</v>
      </c>
      <c r="N798" s="2" t="s">
        <v>58</v>
      </c>
      <c r="O798" s="2" t="s">
        <v>25</v>
      </c>
      <c r="P798" s="2" t="s">
        <v>133</v>
      </c>
      <c r="Q798" s="2" t="s">
        <v>134</v>
      </c>
      <c r="R798" s="2" t="s">
        <v>28</v>
      </c>
    </row>
    <row r="799" spans="1:18" x14ac:dyDescent="0.3">
      <c r="A799" s="5" t="s">
        <v>1918</v>
      </c>
      <c r="B799" s="4">
        <v>44047</v>
      </c>
      <c r="C799" s="5" t="s">
        <v>1919</v>
      </c>
      <c r="D799" s="5" t="s">
        <v>1801</v>
      </c>
      <c r="E799" s="5" t="s">
        <v>32</v>
      </c>
      <c r="F799" s="5" t="s">
        <v>22</v>
      </c>
      <c r="G799" s="5" t="s">
        <v>268</v>
      </c>
      <c r="H799" s="6">
        <v>5</v>
      </c>
      <c r="I799" s="6">
        <v>351.35</v>
      </c>
      <c r="J799" s="5">
        <v>0</v>
      </c>
      <c r="K799" s="6">
        <v>210.81</v>
      </c>
      <c r="L799" s="6">
        <v>14.46</v>
      </c>
      <c r="M799" s="6">
        <v>1982.02</v>
      </c>
      <c r="N799" s="5" t="s">
        <v>58</v>
      </c>
      <c r="O799" s="5" t="s">
        <v>107</v>
      </c>
      <c r="P799" s="5" t="s">
        <v>74</v>
      </c>
      <c r="Q799" s="5" t="s">
        <v>75</v>
      </c>
      <c r="R799" s="5" t="s">
        <v>28</v>
      </c>
    </row>
    <row r="800" spans="1:18" x14ac:dyDescent="0.3">
      <c r="A800" s="2" t="s">
        <v>1920</v>
      </c>
      <c r="B800" s="1">
        <v>45155</v>
      </c>
      <c r="C800" s="2" t="s">
        <v>1921</v>
      </c>
      <c r="D800" s="2" t="s">
        <v>47</v>
      </c>
      <c r="E800" s="2" t="s">
        <v>256</v>
      </c>
      <c r="F800" s="2" t="s">
        <v>22</v>
      </c>
      <c r="G800" s="2" t="s">
        <v>23</v>
      </c>
      <c r="H800" s="3">
        <v>4</v>
      </c>
      <c r="I800" s="3">
        <v>8.8000000000000007</v>
      </c>
      <c r="J800" s="2">
        <v>0.05</v>
      </c>
      <c r="K800" s="3">
        <v>4.01</v>
      </c>
      <c r="L800" s="3">
        <v>0.72</v>
      </c>
      <c r="M800" s="3">
        <v>38.17</v>
      </c>
      <c r="N800" s="2" t="s">
        <v>58</v>
      </c>
      <c r="O800" s="2" t="s">
        <v>25</v>
      </c>
      <c r="P800" s="2" t="s">
        <v>95</v>
      </c>
      <c r="Q800" s="2" t="s">
        <v>37</v>
      </c>
      <c r="R800" s="2" t="s">
        <v>38</v>
      </c>
    </row>
    <row r="801" spans="1:18" x14ac:dyDescent="0.3">
      <c r="A801" s="5" t="s">
        <v>1922</v>
      </c>
      <c r="B801" s="4">
        <v>44986</v>
      </c>
      <c r="C801" s="5" t="s">
        <v>1923</v>
      </c>
      <c r="D801" s="5" t="s">
        <v>196</v>
      </c>
      <c r="E801" s="5" t="s">
        <v>88</v>
      </c>
      <c r="F801" s="5" t="s">
        <v>81</v>
      </c>
      <c r="G801" s="5" t="s">
        <v>23</v>
      </c>
      <c r="H801" s="6">
        <v>2</v>
      </c>
      <c r="I801" s="6">
        <v>292.85000000000002</v>
      </c>
      <c r="J801" s="5">
        <v>0</v>
      </c>
      <c r="K801" s="6">
        <v>0</v>
      </c>
      <c r="L801" s="6">
        <v>12.33</v>
      </c>
      <c r="M801" s="6">
        <v>598.03</v>
      </c>
      <c r="N801" s="5" t="s">
        <v>123</v>
      </c>
      <c r="O801" s="5" t="s">
        <v>25</v>
      </c>
      <c r="P801" s="5" t="s">
        <v>150</v>
      </c>
      <c r="Q801" s="5" t="s">
        <v>69</v>
      </c>
      <c r="R801" s="5" t="s">
        <v>38</v>
      </c>
    </row>
    <row r="802" spans="1:18" x14ac:dyDescent="0.3">
      <c r="A802" s="2" t="s">
        <v>1924</v>
      </c>
      <c r="B802" s="1">
        <v>44924</v>
      </c>
      <c r="C802" s="2" t="s">
        <v>1925</v>
      </c>
      <c r="D802" s="2" t="s">
        <v>1003</v>
      </c>
      <c r="E802" s="2" t="s">
        <v>138</v>
      </c>
      <c r="F802" s="2" t="s">
        <v>89</v>
      </c>
      <c r="G802" s="2" t="s">
        <v>198</v>
      </c>
      <c r="H802" s="3">
        <v>3</v>
      </c>
      <c r="I802" s="3">
        <v>206.81</v>
      </c>
      <c r="J802" s="2">
        <v>0</v>
      </c>
      <c r="K802" s="3">
        <v>74.45</v>
      </c>
      <c r="L802" s="3">
        <v>12.81</v>
      </c>
      <c r="M802" s="3">
        <v>707.69</v>
      </c>
      <c r="N802" s="2" t="s">
        <v>67</v>
      </c>
      <c r="O802" s="2" t="s">
        <v>82</v>
      </c>
      <c r="P802" s="2" t="s">
        <v>165</v>
      </c>
      <c r="Q802" s="2" t="s">
        <v>37</v>
      </c>
      <c r="R802" s="2" t="s">
        <v>28</v>
      </c>
    </row>
    <row r="803" spans="1:18" x14ac:dyDescent="0.3">
      <c r="A803" s="5" t="s">
        <v>1926</v>
      </c>
      <c r="B803" s="4">
        <v>45106</v>
      </c>
      <c r="C803" s="5" t="s">
        <v>1927</v>
      </c>
      <c r="D803" s="5" t="s">
        <v>333</v>
      </c>
      <c r="E803" s="5" t="s">
        <v>291</v>
      </c>
      <c r="F803" s="5" t="s">
        <v>22</v>
      </c>
      <c r="G803" s="5" t="s">
        <v>34</v>
      </c>
      <c r="H803" s="6">
        <v>5</v>
      </c>
      <c r="I803" s="6">
        <v>549.20000000000005</v>
      </c>
      <c r="J803" s="5">
        <v>0.05</v>
      </c>
      <c r="K803" s="6">
        <v>130.44</v>
      </c>
      <c r="L803" s="6">
        <v>5.0599999999999996</v>
      </c>
      <c r="M803" s="6">
        <v>2744.2</v>
      </c>
      <c r="N803" s="5" t="s">
        <v>24</v>
      </c>
      <c r="O803" s="5" t="s">
        <v>25</v>
      </c>
      <c r="P803" s="5" t="s">
        <v>95</v>
      </c>
      <c r="Q803" s="5" t="s">
        <v>37</v>
      </c>
      <c r="R803" s="5" t="s">
        <v>38</v>
      </c>
    </row>
    <row r="804" spans="1:18" x14ac:dyDescent="0.3">
      <c r="A804" s="2" t="s">
        <v>1928</v>
      </c>
      <c r="B804" s="1">
        <v>45269</v>
      </c>
      <c r="C804" s="2" t="s">
        <v>1929</v>
      </c>
      <c r="D804" s="2" t="s">
        <v>55</v>
      </c>
      <c r="E804" s="2" t="s">
        <v>32</v>
      </c>
      <c r="F804" s="2" t="s">
        <v>22</v>
      </c>
      <c r="G804" s="2" t="s">
        <v>90</v>
      </c>
      <c r="H804" s="3">
        <v>3</v>
      </c>
      <c r="I804" s="3">
        <v>590.82000000000005</v>
      </c>
      <c r="J804" s="2">
        <v>0.2</v>
      </c>
      <c r="K804" s="3">
        <v>0</v>
      </c>
      <c r="L804" s="3">
        <v>6.52</v>
      </c>
      <c r="M804" s="3">
        <v>1424.49</v>
      </c>
      <c r="N804" s="2" t="s">
        <v>24</v>
      </c>
      <c r="O804" s="2" t="s">
        <v>25</v>
      </c>
      <c r="P804" s="2" t="s">
        <v>44</v>
      </c>
      <c r="Q804" s="2" t="s">
        <v>37</v>
      </c>
      <c r="R804" s="2" t="s">
        <v>38</v>
      </c>
    </row>
    <row r="805" spans="1:18" x14ac:dyDescent="0.3">
      <c r="A805" s="5" t="s">
        <v>1930</v>
      </c>
      <c r="B805" s="4">
        <v>45641</v>
      </c>
      <c r="C805" s="5" t="s">
        <v>1728</v>
      </c>
      <c r="D805" s="5" t="s">
        <v>333</v>
      </c>
      <c r="E805" s="5" t="s">
        <v>73</v>
      </c>
      <c r="F805" s="5" t="s">
        <v>33</v>
      </c>
      <c r="G805" s="5" t="s">
        <v>34</v>
      </c>
      <c r="H805" s="6">
        <v>4</v>
      </c>
      <c r="I805" s="6">
        <v>37.83</v>
      </c>
      <c r="J805" s="5">
        <v>0.05</v>
      </c>
      <c r="K805" s="6">
        <v>17.25</v>
      </c>
      <c r="L805" s="6">
        <v>9.7899999999999991</v>
      </c>
      <c r="M805" s="6">
        <v>170.79</v>
      </c>
      <c r="N805" s="5" t="s">
        <v>58</v>
      </c>
      <c r="O805" s="5" t="s">
        <v>25</v>
      </c>
      <c r="P805" s="5" t="s">
        <v>83</v>
      </c>
      <c r="Q805" s="5" t="s">
        <v>84</v>
      </c>
      <c r="R805" s="5" t="s">
        <v>28</v>
      </c>
    </row>
    <row r="806" spans="1:18" x14ac:dyDescent="0.3">
      <c r="A806" s="2" t="s">
        <v>1931</v>
      </c>
      <c r="B806" s="1">
        <v>44275</v>
      </c>
      <c r="C806" s="2" t="s">
        <v>1932</v>
      </c>
      <c r="D806" s="2" t="s">
        <v>312</v>
      </c>
      <c r="E806" s="2" t="s">
        <v>231</v>
      </c>
      <c r="F806" s="2" t="s">
        <v>43</v>
      </c>
      <c r="G806" s="2" t="s">
        <v>23</v>
      </c>
      <c r="H806" s="3">
        <v>1</v>
      </c>
      <c r="I806" s="3">
        <v>205.86</v>
      </c>
      <c r="J806" s="2">
        <v>0</v>
      </c>
      <c r="K806" s="3">
        <v>10.29</v>
      </c>
      <c r="L806" s="3">
        <v>5.89</v>
      </c>
      <c r="M806" s="3">
        <v>222.04</v>
      </c>
      <c r="N806" s="2" t="s">
        <v>58</v>
      </c>
      <c r="O806" s="2" t="s">
        <v>25</v>
      </c>
      <c r="P806" s="2" t="s">
        <v>44</v>
      </c>
      <c r="Q806" s="2" t="s">
        <v>37</v>
      </c>
      <c r="R806" s="2" t="s">
        <v>38</v>
      </c>
    </row>
    <row r="807" spans="1:18" x14ac:dyDescent="0.3">
      <c r="A807" s="5" t="s">
        <v>1933</v>
      </c>
      <c r="B807" s="4">
        <v>44706</v>
      </c>
      <c r="C807" s="5" t="s">
        <v>1934</v>
      </c>
      <c r="D807" s="5" t="s">
        <v>904</v>
      </c>
      <c r="E807" s="5" t="s">
        <v>138</v>
      </c>
      <c r="F807" s="5" t="s">
        <v>33</v>
      </c>
      <c r="G807" s="5" t="s">
        <v>203</v>
      </c>
      <c r="H807" s="6">
        <v>5</v>
      </c>
      <c r="I807" s="6">
        <v>127.24</v>
      </c>
      <c r="J807" s="5">
        <v>0.15</v>
      </c>
      <c r="K807" s="6">
        <v>27.04</v>
      </c>
      <c r="L807" s="6">
        <v>4.6100000000000003</v>
      </c>
      <c r="M807" s="6">
        <v>572.41999999999996</v>
      </c>
      <c r="N807" s="5" t="s">
        <v>58</v>
      </c>
      <c r="O807" s="5" t="s">
        <v>25</v>
      </c>
      <c r="P807" s="5" t="s">
        <v>117</v>
      </c>
      <c r="Q807" s="5" t="s">
        <v>118</v>
      </c>
      <c r="R807" s="5" t="s">
        <v>28</v>
      </c>
    </row>
    <row r="808" spans="1:18" x14ac:dyDescent="0.3">
      <c r="A808" s="2" t="s">
        <v>1935</v>
      </c>
      <c r="B808" s="1">
        <v>45036</v>
      </c>
      <c r="C808" s="2" t="s">
        <v>1936</v>
      </c>
      <c r="D808" s="2" t="s">
        <v>690</v>
      </c>
      <c r="E808" s="2" t="s">
        <v>202</v>
      </c>
      <c r="F808" s="2" t="s">
        <v>33</v>
      </c>
      <c r="G808" s="2" t="s">
        <v>34</v>
      </c>
      <c r="H808" s="3">
        <v>2</v>
      </c>
      <c r="I808" s="3">
        <v>229.66</v>
      </c>
      <c r="J808" s="2">
        <v>0.05</v>
      </c>
      <c r="K808" s="3">
        <v>21.82</v>
      </c>
      <c r="L808" s="3">
        <v>3.55</v>
      </c>
      <c r="M808" s="3">
        <v>461.72</v>
      </c>
      <c r="N808" s="2" t="s">
        <v>58</v>
      </c>
      <c r="O808" s="2" t="s">
        <v>25</v>
      </c>
      <c r="P808" s="2" t="s">
        <v>117</v>
      </c>
      <c r="Q808" s="2" t="s">
        <v>118</v>
      </c>
      <c r="R808" s="2" t="s">
        <v>28</v>
      </c>
    </row>
    <row r="809" spans="1:18" x14ac:dyDescent="0.3">
      <c r="A809" s="5" t="s">
        <v>1937</v>
      </c>
      <c r="B809" s="4">
        <v>43997</v>
      </c>
      <c r="C809" s="5" t="s">
        <v>1938</v>
      </c>
      <c r="D809" s="5" t="s">
        <v>1329</v>
      </c>
      <c r="E809" s="5" t="s">
        <v>164</v>
      </c>
      <c r="F809" s="5" t="s">
        <v>143</v>
      </c>
      <c r="G809" s="5" t="s">
        <v>100</v>
      </c>
      <c r="H809" s="6">
        <v>2</v>
      </c>
      <c r="I809" s="6">
        <v>469.24</v>
      </c>
      <c r="J809" s="5">
        <v>0</v>
      </c>
      <c r="K809" s="6">
        <v>75.08</v>
      </c>
      <c r="L809" s="6">
        <v>5.79</v>
      </c>
      <c r="M809" s="6">
        <v>1019.35</v>
      </c>
      <c r="N809" s="5" t="s">
        <v>24</v>
      </c>
      <c r="O809" s="5" t="s">
        <v>25</v>
      </c>
      <c r="P809" s="5" t="s">
        <v>173</v>
      </c>
      <c r="Q809" s="5" t="s">
        <v>174</v>
      </c>
      <c r="R809" s="5" t="s">
        <v>38</v>
      </c>
    </row>
    <row r="810" spans="1:18" x14ac:dyDescent="0.3">
      <c r="A810" s="2" t="s">
        <v>1939</v>
      </c>
      <c r="B810" s="1">
        <v>43921</v>
      </c>
      <c r="C810" s="2" t="s">
        <v>1940</v>
      </c>
      <c r="D810" s="2" t="s">
        <v>623</v>
      </c>
      <c r="E810" s="2" t="s">
        <v>498</v>
      </c>
      <c r="F810" s="2" t="s">
        <v>22</v>
      </c>
      <c r="G810" s="2" t="s">
        <v>34</v>
      </c>
      <c r="H810" s="3">
        <v>1</v>
      </c>
      <c r="I810" s="3">
        <v>233.08</v>
      </c>
      <c r="J810" s="2">
        <v>0.1</v>
      </c>
      <c r="K810" s="3">
        <v>10.49</v>
      </c>
      <c r="L810" s="3">
        <v>1.88</v>
      </c>
      <c r="M810" s="3">
        <v>222.14</v>
      </c>
      <c r="N810" s="2" t="s">
        <v>58</v>
      </c>
      <c r="O810" s="2" t="s">
        <v>25</v>
      </c>
      <c r="P810" s="2" t="s">
        <v>26</v>
      </c>
      <c r="Q810" s="2" t="s">
        <v>27</v>
      </c>
      <c r="R810" s="2" t="s">
        <v>183</v>
      </c>
    </row>
    <row r="811" spans="1:18" x14ac:dyDescent="0.3">
      <c r="A811" s="5" t="s">
        <v>1941</v>
      </c>
      <c r="B811" s="4">
        <v>44544</v>
      </c>
      <c r="C811" s="5" t="s">
        <v>1942</v>
      </c>
      <c r="D811" s="5" t="s">
        <v>323</v>
      </c>
      <c r="E811" s="5" t="s">
        <v>21</v>
      </c>
      <c r="F811" s="5" t="s">
        <v>33</v>
      </c>
      <c r="G811" s="5" t="s">
        <v>23</v>
      </c>
      <c r="H811" s="6">
        <v>2</v>
      </c>
      <c r="I811" s="6">
        <v>586.12</v>
      </c>
      <c r="J811" s="5">
        <v>0</v>
      </c>
      <c r="K811" s="6">
        <v>93.78</v>
      </c>
      <c r="L811" s="6">
        <v>2.0299999999999998</v>
      </c>
      <c r="M811" s="6">
        <v>1268.05</v>
      </c>
      <c r="N811" s="5" t="s">
        <v>58</v>
      </c>
      <c r="O811" s="5" t="s">
        <v>107</v>
      </c>
      <c r="P811" s="5" t="s">
        <v>145</v>
      </c>
      <c r="Q811" s="5" t="s">
        <v>146</v>
      </c>
      <c r="R811" s="5" t="s">
        <v>28</v>
      </c>
    </row>
    <row r="812" spans="1:18" x14ac:dyDescent="0.3">
      <c r="A812" s="2" t="s">
        <v>1943</v>
      </c>
      <c r="B812" s="1">
        <v>45385</v>
      </c>
      <c r="C812" s="2" t="s">
        <v>1944</v>
      </c>
      <c r="D812" s="2" t="s">
        <v>494</v>
      </c>
      <c r="E812" s="2" t="s">
        <v>106</v>
      </c>
      <c r="F812" s="2" t="s">
        <v>81</v>
      </c>
      <c r="G812" s="2" t="s">
        <v>66</v>
      </c>
      <c r="H812" s="3">
        <v>1</v>
      </c>
      <c r="I812" s="3">
        <v>452.39</v>
      </c>
      <c r="J812" s="2">
        <v>0.1</v>
      </c>
      <c r="K812" s="3">
        <v>20.36</v>
      </c>
      <c r="L812" s="3">
        <v>11.15</v>
      </c>
      <c r="M812" s="3">
        <v>438.66</v>
      </c>
      <c r="N812" s="2" t="s">
        <v>58</v>
      </c>
      <c r="O812" s="2" t="s">
        <v>107</v>
      </c>
      <c r="P812" s="2" t="s">
        <v>173</v>
      </c>
      <c r="Q812" s="2" t="s">
        <v>174</v>
      </c>
      <c r="R812" s="2" t="s">
        <v>183</v>
      </c>
    </row>
    <row r="813" spans="1:18" x14ac:dyDescent="0.3">
      <c r="A813" s="5" t="s">
        <v>1945</v>
      </c>
      <c r="B813" s="4">
        <v>43869</v>
      </c>
      <c r="C813" s="5" t="s">
        <v>1946</v>
      </c>
      <c r="D813" s="5" t="s">
        <v>648</v>
      </c>
      <c r="E813" s="5" t="s">
        <v>94</v>
      </c>
      <c r="F813" s="5" t="s">
        <v>89</v>
      </c>
      <c r="G813" s="5" t="s">
        <v>198</v>
      </c>
      <c r="H813" s="6">
        <v>5</v>
      </c>
      <c r="I813" s="6">
        <v>109.2</v>
      </c>
      <c r="J813" s="5">
        <v>0.05</v>
      </c>
      <c r="K813" s="6">
        <v>25.94</v>
      </c>
      <c r="L813" s="6">
        <v>4.12</v>
      </c>
      <c r="M813" s="6">
        <v>548.76</v>
      </c>
      <c r="N813" s="5" t="s">
        <v>123</v>
      </c>
      <c r="O813" s="5" t="s">
        <v>25</v>
      </c>
      <c r="P813" s="5" t="s">
        <v>68</v>
      </c>
      <c r="Q813" s="5" t="s">
        <v>69</v>
      </c>
      <c r="R813" s="5" t="s">
        <v>38</v>
      </c>
    </row>
    <row r="814" spans="1:18" x14ac:dyDescent="0.3">
      <c r="A814" s="2" t="s">
        <v>1947</v>
      </c>
      <c r="B814" s="1">
        <v>44980</v>
      </c>
      <c r="C814" s="2" t="s">
        <v>1948</v>
      </c>
      <c r="D814" s="2" t="s">
        <v>582</v>
      </c>
      <c r="E814" s="2" t="s">
        <v>106</v>
      </c>
      <c r="F814" s="2" t="s">
        <v>81</v>
      </c>
      <c r="G814" s="2" t="s">
        <v>198</v>
      </c>
      <c r="H814" s="3">
        <v>4</v>
      </c>
      <c r="I814" s="3">
        <v>589.91999999999996</v>
      </c>
      <c r="J814" s="2">
        <v>0</v>
      </c>
      <c r="K814" s="3">
        <v>117.98</v>
      </c>
      <c r="L814" s="3">
        <v>8.2200000000000006</v>
      </c>
      <c r="M814" s="3">
        <v>2485.88</v>
      </c>
      <c r="N814" s="2" t="s">
        <v>50</v>
      </c>
      <c r="O814" s="2" t="s">
        <v>25</v>
      </c>
      <c r="P814" s="2" t="s">
        <v>145</v>
      </c>
      <c r="Q814" s="2" t="s">
        <v>146</v>
      </c>
      <c r="R814" s="2" t="s">
        <v>38</v>
      </c>
    </row>
    <row r="815" spans="1:18" x14ac:dyDescent="0.3">
      <c r="A815" s="5" t="s">
        <v>1949</v>
      </c>
      <c r="B815" s="4">
        <v>45305</v>
      </c>
      <c r="C815" s="5" t="s">
        <v>1950</v>
      </c>
      <c r="D815" s="5" t="s">
        <v>1158</v>
      </c>
      <c r="E815" s="5" t="s">
        <v>122</v>
      </c>
      <c r="F815" s="5" t="s">
        <v>43</v>
      </c>
      <c r="G815" s="5" t="s">
        <v>100</v>
      </c>
      <c r="H815" s="6">
        <v>4</v>
      </c>
      <c r="I815" s="6">
        <v>49.32</v>
      </c>
      <c r="J815" s="5">
        <v>0.25</v>
      </c>
      <c r="K815" s="6">
        <v>11.84</v>
      </c>
      <c r="L815" s="6">
        <v>7.92</v>
      </c>
      <c r="M815" s="6">
        <v>167.72</v>
      </c>
      <c r="N815" s="5" t="s">
        <v>24</v>
      </c>
      <c r="O815" s="5" t="s">
        <v>25</v>
      </c>
      <c r="P815" s="5" t="s">
        <v>133</v>
      </c>
      <c r="Q815" s="5" t="s">
        <v>134</v>
      </c>
      <c r="R815" s="5" t="s">
        <v>28</v>
      </c>
    </row>
    <row r="816" spans="1:18" x14ac:dyDescent="0.3">
      <c r="A816" s="2" t="s">
        <v>1951</v>
      </c>
      <c r="B816" s="1">
        <v>44003</v>
      </c>
      <c r="C816" s="2" t="s">
        <v>1952</v>
      </c>
      <c r="D816" s="2" t="s">
        <v>828</v>
      </c>
      <c r="E816" s="2" t="s">
        <v>300</v>
      </c>
      <c r="F816" s="2" t="s">
        <v>22</v>
      </c>
      <c r="G816" s="2" t="s">
        <v>100</v>
      </c>
      <c r="H816" s="3">
        <v>5</v>
      </c>
      <c r="I816" s="3">
        <v>490.83</v>
      </c>
      <c r="J816" s="2">
        <v>0.05</v>
      </c>
      <c r="K816" s="3">
        <v>186.52</v>
      </c>
      <c r="L816" s="3">
        <v>3.81</v>
      </c>
      <c r="M816" s="3">
        <v>2521.77</v>
      </c>
      <c r="N816" s="2" t="s">
        <v>24</v>
      </c>
      <c r="O816" s="2" t="s">
        <v>25</v>
      </c>
      <c r="P816" s="2" t="s">
        <v>257</v>
      </c>
      <c r="Q816" s="2" t="s">
        <v>69</v>
      </c>
      <c r="R816" s="2" t="s">
        <v>38</v>
      </c>
    </row>
    <row r="817" spans="1:18" x14ac:dyDescent="0.3">
      <c r="A817" s="5" t="s">
        <v>1953</v>
      </c>
      <c r="B817" s="4">
        <v>44483</v>
      </c>
      <c r="C817" s="5" t="s">
        <v>1954</v>
      </c>
      <c r="D817" s="5" t="s">
        <v>79</v>
      </c>
      <c r="E817" s="5" t="s">
        <v>88</v>
      </c>
      <c r="F817" s="5" t="s">
        <v>143</v>
      </c>
      <c r="G817" s="5" t="s">
        <v>66</v>
      </c>
      <c r="H817" s="6">
        <v>2</v>
      </c>
      <c r="I817" s="6">
        <v>48.23</v>
      </c>
      <c r="J817" s="5">
        <v>0</v>
      </c>
      <c r="K817" s="6">
        <v>11.58</v>
      </c>
      <c r="L817" s="6">
        <v>14.55</v>
      </c>
      <c r="M817" s="6">
        <v>122.59</v>
      </c>
      <c r="N817" s="5" t="s">
        <v>58</v>
      </c>
      <c r="O817" s="5" t="s">
        <v>107</v>
      </c>
      <c r="P817" s="5" t="s">
        <v>44</v>
      </c>
      <c r="Q817" s="5" t="s">
        <v>37</v>
      </c>
      <c r="R817" s="5" t="s">
        <v>76</v>
      </c>
    </row>
    <row r="818" spans="1:18" x14ac:dyDescent="0.3">
      <c r="A818" s="2" t="s">
        <v>1955</v>
      </c>
      <c r="B818" s="1">
        <v>44584</v>
      </c>
      <c r="C818" s="2" t="s">
        <v>1956</v>
      </c>
      <c r="D818" s="2" t="s">
        <v>286</v>
      </c>
      <c r="E818" s="2" t="s">
        <v>190</v>
      </c>
      <c r="F818" s="2" t="s">
        <v>43</v>
      </c>
      <c r="G818" s="2" t="s">
        <v>198</v>
      </c>
      <c r="H818" s="3">
        <v>1</v>
      </c>
      <c r="I818" s="3">
        <v>72.12</v>
      </c>
      <c r="J818" s="2">
        <v>0.1</v>
      </c>
      <c r="K818" s="3">
        <v>5.19</v>
      </c>
      <c r="L818" s="3">
        <v>14.92</v>
      </c>
      <c r="M818" s="3">
        <v>85.02</v>
      </c>
      <c r="N818" s="2" t="s">
        <v>50</v>
      </c>
      <c r="O818" s="2" t="s">
        <v>25</v>
      </c>
      <c r="P818" s="2" t="s">
        <v>257</v>
      </c>
      <c r="Q818" s="2" t="s">
        <v>69</v>
      </c>
      <c r="R818" s="2" t="s">
        <v>38</v>
      </c>
    </row>
    <row r="819" spans="1:18" x14ac:dyDescent="0.3">
      <c r="A819" s="5" t="s">
        <v>1957</v>
      </c>
      <c r="B819" s="4">
        <v>45074</v>
      </c>
      <c r="C819" s="5" t="s">
        <v>1958</v>
      </c>
      <c r="D819" s="5" t="s">
        <v>690</v>
      </c>
      <c r="E819" s="5" t="s">
        <v>88</v>
      </c>
      <c r="F819" s="5" t="s">
        <v>33</v>
      </c>
      <c r="G819" s="5" t="s">
        <v>66</v>
      </c>
      <c r="H819" s="6">
        <v>5</v>
      </c>
      <c r="I819" s="6">
        <v>46.05</v>
      </c>
      <c r="J819" s="5">
        <v>0</v>
      </c>
      <c r="K819" s="6">
        <v>11.51</v>
      </c>
      <c r="L819" s="6">
        <v>8.26</v>
      </c>
      <c r="M819" s="6">
        <v>250.02</v>
      </c>
      <c r="N819" s="5" t="s">
        <v>35</v>
      </c>
      <c r="O819" s="5" t="s">
        <v>144</v>
      </c>
      <c r="P819" s="5" t="s">
        <v>112</v>
      </c>
      <c r="Q819" s="5" t="s">
        <v>113</v>
      </c>
      <c r="R819" s="5" t="s">
        <v>38</v>
      </c>
    </row>
    <row r="820" spans="1:18" x14ac:dyDescent="0.3">
      <c r="A820" s="2" t="s">
        <v>1959</v>
      </c>
      <c r="B820" s="1">
        <v>45492</v>
      </c>
      <c r="C820" s="2" t="s">
        <v>1960</v>
      </c>
      <c r="D820" s="2" t="s">
        <v>47</v>
      </c>
      <c r="E820" s="2" t="s">
        <v>231</v>
      </c>
      <c r="F820" s="2" t="s">
        <v>43</v>
      </c>
      <c r="G820" s="2" t="s">
        <v>34</v>
      </c>
      <c r="H820" s="3">
        <v>5</v>
      </c>
      <c r="I820" s="3">
        <v>439.44</v>
      </c>
      <c r="J820" s="2">
        <v>0.2</v>
      </c>
      <c r="K820" s="3">
        <v>0</v>
      </c>
      <c r="L820" s="3">
        <v>5.0199999999999996</v>
      </c>
      <c r="M820" s="3">
        <v>1762.78</v>
      </c>
      <c r="N820" s="2" t="s">
        <v>58</v>
      </c>
      <c r="O820" s="2" t="s">
        <v>107</v>
      </c>
      <c r="P820" s="2" t="s">
        <v>145</v>
      </c>
      <c r="Q820" s="2" t="s">
        <v>146</v>
      </c>
      <c r="R820" s="2" t="s">
        <v>28</v>
      </c>
    </row>
    <row r="821" spans="1:18" x14ac:dyDescent="0.3">
      <c r="A821" s="5" t="s">
        <v>1961</v>
      </c>
      <c r="B821" s="4">
        <v>44912</v>
      </c>
      <c r="C821" s="5" t="s">
        <v>1962</v>
      </c>
      <c r="D821" s="5" t="s">
        <v>1061</v>
      </c>
      <c r="E821" s="5" t="s">
        <v>73</v>
      </c>
      <c r="F821" s="5" t="s">
        <v>33</v>
      </c>
      <c r="G821" s="5" t="s">
        <v>66</v>
      </c>
      <c r="H821" s="6">
        <v>4</v>
      </c>
      <c r="I821" s="6">
        <v>439.45</v>
      </c>
      <c r="J821" s="5">
        <v>0</v>
      </c>
      <c r="K821" s="6">
        <v>87.89</v>
      </c>
      <c r="L821" s="6">
        <v>6.63</v>
      </c>
      <c r="M821" s="6">
        <v>1852.32</v>
      </c>
      <c r="N821" s="5" t="s">
        <v>35</v>
      </c>
      <c r="O821" s="5" t="s">
        <v>25</v>
      </c>
      <c r="P821" s="5" t="s">
        <v>36</v>
      </c>
      <c r="Q821" s="5" t="s">
        <v>37</v>
      </c>
      <c r="R821" s="5" t="s">
        <v>38</v>
      </c>
    </row>
    <row r="822" spans="1:18" x14ac:dyDescent="0.3">
      <c r="A822" s="2" t="s">
        <v>1963</v>
      </c>
      <c r="B822" s="1">
        <v>45514</v>
      </c>
      <c r="C822" s="2" t="s">
        <v>1964</v>
      </c>
      <c r="D822" s="2" t="s">
        <v>410</v>
      </c>
      <c r="E822" s="2" t="s">
        <v>160</v>
      </c>
      <c r="F822" s="2" t="s">
        <v>43</v>
      </c>
      <c r="G822" s="2" t="s">
        <v>57</v>
      </c>
      <c r="H822" s="3">
        <v>5</v>
      </c>
      <c r="I822" s="3">
        <v>531.95000000000005</v>
      </c>
      <c r="J822" s="2">
        <v>0.05</v>
      </c>
      <c r="K822" s="3">
        <v>202.14</v>
      </c>
      <c r="L822" s="3">
        <v>6.92</v>
      </c>
      <c r="M822" s="3">
        <v>2735.82</v>
      </c>
      <c r="N822" s="2" t="s">
        <v>58</v>
      </c>
      <c r="O822" s="2" t="s">
        <v>25</v>
      </c>
      <c r="P822" s="2" t="s">
        <v>26</v>
      </c>
      <c r="Q822" s="2" t="s">
        <v>27</v>
      </c>
      <c r="R822" s="2" t="s">
        <v>38</v>
      </c>
    </row>
    <row r="823" spans="1:18" x14ac:dyDescent="0.3">
      <c r="A823" s="5" t="s">
        <v>1965</v>
      </c>
      <c r="B823" s="4">
        <v>44306</v>
      </c>
      <c r="C823" s="5" t="s">
        <v>1966</v>
      </c>
      <c r="D823" s="5" t="s">
        <v>215</v>
      </c>
      <c r="E823" s="5" t="s">
        <v>294</v>
      </c>
      <c r="F823" s="5" t="s">
        <v>22</v>
      </c>
      <c r="G823" s="5" t="s">
        <v>34</v>
      </c>
      <c r="H823" s="6">
        <v>3</v>
      </c>
      <c r="I823" s="6">
        <v>321.68</v>
      </c>
      <c r="J823" s="5">
        <v>0.1</v>
      </c>
      <c r="K823" s="6">
        <v>69.48</v>
      </c>
      <c r="L823" s="6">
        <v>5.88</v>
      </c>
      <c r="M823" s="6">
        <v>943.9</v>
      </c>
      <c r="N823" s="5" t="s">
        <v>24</v>
      </c>
      <c r="O823" s="5" t="s">
        <v>82</v>
      </c>
      <c r="P823" s="5" t="s">
        <v>44</v>
      </c>
      <c r="Q823" s="5" t="s">
        <v>37</v>
      </c>
      <c r="R823" s="5" t="s">
        <v>38</v>
      </c>
    </row>
    <row r="824" spans="1:18" x14ac:dyDescent="0.3">
      <c r="A824" s="2" t="s">
        <v>1967</v>
      </c>
      <c r="B824" s="1">
        <v>44286</v>
      </c>
      <c r="C824" s="2" t="s">
        <v>1968</v>
      </c>
      <c r="D824" s="2" t="s">
        <v>1020</v>
      </c>
      <c r="E824" s="2" t="s">
        <v>48</v>
      </c>
      <c r="F824" s="2" t="s">
        <v>89</v>
      </c>
      <c r="G824" s="2" t="s">
        <v>57</v>
      </c>
      <c r="H824" s="3">
        <v>5</v>
      </c>
      <c r="I824" s="3">
        <v>243.23</v>
      </c>
      <c r="J824" s="2">
        <v>0</v>
      </c>
      <c r="K824" s="3">
        <v>145.94</v>
      </c>
      <c r="L824" s="3">
        <v>14.05</v>
      </c>
      <c r="M824" s="3">
        <v>1376.14</v>
      </c>
      <c r="N824" s="2" t="s">
        <v>24</v>
      </c>
      <c r="O824" s="2" t="s">
        <v>25</v>
      </c>
      <c r="P824" s="2" t="s">
        <v>257</v>
      </c>
      <c r="Q824" s="2" t="s">
        <v>69</v>
      </c>
      <c r="R824" s="2" t="s">
        <v>38</v>
      </c>
    </row>
    <row r="825" spans="1:18" x14ac:dyDescent="0.3">
      <c r="A825" s="5" t="s">
        <v>1969</v>
      </c>
      <c r="B825" s="4">
        <v>44659</v>
      </c>
      <c r="C825" s="5" t="s">
        <v>1970</v>
      </c>
      <c r="D825" s="5" t="s">
        <v>286</v>
      </c>
      <c r="E825" s="5" t="s">
        <v>231</v>
      </c>
      <c r="F825" s="5" t="s">
        <v>43</v>
      </c>
      <c r="G825" s="5" t="s">
        <v>57</v>
      </c>
      <c r="H825" s="6">
        <v>1</v>
      </c>
      <c r="I825" s="6">
        <v>120.8</v>
      </c>
      <c r="J825" s="5">
        <v>0</v>
      </c>
      <c r="K825" s="6">
        <v>6.04</v>
      </c>
      <c r="L825" s="6">
        <v>12.05</v>
      </c>
      <c r="M825" s="6">
        <v>138.88999999999999</v>
      </c>
      <c r="N825" s="5" t="s">
        <v>24</v>
      </c>
      <c r="O825" s="5" t="s">
        <v>25</v>
      </c>
      <c r="P825" s="5" t="s">
        <v>60</v>
      </c>
      <c r="Q825" s="5" t="s">
        <v>37</v>
      </c>
      <c r="R825" s="5" t="s">
        <v>38</v>
      </c>
    </row>
    <row r="826" spans="1:18" x14ac:dyDescent="0.3">
      <c r="A826" s="2" t="s">
        <v>1971</v>
      </c>
      <c r="B826" s="1">
        <v>44725</v>
      </c>
      <c r="C826" s="2" t="s">
        <v>1972</v>
      </c>
      <c r="D826" s="2" t="s">
        <v>704</v>
      </c>
      <c r="E826" s="2" t="s">
        <v>283</v>
      </c>
      <c r="F826" s="2" t="s">
        <v>143</v>
      </c>
      <c r="G826" s="2" t="s">
        <v>66</v>
      </c>
      <c r="H826" s="3">
        <v>5</v>
      </c>
      <c r="I826" s="3">
        <v>15.79</v>
      </c>
      <c r="J826" s="2">
        <v>0</v>
      </c>
      <c r="K826" s="3">
        <v>6.32</v>
      </c>
      <c r="L826" s="3">
        <v>7.15</v>
      </c>
      <c r="M826" s="3">
        <v>92.42</v>
      </c>
      <c r="N826" s="2" t="s">
        <v>24</v>
      </c>
      <c r="O826" s="2" t="s">
        <v>25</v>
      </c>
      <c r="P826" s="2" t="s">
        <v>60</v>
      </c>
      <c r="Q826" s="2" t="s">
        <v>37</v>
      </c>
      <c r="R826" s="2" t="s">
        <v>38</v>
      </c>
    </row>
    <row r="827" spans="1:18" x14ac:dyDescent="0.3">
      <c r="A827" s="5" t="s">
        <v>1973</v>
      </c>
      <c r="B827" s="4">
        <v>45215</v>
      </c>
      <c r="C827" s="5" t="s">
        <v>1974</v>
      </c>
      <c r="D827" s="5" t="s">
        <v>223</v>
      </c>
      <c r="E827" s="5" t="s">
        <v>56</v>
      </c>
      <c r="F827" s="5" t="s">
        <v>22</v>
      </c>
      <c r="G827" s="5" t="s">
        <v>23</v>
      </c>
      <c r="H827" s="6">
        <v>1</v>
      </c>
      <c r="I827" s="6">
        <v>387.08</v>
      </c>
      <c r="J827" s="5">
        <v>0</v>
      </c>
      <c r="K827" s="6">
        <v>19.350000000000001</v>
      </c>
      <c r="L827" s="6">
        <v>11.94</v>
      </c>
      <c r="M827" s="6">
        <v>418.37</v>
      </c>
      <c r="N827" s="5" t="s">
        <v>58</v>
      </c>
      <c r="O827" s="5" t="s">
        <v>25</v>
      </c>
      <c r="P827" s="5" t="s">
        <v>165</v>
      </c>
      <c r="Q827" s="5" t="s">
        <v>37</v>
      </c>
      <c r="R827" s="5" t="s">
        <v>38</v>
      </c>
    </row>
    <row r="828" spans="1:18" x14ac:dyDescent="0.3">
      <c r="A828" s="2" t="s">
        <v>1975</v>
      </c>
      <c r="B828" s="1">
        <v>44855</v>
      </c>
      <c r="C828" s="2" t="s">
        <v>1976</v>
      </c>
      <c r="D828" s="2" t="s">
        <v>445</v>
      </c>
      <c r="E828" s="2" t="s">
        <v>283</v>
      </c>
      <c r="F828" s="2" t="s">
        <v>43</v>
      </c>
      <c r="G828" s="2" t="s">
        <v>34</v>
      </c>
      <c r="H828" s="3">
        <v>4</v>
      </c>
      <c r="I828" s="3">
        <v>367.4</v>
      </c>
      <c r="J828" s="2">
        <v>0</v>
      </c>
      <c r="K828" s="3">
        <v>0</v>
      </c>
      <c r="L828" s="3">
        <v>2.4</v>
      </c>
      <c r="M828" s="3">
        <v>1472</v>
      </c>
      <c r="N828" s="2" t="s">
        <v>24</v>
      </c>
      <c r="O828" s="2" t="s">
        <v>25</v>
      </c>
      <c r="P828" s="2" t="s">
        <v>133</v>
      </c>
      <c r="Q828" s="2" t="s">
        <v>134</v>
      </c>
      <c r="R828" s="2" t="s">
        <v>38</v>
      </c>
    </row>
    <row r="829" spans="1:18" x14ac:dyDescent="0.3">
      <c r="A829" s="5" t="s">
        <v>1977</v>
      </c>
      <c r="B829" s="4">
        <v>44217</v>
      </c>
      <c r="C829" s="5" t="s">
        <v>1978</v>
      </c>
      <c r="D829" s="5" t="s">
        <v>209</v>
      </c>
      <c r="E829" s="5" t="s">
        <v>32</v>
      </c>
      <c r="F829" s="5" t="s">
        <v>22</v>
      </c>
      <c r="G829" s="5" t="s">
        <v>268</v>
      </c>
      <c r="H829" s="6">
        <v>3</v>
      </c>
      <c r="I829" s="6">
        <v>14.42</v>
      </c>
      <c r="J829" s="5">
        <v>0.15</v>
      </c>
      <c r="K829" s="6">
        <v>2.94</v>
      </c>
      <c r="L829" s="6">
        <v>5.73</v>
      </c>
      <c r="M829" s="6">
        <v>45.44</v>
      </c>
      <c r="N829" s="5" t="s">
        <v>24</v>
      </c>
      <c r="O829" s="5" t="s">
        <v>107</v>
      </c>
      <c r="P829" s="5" t="s">
        <v>60</v>
      </c>
      <c r="Q829" s="5" t="s">
        <v>37</v>
      </c>
      <c r="R829" s="5" t="s">
        <v>38</v>
      </c>
    </row>
    <row r="830" spans="1:18" x14ac:dyDescent="0.3">
      <c r="A830" s="2" t="s">
        <v>1979</v>
      </c>
      <c r="B830" s="1">
        <v>44178</v>
      </c>
      <c r="C830" s="2" t="s">
        <v>1980</v>
      </c>
      <c r="D830" s="2" t="s">
        <v>110</v>
      </c>
      <c r="E830" s="2" t="s">
        <v>138</v>
      </c>
      <c r="F830" s="2" t="s">
        <v>89</v>
      </c>
      <c r="G830" s="2" t="s">
        <v>23</v>
      </c>
      <c r="H830" s="3">
        <v>3</v>
      </c>
      <c r="I830" s="3">
        <v>253.09</v>
      </c>
      <c r="J830" s="2">
        <v>0</v>
      </c>
      <c r="K830" s="3">
        <v>60.74</v>
      </c>
      <c r="L830" s="3">
        <v>14.39</v>
      </c>
      <c r="M830" s="3">
        <v>834.4</v>
      </c>
      <c r="N830" s="2" t="s">
        <v>123</v>
      </c>
      <c r="O830" s="2" t="s">
        <v>25</v>
      </c>
      <c r="P830" s="2" t="s">
        <v>150</v>
      </c>
      <c r="Q830" s="2" t="s">
        <v>69</v>
      </c>
      <c r="R830" s="2" t="s">
        <v>38</v>
      </c>
    </row>
    <row r="831" spans="1:18" x14ac:dyDescent="0.3">
      <c r="A831" s="5" t="s">
        <v>1981</v>
      </c>
      <c r="B831" s="4">
        <v>44020</v>
      </c>
      <c r="C831" s="5" t="s">
        <v>1982</v>
      </c>
      <c r="D831" s="5" t="s">
        <v>558</v>
      </c>
      <c r="E831" s="5" t="s">
        <v>216</v>
      </c>
      <c r="F831" s="5" t="s">
        <v>143</v>
      </c>
      <c r="G831" s="5" t="s">
        <v>203</v>
      </c>
      <c r="H831" s="6">
        <v>4</v>
      </c>
      <c r="I831" s="6">
        <v>405.52</v>
      </c>
      <c r="J831" s="5">
        <v>0</v>
      </c>
      <c r="K831" s="6">
        <v>129.77000000000001</v>
      </c>
      <c r="L831" s="6">
        <v>11.13</v>
      </c>
      <c r="M831" s="6">
        <v>1762.98</v>
      </c>
      <c r="N831" s="5" t="s">
        <v>50</v>
      </c>
      <c r="O831" s="5" t="s">
        <v>25</v>
      </c>
      <c r="P831" s="5" t="s">
        <v>173</v>
      </c>
      <c r="Q831" s="5" t="s">
        <v>174</v>
      </c>
      <c r="R831" s="5" t="s">
        <v>38</v>
      </c>
    </row>
    <row r="832" spans="1:18" x14ac:dyDescent="0.3">
      <c r="A832" s="2" t="s">
        <v>1983</v>
      </c>
      <c r="B832" s="1">
        <v>44335</v>
      </c>
      <c r="C832" s="2" t="s">
        <v>1984</v>
      </c>
      <c r="D832" s="2" t="s">
        <v>260</v>
      </c>
      <c r="E832" s="2" t="s">
        <v>132</v>
      </c>
      <c r="F832" s="2" t="s">
        <v>89</v>
      </c>
      <c r="G832" s="2" t="s">
        <v>34</v>
      </c>
      <c r="H832" s="3">
        <v>2</v>
      </c>
      <c r="I832" s="3">
        <v>148.81</v>
      </c>
      <c r="J832" s="2">
        <v>0</v>
      </c>
      <c r="K832" s="3">
        <v>0</v>
      </c>
      <c r="L832" s="3">
        <v>9.1</v>
      </c>
      <c r="M832" s="3">
        <v>306.72000000000003</v>
      </c>
      <c r="N832" s="2" t="s">
        <v>24</v>
      </c>
      <c r="O832" s="2" t="s">
        <v>25</v>
      </c>
      <c r="P832" s="2" t="s">
        <v>124</v>
      </c>
      <c r="Q832" s="2" t="s">
        <v>125</v>
      </c>
      <c r="R832" s="2" t="s">
        <v>38</v>
      </c>
    </row>
    <row r="833" spans="1:18" x14ac:dyDescent="0.3">
      <c r="A833" s="5" t="s">
        <v>1985</v>
      </c>
      <c r="B833" s="4">
        <v>45045</v>
      </c>
      <c r="C833" s="5" t="s">
        <v>1986</v>
      </c>
      <c r="D833" s="5" t="s">
        <v>415</v>
      </c>
      <c r="E833" s="5" t="s">
        <v>32</v>
      </c>
      <c r="F833" s="5" t="s">
        <v>89</v>
      </c>
      <c r="G833" s="5" t="s">
        <v>66</v>
      </c>
      <c r="H833" s="6">
        <v>1</v>
      </c>
      <c r="I833" s="6">
        <v>97.25</v>
      </c>
      <c r="J833" s="5">
        <v>0.2</v>
      </c>
      <c r="K833" s="6">
        <v>6.22</v>
      </c>
      <c r="L833" s="6">
        <v>10.68</v>
      </c>
      <c r="M833" s="6">
        <v>94.7</v>
      </c>
      <c r="N833" s="5" t="s">
        <v>58</v>
      </c>
      <c r="O833" s="5" t="s">
        <v>25</v>
      </c>
      <c r="P833" s="5" t="s">
        <v>26</v>
      </c>
      <c r="Q833" s="5" t="s">
        <v>27</v>
      </c>
      <c r="R833" s="5" t="s">
        <v>38</v>
      </c>
    </row>
    <row r="834" spans="1:18" x14ac:dyDescent="0.3">
      <c r="A834" s="2" t="s">
        <v>1987</v>
      </c>
      <c r="B834" s="1">
        <v>45362</v>
      </c>
      <c r="C834" s="2" t="s">
        <v>1988</v>
      </c>
      <c r="D834" s="2" t="s">
        <v>418</v>
      </c>
      <c r="E834" s="2" t="s">
        <v>65</v>
      </c>
      <c r="F834" s="2" t="s">
        <v>89</v>
      </c>
      <c r="G834" s="2" t="s">
        <v>66</v>
      </c>
      <c r="H834" s="3">
        <v>3</v>
      </c>
      <c r="I834" s="3">
        <v>396</v>
      </c>
      <c r="J834" s="2">
        <v>0.25</v>
      </c>
      <c r="K834" s="3">
        <v>71.28</v>
      </c>
      <c r="L834" s="3">
        <v>10.07</v>
      </c>
      <c r="M834" s="3">
        <v>972.35</v>
      </c>
      <c r="N834" s="2" t="s">
        <v>50</v>
      </c>
      <c r="O834" s="2" t="s">
        <v>59</v>
      </c>
      <c r="P834" s="2" t="s">
        <v>95</v>
      </c>
      <c r="Q834" s="2" t="s">
        <v>37</v>
      </c>
      <c r="R834" s="2" t="s">
        <v>38</v>
      </c>
    </row>
    <row r="835" spans="1:18" x14ac:dyDescent="0.3">
      <c r="A835" s="5" t="s">
        <v>1989</v>
      </c>
      <c r="B835" s="4">
        <v>45223</v>
      </c>
      <c r="C835" s="5" t="s">
        <v>1990</v>
      </c>
      <c r="D835" s="5" t="s">
        <v>153</v>
      </c>
      <c r="E835" s="5" t="s">
        <v>197</v>
      </c>
      <c r="F835" s="5" t="s">
        <v>143</v>
      </c>
      <c r="G835" s="5" t="s">
        <v>23</v>
      </c>
      <c r="H835" s="6">
        <v>1</v>
      </c>
      <c r="I835" s="6">
        <v>515.89</v>
      </c>
      <c r="J835" s="5">
        <v>0.1</v>
      </c>
      <c r="K835" s="6">
        <v>55.72</v>
      </c>
      <c r="L835" s="6">
        <v>5.7</v>
      </c>
      <c r="M835" s="6">
        <v>525.72</v>
      </c>
      <c r="N835" s="5" t="s">
        <v>35</v>
      </c>
      <c r="O835" s="5" t="s">
        <v>107</v>
      </c>
      <c r="P835" s="5" t="s">
        <v>150</v>
      </c>
      <c r="Q835" s="5" t="s">
        <v>69</v>
      </c>
      <c r="R835" s="5" t="s">
        <v>61</v>
      </c>
    </row>
    <row r="836" spans="1:18" x14ac:dyDescent="0.3">
      <c r="A836" s="2" t="s">
        <v>1991</v>
      </c>
      <c r="B836" s="1">
        <v>45263</v>
      </c>
      <c r="C836" s="2" t="s">
        <v>1992</v>
      </c>
      <c r="D836" s="2" t="s">
        <v>767</v>
      </c>
      <c r="E836" s="2" t="s">
        <v>231</v>
      </c>
      <c r="F836" s="2" t="s">
        <v>33</v>
      </c>
      <c r="G836" s="2" t="s">
        <v>66</v>
      </c>
      <c r="H836" s="3">
        <v>1</v>
      </c>
      <c r="I836" s="3">
        <v>290.81</v>
      </c>
      <c r="J836" s="2">
        <v>0.1</v>
      </c>
      <c r="K836" s="3">
        <v>20.94</v>
      </c>
      <c r="L836" s="3">
        <v>9.52</v>
      </c>
      <c r="M836" s="3">
        <v>292.19</v>
      </c>
      <c r="N836" s="2" t="s">
        <v>58</v>
      </c>
      <c r="O836" s="2" t="s">
        <v>144</v>
      </c>
      <c r="P836" s="2" t="s">
        <v>150</v>
      </c>
      <c r="Q836" s="2" t="s">
        <v>69</v>
      </c>
      <c r="R836" s="2" t="s">
        <v>38</v>
      </c>
    </row>
    <row r="837" spans="1:18" x14ac:dyDescent="0.3">
      <c r="A837" s="5" t="s">
        <v>1993</v>
      </c>
      <c r="B837" s="4">
        <v>44654</v>
      </c>
      <c r="C837" s="5" t="s">
        <v>1994</v>
      </c>
      <c r="D837" s="5" t="s">
        <v>312</v>
      </c>
      <c r="E837" s="5" t="s">
        <v>577</v>
      </c>
      <c r="F837" s="5" t="s">
        <v>43</v>
      </c>
      <c r="G837" s="5" t="s">
        <v>66</v>
      </c>
      <c r="H837" s="6">
        <v>4</v>
      </c>
      <c r="I837" s="6">
        <v>431.13</v>
      </c>
      <c r="J837" s="5">
        <v>0.25</v>
      </c>
      <c r="K837" s="6">
        <v>64.67</v>
      </c>
      <c r="L837" s="6">
        <v>13</v>
      </c>
      <c r="M837" s="6">
        <v>1371.06</v>
      </c>
      <c r="N837" s="5" t="s">
        <v>35</v>
      </c>
      <c r="O837" s="5" t="s">
        <v>25</v>
      </c>
      <c r="P837" s="5" t="s">
        <v>150</v>
      </c>
      <c r="Q837" s="5" t="s">
        <v>69</v>
      </c>
      <c r="R837" s="5" t="s">
        <v>38</v>
      </c>
    </row>
    <row r="838" spans="1:18" x14ac:dyDescent="0.3">
      <c r="A838" s="2" t="s">
        <v>1995</v>
      </c>
      <c r="B838" s="1">
        <v>44759</v>
      </c>
      <c r="C838" s="2" t="s">
        <v>1996</v>
      </c>
      <c r="D838" s="2" t="s">
        <v>517</v>
      </c>
      <c r="E838" s="2" t="s">
        <v>138</v>
      </c>
      <c r="F838" s="2" t="s">
        <v>143</v>
      </c>
      <c r="G838" s="2" t="s">
        <v>90</v>
      </c>
      <c r="H838" s="3">
        <v>1</v>
      </c>
      <c r="I838" s="3">
        <v>504.76</v>
      </c>
      <c r="J838" s="2">
        <v>0.2</v>
      </c>
      <c r="K838" s="3">
        <v>32.299999999999997</v>
      </c>
      <c r="L838" s="3">
        <v>3.51</v>
      </c>
      <c r="M838" s="3">
        <v>439.62</v>
      </c>
      <c r="N838" s="2" t="s">
        <v>24</v>
      </c>
      <c r="O838" s="2" t="s">
        <v>25</v>
      </c>
      <c r="P838" s="2" t="s">
        <v>173</v>
      </c>
      <c r="Q838" s="2" t="s">
        <v>174</v>
      </c>
      <c r="R838" s="2" t="s">
        <v>38</v>
      </c>
    </row>
    <row r="839" spans="1:18" x14ac:dyDescent="0.3">
      <c r="A839" s="5" t="s">
        <v>1997</v>
      </c>
      <c r="B839" s="4">
        <v>44764</v>
      </c>
      <c r="C839" s="5" t="s">
        <v>1998</v>
      </c>
      <c r="D839" s="5" t="s">
        <v>457</v>
      </c>
      <c r="E839" s="5" t="s">
        <v>32</v>
      </c>
      <c r="F839" s="5" t="s">
        <v>143</v>
      </c>
      <c r="G839" s="5" t="s">
        <v>268</v>
      </c>
      <c r="H839" s="6">
        <v>3</v>
      </c>
      <c r="I839" s="6">
        <v>447.99</v>
      </c>
      <c r="J839" s="5">
        <v>0</v>
      </c>
      <c r="K839" s="6">
        <v>161.28</v>
      </c>
      <c r="L839" s="6">
        <v>5.32</v>
      </c>
      <c r="M839" s="6">
        <v>1510.57</v>
      </c>
      <c r="N839" s="5" t="s">
        <v>50</v>
      </c>
      <c r="O839" s="5" t="s">
        <v>25</v>
      </c>
      <c r="P839" s="5" t="s">
        <v>165</v>
      </c>
      <c r="Q839" s="5" t="s">
        <v>37</v>
      </c>
      <c r="R839" s="5" t="s">
        <v>61</v>
      </c>
    </row>
    <row r="840" spans="1:18" x14ac:dyDescent="0.3">
      <c r="A840" s="2" t="s">
        <v>1999</v>
      </c>
      <c r="B840" s="1">
        <v>44971</v>
      </c>
      <c r="C840" s="2" t="s">
        <v>2000</v>
      </c>
      <c r="D840" s="2" t="s">
        <v>242</v>
      </c>
      <c r="E840" s="2" t="s">
        <v>386</v>
      </c>
      <c r="F840" s="2" t="s">
        <v>143</v>
      </c>
      <c r="G840" s="2" t="s">
        <v>100</v>
      </c>
      <c r="H840" s="3">
        <v>5</v>
      </c>
      <c r="I840" s="3">
        <v>562.46</v>
      </c>
      <c r="J840" s="2">
        <v>0</v>
      </c>
      <c r="K840" s="3">
        <v>224.98</v>
      </c>
      <c r="L840" s="3">
        <v>9.83</v>
      </c>
      <c r="M840" s="3">
        <v>3047.11</v>
      </c>
      <c r="N840" s="2" t="s">
        <v>58</v>
      </c>
      <c r="O840" s="2" t="s">
        <v>25</v>
      </c>
      <c r="P840" s="2" t="s">
        <v>145</v>
      </c>
      <c r="Q840" s="2" t="s">
        <v>146</v>
      </c>
      <c r="R840" s="2" t="s">
        <v>38</v>
      </c>
    </row>
    <row r="841" spans="1:18" x14ac:dyDescent="0.3">
      <c r="A841" s="5" t="s">
        <v>2001</v>
      </c>
      <c r="B841" s="4">
        <v>43964</v>
      </c>
      <c r="C841" s="5" t="s">
        <v>2002</v>
      </c>
      <c r="D841" s="5" t="s">
        <v>596</v>
      </c>
      <c r="E841" s="5" t="s">
        <v>21</v>
      </c>
      <c r="F841" s="5" t="s">
        <v>81</v>
      </c>
      <c r="G841" s="5" t="s">
        <v>34</v>
      </c>
      <c r="H841" s="6">
        <v>1</v>
      </c>
      <c r="I841" s="6">
        <v>30.62</v>
      </c>
      <c r="J841" s="5">
        <v>0</v>
      </c>
      <c r="K841" s="6">
        <v>3.67</v>
      </c>
      <c r="L841" s="6">
        <v>3.08</v>
      </c>
      <c r="M841" s="6">
        <v>37.369999999999997</v>
      </c>
      <c r="N841" s="5" t="s">
        <v>58</v>
      </c>
      <c r="O841" s="5" t="s">
        <v>25</v>
      </c>
      <c r="P841" s="5" t="s">
        <v>257</v>
      </c>
      <c r="Q841" s="5" t="s">
        <v>69</v>
      </c>
      <c r="R841" s="5" t="s">
        <v>28</v>
      </c>
    </row>
    <row r="842" spans="1:18" x14ac:dyDescent="0.3">
      <c r="A842" s="2" t="s">
        <v>2003</v>
      </c>
      <c r="B842" s="1">
        <v>43888</v>
      </c>
      <c r="C842" s="2" t="s">
        <v>2004</v>
      </c>
      <c r="D842" s="2" t="s">
        <v>675</v>
      </c>
      <c r="E842" s="2" t="s">
        <v>202</v>
      </c>
      <c r="F842" s="2" t="s">
        <v>22</v>
      </c>
      <c r="G842" s="2" t="s">
        <v>90</v>
      </c>
      <c r="H842" s="3">
        <v>3</v>
      </c>
      <c r="I842" s="3">
        <v>570.24</v>
      </c>
      <c r="J842" s="2">
        <v>0</v>
      </c>
      <c r="K842" s="3">
        <v>85.54</v>
      </c>
      <c r="L842" s="3">
        <v>4.0599999999999996</v>
      </c>
      <c r="M842" s="3">
        <v>1800.32</v>
      </c>
      <c r="N842" s="2" t="s">
        <v>123</v>
      </c>
      <c r="O842" s="2" t="s">
        <v>25</v>
      </c>
      <c r="P842" s="2" t="s">
        <v>150</v>
      </c>
      <c r="Q842" s="2" t="s">
        <v>69</v>
      </c>
      <c r="R842" s="2" t="s">
        <v>61</v>
      </c>
    </row>
    <row r="843" spans="1:18" x14ac:dyDescent="0.3">
      <c r="A843" s="5" t="s">
        <v>2005</v>
      </c>
      <c r="B843" s="4">
        <v>45410</v>
      </c>
      <c r="C843" s="5" t="s">
        <v>2006</v>
      </c>
      <c r="D843" s="5" t="s">
        <v>655</v>
      </c>
      <c r="E843" s="5" t="s">
        <v>216</v>
      </c>
      <c r="F843" s="5" t="s">
        <v>22</v>
      </c>
      <c r="G843" s="5" t="s">
        <v>66</v>
      </c>
      <c r="H843" s="6">
        <v>1</v>
      </c>
      <c r="I843" s="6">
        <v>553.07000000000005</v>
      </c>
      <c r="J843" s="5">
        <v>0.1</v>
      </c>
      <c r="K843" s="6">
        <v>89.6</v>
      </c>
      <c r="L843" s="6">
        <v>3.26</v>
      </c>
      <c r="M843" s="6">
        <v>590.62</v>
      </c>
      <c r="N843" s="5" t="s">
        <v>50</v>
      </c>
      <c r="O843" s="5" t="s">
        <v>144</v>
      </c>
      <c r="P843" s="5" t="s">
        <v>165</v>
      </c>
      <c r="Q843" s="5" t="s">
        <v>37</v>
      </c>
      <c r="R843" s="5" t="s">
        <v>38</v>
      </c>
    </row>
    <row r="844" spans="1:18" x14ac:dyDescent="0.3">
      <c r="A844" s="2" t="s">
        <v>2007</v>
      </c>
      <c r="B844" s="1">
        <v>44515</v>
      </c>
      <c r="C844" s="2" t="s">
        <v>2008</v>
      </c>
      <c r="D844" s="2" t="s">
        <v>47</v>
      </c>
      <c r="E844" s="2" t="s">
        <v>111</v>
      </c>
      <c r="F844" s="2" t="s">
        <v>143</v>
      </c>
      <c r="G844" s="2" t="s">
        <v>34</v>
      </c>
      <c r="H844" s="3">
        <v>3</v>
      </c>
      <c r="I844" s="3">
        <v>571.48</v>
      </c>
      <c r="J844" s="2">
        <v>0</v>
      </c>
      <c r="K844" s="3">
        <v>205.73</v>
      </c>
      <c r="L844" s="3">
        <v>0.15</v>
      </c>
      <c r="M844" s="3">
        <v>1920.32</v>
      </c>
      <c r="N844" s="2" t="s">
        <v>58</v>
      </c>
      <c r="O844" s="2" t="s">
        <v>25</v>
      </c>
      <c r="P844" s="2" t="s">
        <v>112</v>
      </c>
      <c r="Q844" s="2" t="s">
        <v>113</v>
      </c>
      <c r="R844" s="2" t="s">
        <v>38</v>
      </c>
    </row>
    <row r="845" spans="1:18" x14ac:dyDescent="0.3">
      <c r="A845" s="5" t="s">
        <v>2009</v>
      </c>
      <c r="B845" s="4">
        <v>44502</v>
      </c>
      <c r="C845" s="5" t="s">
        <v>2010</v>
      </c>
      <c r="D845" s="5" t="s">
        <v>701</v>
      </c>
      <c r="E845" s="5" t="s">
        <v>231</v>
      </c>
      <c r="F845" s="5" t="s">
        <v>81</v>
      </c>
      <c r="G845" s="5" t="s">
        <v>203</v>
      </c>
      <c r="H845" s="6">
        <v>3</v>
      </c>
      <c r="I845" s="6">
        <v>525.75</v>
      </c>
      <c r="J845" s="5">
        <v>0.25</v>
      </c>
      <c r="K845" s="6">
        <v>59.15</v>
      </c>
      <c r="L845" s="6">
        <v>9.24</v>
      </c>
      <c r="M845" s="6">
        <v>1251.33</v>
      </c>
      <c r="N845" s="5" t="s">
        <v>35</v>
      </c>
      <c r="O845" s="5" t="s">
        <v>59</v>
      </c>
      <c r="P845" s="5" t="s">
        <v>74</v>
      </c>
      <c r="Q845" s="5" t="s">
        <v>75</v>
      </c>
      <c r="R845" s="5" t="s">
        <v>28</v>
      </c>
    </row>
    <row r="846" spans="1:18" x14ac:dyDescent="0.3">
      <c r="A846" s="2" t="s">
        <v>2011</v>
      </c>
      <c r="B846" s="1">
        <v>44003</v>
      </c>
      <c r="C846" s="2" t="s">
        <v>2012</v>
      </c>
      <c r="D846" s="2" t="s">
        <v>634</v>
      </c>
      <c r="E846" s="2" t="s">
        <v>32</v>
      </c>
      <c r="F846" s="2" t="s">
        <v>43</v>
      </c>
      <c r="G846" s="2" t="s">
        <v>100</v>
      </c>
      <c r="H846" s="3">
        <v>2</v>
      </c>
      <c r="I846" s="3">
        <v>287.27999999999997</v>
      </c>
      <c r="J846" s="2">
        <v>0</v>
      </c>
      <c r="K846" s="3">
        <v>28.73</v>
      </c>
      <c r="L846" s="3">
        <v>7.87</v>
      </c>
      <c r="M846" s="3">
        <v>611.16</v>
      </c>
      <c r="N846" s="2" t="s">
        <v>67</v>
      </c>
      <c r="O846" s="2" t="s">
        <v>25</v>
      </c>
      <c r="P846" s="2" t="s">
        <v>178</v>
      </c>
      <c r="Q846" s="2" t="s">
        <v>69</v>
      </c>
      <c r="R846" s="2" t="s">
        <v>38</v>
      </c>
    </row>
    <row r="847" spans="1:18" x14ac:dyDescent="0.3">
      <c r="A847" s="5" t="s">
        <v>2013</v>
      </c>
      <c r="B847" s="4">
        <v>44645</v>
      </c>
      <c r="C847" s="5" t="s">
        <v>2014</v>
      </c>
      <c r="D847" s="5" t="s">
        <v>460</v>
      </c>
      <c r="E847" s="5" t="s">
        <v>156</v>
      </c>
      <c r="F847" s="5" t="s">
        <v>33</v>
      </c>
      <c r="G847" s="5" t="s">
        <v>198</v>
      </c>
      <c r="H847" s="6">
        <v>1</v>
      </c>
      <c r="I847" s="6">
        <v>84.78</v>
      </c>
      <c r="J847" s="5">
        <v>0.2</v>
      </c>
      <c r="K847" s="6">
        <v>3.39</v>
      </c>
      <c r="L847" s="6">
        <v>8.4499999999999993</v>
      </c>
      <c r="M847" s="6">
        <v>79.66</v>
      </c>
      <c r="N847" s="5" t="s">
        <v>67</v>
      </c>
      <c r="O847" s="5" t="s">
        <v>25</v>
      </c>
      <c r="P847" s="5" t="s">
        <v>26</v>
      </c>
      <c r="Q847" s="5" t="s">
        <v>27</v>
      </c>
      <c r="R847" s="5" t="s">
        <v>28</v>
      </c>
    </row>
    <row r="848" spans="1:18" x14ac:dyDescent="0.3">
      <c r="A848" s="2" t="s">
        <v>2015</v>
      </c>
      <c r="B848" s="1">
        <v>45003</v>
      </c>
      <c r="C848" s="2" t="s">
        <v>2016</v>
      </c>
      <c r="D848" s="2" t="s">
        <v>320</v>
      </c>
      <c r="E848" s="2" t="s">
        <v>197</v>
      </c>
      <c r="F848" s="2" t="s">
        <v>22</v>
      </c>
      <c r="G848" s="2" t="s">
        <v>57</v>
      </c>
      <c r="H848" s="3">
        <v>5</v>
      </c>
      <c r="I848" s="3">
        <v>550.62</v>
      </c>
      <c r="J848" s="2">
        <v>0.1</v>
      </c>
      <c r="K848" s="3">
        <v>198.22</v>
      </c>
      <c r="L848" s="3">
        <v>4.7300000000000004</v>
      </c>
      <c r="M848" s="3">
        <v>2680.74</v>
      </c>
      <c r="N848" s="2" t="s">
        <v>58</v>
      </c>
      <c r="O848" s="2" t="s">
        <v>25</v>
      </c>
      <c r="P848" s="2" t="s">
        <v>26</v>
      </c>
      <c r="Q848" s="2" t="s">
        <v>27</v>
      </c>
      <c r="R848" s="2" t="s">
        <v>61</v>
      </c>
    </row>
    <row r="849" spans="1:18" x14ac:dyDescent="0.3">
      <c r="A849" s="5" t="s">
        <v>2017</v>
      </c>
      <c r="B849" s="4">
        <v>43910</v>
      </c>
      <c r="C849" s="5" t="s">
        <v>2018</v>
      </c>
      <c r="D849" s="5" t="s">
        <v>731</v>
      </c>
      <c r="E849" s="5" t="s">
        <v>21</v>
      </c>
      <c r="F849" s="5" t="s">
        <v>81</v>
      </c>
      <c r="G849" s="5" t="s">
        <v>23</v>
      </c>
      <c r="H849" s="6">
        <v>4</v>
      </c>
      <c r="I849" s="6">
        <v>218.74</v>
      </c>
      <c r="J849" s="5">
        <v>0</v>
      </c>
      <c r="K849" s="6">
        <v>70</v>
      </c>
      <c r="L849" s="6">
        <v>13.33</v>
      </c>
      <c r="M849" s="6">
        <v>958.29</v>
      </c>
      <c r="N849" s="5" t="s">
        <v>24</v>
      </c>
      <c r="O849" s="5" t="s">
        <v>25</v>
      </c>
      <c r="P849" s="5" t="s">
        <v>257</v>
      </c>
      <c r="Q849" s="5" t="s">
        <v>69</v>
      </c>
      <c r="R849" s="5" t="s">
        <v>38</v>
      </c>
    </row>
    <row r="850" spans="1:18" x14ac:dyDescent="0.3">
      <c r="A850" s="2" t="s">
        <v>2019</v>
      </c>
      <c r="B850" s="1">
        <v>44716</v>
      </c>
      <c r="C850" s="2" t="s">
        <v>2020</v>
      </c>
      <c r="D850" s="2" t="s">
        <v>791</v>
      </c>
      <c r="E850" s="2" t="s">
        <v>177</v>
      </c>
      <c r="F850" s="2" t="s">
        <v>89</v>
      </c>
      <c r="G850" s="2" t="s">
        <v>268</v>
      </c>
      <c r="H850" s="3">
        <v>1</v>
      </c>
      <c r="I850" s="3">
        <v>585.61</v>
      </c>
      <c r="J850" s="2">
        <v>0.05</v>
      </c>
      <c r="K850" s="3">
        <v>27.82</v>
      </c>
      <c r="L850" s="3">
        <v>11.33</v>
      </c>
      <c r="M850" s="3">
        <v>595.48</v>
      </c>
      <c r="N850" s="2" t="s">
        <v>67</v>
      </c>
      <c r="O850" s="2" t="s">
        <v>25</v>
      </c>
      <c r="P850" s="2" t="s">
        <v>51</v>
      </c>
      <c r="Q850" s="2" t="s">
        <v>52</v>
      </c>
      <c r="R850" s="2" t="s">
        <v>38</v>
      </c>
    </row>
    <row r="851" spans="1:18" x14ac:dyDescent="0.3">
      <c r="A851" s="5" t="s">
        <v>2021</v>
      </c>
      <c r="B851" s="4">
        <v>45067</v>
      </c>
      <c r="C851" s="5" t="s">
        <v>2022</v>
      </c>
      <c r="D851" s="5" t="s">
        <v>648</v>
      </c>
      <c r="E851" s="5" t="s">
        <v>287</v>
      </c>
      <c r="F851" s="5" t="s">
        <v>22</v>
      </c>
      <c r="G851" s="5" t="s">
        <v>49</v>
      </c>
      <c r="H851" s="6">
        <v>5</v>
      </c>
      <c r="I851" s="6">
        <v>171.41</v>
      </c>
      <c r="J851" s="5">
        <v>0</v>
      </c>
      <c r="K851" s="6">
        <v>154.27000000000001</v>
      </c>
      <c r="L851" s="6">
        <v>0.28000000000000003</v>
      </c>
      <c r="M851" s="6">
        <v>1011.6</v>
      </c>
      <c r="N851" s="5" t="s">
        <v>50</v>
      </c>
      <c r="O851" s="5" t="s">
        <v>25</v>
      </c>
      <c r="P851" s="5" t="s">
        <v>36</v>
      </c>
      <c r="Q851" s="5" t="s">
        <v>37</v>
      </c>
      <c r="R851" s="5" t="s">
        <v>38</v>
      </c>
    </row>
    <row r="852" spans="1:18" x14ac:dyDescent="0.3">
      <c r="A852" s="2" t="s">
        <v>2023</v>
      </c>
      <c r="B852" s="1">
        <v>44033</v>
      </c>
      <c r="C852" s="2" t="s">
        <v>2024</v>
      </c>
      <c r="D852" s="2" t="s">
        <v>64</v>
      </c>
      <c r="E852" s="2" t="s">
        <v>111</v>
      </c>
      <c r="F852" s="2" t="s">
        <v>33</v>
      </c>
      <c r="G852" s="2" t="s">
        <v>66</v>
      </c>
      <c r="H852" s="3">
        <v>4</v>
      </c>
      <c r="I852" s="3">
        <v>280.11</v>
      </c>
      <c r="J852" s="2">
        <v>0.15</v>
      </c>
      <c r="K852" s="3">
        <v>171.43</v>
      </c>
      <c r="L852" s="3">
        <v>14.38</v>
      </c>
      <c r="M852" s="3">
        <v>1138.18</v>
      </c>
      <c r="N852" s="2" t="s">
        <v>58</v>
      </c>
      <c r="O852" s="2" t="s">
        <v>25</v>
      </c>
      <c r="P852" s="2" t="s">
        <v>257</v>
      </c>
      <c r="Q852" s="2" t="s">
        <v>69</v>
      </c>
      <c r="R852" s="2" t="s">
        <v>38</v>
      </c>
    </row>
    <row r="853" spans="1:18" x14ac:dyDescent="0.3">
      <c r="A853" s="5" t="s">
        <v>2025</v>
      </c>
      <c r="B853" s="4">
        <v>44594</v>
      </c>
      <c r="C853" s="5" t="s">
        <v>2026</v>
      </c>
      <c r="D853" s="5" t="s">
        <v>696</v>
      </c>
      <c r="E853" s="5" t="s">
        <v>94</v>
      </c>
      <c r="F853" s="5" t="s">
        <v>89</v>
      </c>
      <c r="G853" s="5" t="s">
        <v>203</v>
      </c>
      <c r="H853" s="6">
        <v>3</v>
      </c>
      <c r="I853" s="6">
        <v>385.36</v>
      </c>
      <c r="J853" s="5">
        <v>0.05</v>
      </c>
      <c r="K853" s="6">
        <v>54.91</v>
      </c>
      <c r="L853" s="6">
        <v>13.97</v>
      </c>
      <c r="M853" s="6">
        <v>1167.1600000000001</v>
      </c>
      <c r="N853" s="5" t="s">
        <v>35</v>
      </c>
      <c r="O853" s="5" t="s">
        <v>25</v>
      </c>
      <c r="P853" s="5" t="s">
        <v>117</v>
      </c>
      <c r="Q853" s="5" t="s">
        <v>118</v>
      </c>
      <c r="R853" s="5" t="s">
        <v>38</v>
      </c>
    </row>
    <row r="854" spans="1:18" x14ac:dyDescent="0.3">
      <c r="A854" s="2" t="s">
        <v>2027</v>
      </c>
      <c r="B854" s="1">
        <v>45083</v>
      </c>
      <c r="C854" s="2" t="s">
        <v>2028</v>
      </c>
      <c r="D854" s="2" t="s">
        <v>209</v>
      </c>
      <c r="E854" s="2" t="s">
        <v>111</v>
      </c>
      <c r="F854" s="2" t="s">
        <v>81</v>
      </c>
      <c r="G854" s="2" t="s">
        <v>49</v>
      </c>
      <c r="H854" s="3">
        <v>5</v>
      </c>
      <c r="I854" s="3">
        <v>192.27</v>
      </c>
      <c r="J854" s="2">
        <v>0</v>
      </c>
      <c r="K854" s="3">
        <v>48.07</v>
      </c>
      <c r="L854" s="3">
        <v>11.36</v>
      </c>
      <c r="M854" s="3">
        <v>1020.78</v>
      </c>
      <c r="N854" s="2" t="s">
        <v>50</v>
      </c>
      <c r="O854" s="2" t="s">
        <v>107</v>
      </c>
      <c r="P854" s="2" t="s">
        <v>133</v>
      </c>
      <c r="Q854" s="2" t="s">
        <v>134</v>
      </c>
      <c r="R854" s="2" t="s">
        <v>183</v>
      </c>
    </row>
    <row r="855" spans="1:18" x14ac:dyDescent="0.3">
      <c r="A855" s="5" t="s">
        <v>2029</v>
      </c>
      <c r="B855" s="4">
        <v>45530</v>
      </c>
      <c r="C855" s="5" t="s">
        <v>2030</v>
      </c>
      <c r="D855" s="5" t="s">
        <v>1367</v>
      </c>
      <c r="E855" s="5" t="s">
        <v>32</v>
      </c>
      <c r="F855" s="5" t="s">
        <v>33</v>
      </c>
      <c r="G855" s="5" t="s">
        <v>49</v>
      </c>
      <c r="H855" s="6">
        <v>2</v>
      </c>
      <c r="I855" s="6">
        <v>549.01</v>
      </c>
      <c r="J855" s="5">
        <v>0</v>
      </c>
      <c r="K855" s="6">
        <v>87.84</v>
      </c>
      <c r="L855" s="6">
        <v>14.88</v>
      </c>
      <c r="M855" s="6">
        <v>1200.74</v>
      </c>
      <c r="N855" s="5" t="s">
        <v>35</v>
      </c>
      <c r="O855" s="5" t="s">
        <v>25</v>
      </c>
      <c r="P855" s="5" t="s">
        <v>150</v>
      </c>
      <c r="Q855" s="5" t="s">
        <v>69</v>
      </c>
      <c r="R855" s="5" t="s">
        <v>38</v>
      </c>
    </row>
    <row r="856" spans="1:18" x14ac:dyDescent="0.3">
      <c r="A856" s="2" t="s">
        <v>2031</v>
      </c>
      <c r="B856" s="1">
        <v>45081</v>
      </c>
      <c r="C856" s="2" t="s">
        <v>2032</v>
      </c>
      <c r="D856" s="2" t="s">
        <v>209</v>
      </c>
      <c r="E856" s="2" t="s">
        <v>94</v>
      </c>
      <c r="F856" s="2" t="s">
        <v>22</v>
      </c>
      <c r="G856" s="2" t="s">
        <v>23</v>
      </c>
      <c r="H856" s="3">
        <v>2</v>
      </c>
      <c r="I856" s="3">
        <v>6.49</v>
      </c>
      <c r="J856" s="2">
        <v>0.2</v>
      </c>
      <c r="K856" s="3">
        <v>0.52</v>
      </c>
      <c r="L856" s="3">
        <v>0.38</v>
      </c>
      <c r="M856" s="3">
        <v>11.28</v>
      </c>
      <c r="N856" s="2" t="s">
        <v>24</v>
      </c>
      <c r="O856" s="2" t="s">
        <v>107</v>
      </c>
      <c r="P856" s="2" t="s">
        <v>95</v>
      </c>
      <c r="Q856" s="2" t="s">
        <v>37</v>
      </c>
      <c r="R856" s="2" t="s">
        <v>38</v>
      </c>
    </row>
    <row r="857" spans="1:18" x14ac:dyDescent="0.3">
      <c r="A857" s="5" t="s">
        <v>2033</v>
      </c>
      <c r="B857" s="4">
        <v>45513</v>
      </c>
      <c r="C857" s="5" t="s">
        <v>2034</v>
      </c>
      <c r="D857" s="5" t="s">
        <v>882</v>
      </c>
      <c r="E857" s="5" t="s">
        <v>48</v>
      </c>
      <c r="F857" s="5" t="s">
        <v>81</v>
      </c>
      <c r="G857" s="5" t="s">
        <v>268</v>
      </c>
      <c r="H857" s="6">
        <v>3</v>
      </c>
      <c r="I857" s="6">
        <v>394.94</v>
      </c>
      <c r="J857" s="5">
        <v>0</v>
      </c>
      <c r="K857" s="6">
        <v>94.79</v>
      </c>
      <c r="L857" s="6">
        <v>7.86</v>
      </c>
      <c r="M857" s="6">
        <v>1287.47</v>
      </c>
      <c r="N857" s="5" t="s">
        <v>58</v>
      </c>
      <c r="O857" s="5" t="s">
        <v>25</v>
      </c>
      <c r="P857" s="5" t="s">
        <v>26</v>
      </c>
      <c r="Q857" s="5" t="s">
        <v>27</v>
      </c>
      <c r="R857" s="5" t="s">
        <v>38</v>
      </c>
    </row>
    <row r="858" spans="1:18" x14ac:dyDescent="0.3">
      <c r="A858" s="2" t="s">
        <v>2035</v>
      </c>
      <c r="B858" s="1">
        <v>45386</v>
      </c>
      <c r="C858" s="2" t="s">
        <v>2036</v>
      </c>
      <c r="D858" s="2" t="s">
        <v>149</v>
      </c>
      <c r="E858" s="2" t="s">
        <v>73</v>
      </c>
      <c r="F858" s="2" t="s">
        <v>33</v>
      </c>
      <c r="G858" s="2" t="s">
        <v>49</v>
      </c>
      <c r="H858" s="3">
        <v>4</v>
      </c>
      <c r="I858" s="3">
        <v>189.64</v>
      </c>
      <c r="J858" s="2">
        <v>0.15</v>
      </c>
      <c r="K858" s="3">
        <v>77.37</v>
      </c>
      <c r="L858" s="3">
        <v>14.82</v>
      </c>
      <c r="M858" s="3">
        <v>736.97</v>
      </c>
      <c r="N858" s="2" t="s">
        <v>24</v>
      </c>
      <c r="O858" s="2" t="s">
        <v>25</v>
      </c>
      <c r="P858" s="2" t="s">
        <v>257</v>
      </c>
      <c r="Q858" s="2" t="s">
        <v>69</v>
      </c>
      <c r="R858" s="2" t="s">
        <v>38</v>
      </c>
    </row>
    <row r="859" spans="1:18" x14ac:dyDescent="0.3">
      <c r="A859" s="5" t="s">
        <v>2037</v>
      </c>
      <c r="B859" s="4">
        <v>45295</v>
      </c>
      <c r="C859" s="5" t="s">
        <v>2038</v>
      </c>
      <c r="D859" s="5" t="s">
        <v>286</v>
      </c>
      <c r="E859" s="5" t="s">
        <v>349</v>
      </c>
      <c r="F859" s="5" t="s">
        <v>43</v>
      </c>
      <c r="G859" s="5" t="s">
        <v>203</v>
      </c>
      <c r="H859" s="6">
        <v>4</v>
      </c>
      <c r="I859" s="6">
        <v>99.03</v>
      </c>
      <c r="J859" s="5">
        <v>0.05</v>
      </c>
      <c r="K859" s="6">
        <v>45.16</v>
      </c>
      <c r="L859" s="6">
        <v>8.5299999999999994</v>
      </c>
      <c r="M859" s="6">
        <v>430</v>
      </c>
      <c r="N859" s="5" t="s">
        <v>35</v>
      </c>
      <c r="O859" s="5" t="s">
        <v>107</v>
      </c>
      <c r="P859" s="5" t="s">
        <v>257</v>
      </c>
      <c r="Q859" s="5" t="s">
        <v>69</v>
      </c>
      <c r="R859" s="5" t="s">
        <v>38</v>
      </c>
    </row>
    <row r="860" spans="1:18" x14ac:dyDescent="0.3">
      <c r="A860" s="2" t="s">
        <v>2039</v>
      </c>
      <c r="B860" s="1">
        <v>45256</v>
      </c>
      <c r="C860" s="2" t="s">
        <v>2040</v>
      </c>
      <c r="D860" s="2" t="s">
        <v>645</v>
      </c>
      <c r="E860" s="2" t="s">
        <v>177</v>
      </c>
      <c r="F860" s="2" t="s">
        <v>143</v>
      </c>
      <c r="G860" s="2" t="s">
        <v>23</v>
      </c>
      <c r="H860" s="3">
        <v>2</v>
      </c>
      <c r="I860" s="3">
        <v>531.69000000000005</v>
      </c>
      <c r="J860" s="2">
        <v>0</v>
      </c>
      <c r="K860" s="3">
        <v>85.07</v>
      </c>
      <c r="L860" s="3">
        <v>10.11</v>
      </c>
      <c r="M860" s="3">
        <v>1158.56</v>
      </c>
      <c r="N860" s="2" t="s">
        <v>123</v>
      </c>
      <c r="O860" s="2" t="s">
        <v>25</v>
      </c>
      <c r="P860" s="2" t="s">
        <v>68</v>
      </c>
      <c r="Q860" s="2" t="s">
        <v>69</v>
      </c>
      <c r="R860" s="2" t="s">
        <v>28</v>
      </c>
    </row>
    <row r="861" spans="1:18" x14ac:dyDescent="0.3">
      <c r="A861" s="5" t="s">
        <v>2041</v>
      </c>
      <c r="B861" s="4">
        <v>43877</v>
      </c>
      <c r="C861" s="5" t="s">
        <v>2042</v>
      </c>
      <c r="D861" s="5" t="s">
        <v>497</v>
      </c>
      <c r="E861" s="5" t="s">
        <v>294</v>
      </c>
      <c r="F861" s="5" t="s">
        <v>89</v>
      </c>
      <c r="G861" s="5" t="s">
        <v>49</v>
      </c>
      <c r="H861" s="6">
        <v>2</v>
      </c>
      <c r="I861" s="6">
        <v>444.34</v>
      </c>
      <c r="J861" s="5">
        <v>0</v>
      </c>
      <c r="K861" s="6">
        <v>44.43</v>
      </c>
      <c r="L861" s="6">
        <v>4.2300000000000004</v>
      </c>
      <c r="M861" s="6">
        <v>937.34</v>
      </c>
      <c r="N861" s="5" t="s">
        <v>58</v>
      </c>
      <c r="O861" s="5" t="s">
        <v>25</v>
      </c>
      <c r="P861" s="5" t="s">
        <v>68</v>
      </c>
      <c r="Q861" s="5" t="s">
        <v>69</v>
      </c>
      <c r="R861" s="5" t="s">
        <v>38</v>
      </c>
    </row>
    <row r="862" spans="1:18" x14ac:dyDescent="0.3">
      <c r="A862" s="2" t="s">
        <v>2043</v>
      </c>
      <c r="B862" s="1">
        <v>45087</v>
      </c>
      <c r="C862" s="2" t="s">
        <v>2044</v>
      </c>
      <c r="D862" s="2" t="s">
        <v>477</v>
      </c>
      <c r="E862" s="2" t="s">
        <v>498</v>
      </c>
      <c r="F862" s="2" t="s">
        <v>33</v>
      </c>
      <c r="G862" s="2" t="s">
        <v>90</v>
      </c>
      <c r="H862" s="3">
        <v>1</v>
      </c>
      <c r="I862" s="3">
        <v>257.01</v>
      </c>
      <c r="J862" s="2">
        <v>0.05</v>
      </c>
      <c r="K862" s="3">
        <v>12.21</v>
      </c>
      <c r="L862" s="3">
        <v>14.41</v>
      </c>
      <c r="M862" s="3">
        <v>270.77999999999997</v>
      </c>
      <c r="N862" s="2" t="s">
        <v>35</v>
      </c>
      <c r="O862" s="2" t="s">
        <v>107</v>
      </c>
      <c r="P862" s="2" t="s">
        <v>60</v>
      </c>
      <c r="Q862" s="2" t="s">
        <v>37</v>
      </c>
      <c r="R862" s="2" t="s">
        <v>61</v>
      </c>
    </row>
    <row r="863" spans="1:18" x14ac:dyDescent="0.3">
      <c r="A863" s="5" t="s">
        <v>2045</v>
      </c>
      <c r="B863" s="4">
        <v>45159</v>
      </c>
      <c r="C863" s="5" t="s">
        <v>2046</v>
      </c>
      <c r="D863" s="5" t="s">
        <v>539</v>
      </c>
      <c r="E863" s="5" t="s">
        <v>267</v>
      </c>
      <c r="F863" s="5" t="s">
        <v>43</v>
      </c>
      <c r="G863" s="5" t="s">
        <v>34</v>
      </c>
      <c r="H863" s="6">
        <v>3</v>
      </c>
      <c r="I863" s="6">
        <v>561.66999999999996</v>
      </c>
      <c r="J863" s="5">
        <v>0.15</v>
      </c>
      <c r="K863" s="6">
        <v>114.58</v>
      </c>
      <c r="L863" s="6">
        <v>11.15</v>
      </c>
      <c r="M863" s="6">
        <v>1557.99</v>
      </c>
      <c r="N863" s="5" t="s">
        <v>58</v>
      </c>
      <c r="O863" s="5" t="s">
        <v>107</v>
      </c>
      <c r="P863" s="5" t="s">
        <v>165</v>
      </c>
      <c r="Q863" s="5" t="s">
        <v>37</v>
      </c>
      <c r="R863" s="5" t="s">
        <v>183</v>
      </c>
    </row>
    <row r="864" spans="1:18" x14ac:dyDescent="0.3">
      <c r="A864" s="2" t="s">
        <v>2047</v>
      </c>
      <c r="B864" s="1">
        <v>45380</v>
      </c>
      <c r="C864" s="2" t="s">
        <v>2048</v>
      </c>
      <c r="D864" s="2" t="s">
        <v>405</v>
      </c>
      <c r="E864" s="2" t="s">
        <v>106</v>
      </c>
      <c r="F864" s="2" t="s">
        <v>33</v>
      </c>
      <c r="G864" s="2" t="s">
        <v>203</v>
      </c>
      <c r="H864" s="3">
        <v>5</v>
      </c>
      <c r="I864" s="3">
        <v>162.68</v>
      </c>
      <c r="J864" s="2">
        <v>0</v>
      </c>
      <c r="K864" s="3">
        <v>97.61</v>
      </c>
      <c r="L864" s="3">
        <v>4.18</v>
      </c>
      <c r="M864" s="3">
        <v>915.19</v>
      </c>
      <c r="N864" s="2" t="s">
        <v>50</v>
      </c>
      <c r="O864" s="2" t="s">
        <v>82</v>
      </c>
      <c r="P864" s="2" t="s">
        <v>178</v>
      </c>
      <c r="Q864" s="2" t="s">
        <v>69</v>
      </c>
      <c r="R864" s="2" t="s">
        <v>38</v>
      </c>
    </row>
    <row r="865" spans="1:18" x14ac:dyDescent="0.3">
      <c r="A865" s="5" t="s">
        <v>2049</v>
      </c>
      <c r="B865" s="4">
        <v>44997</v>
      </c>
      <c r="C865" s="5" t="s">
        <v>2050</v>
      </c>
      <c r="D865" s="5" t="s">
        <v>839</v>
      </c>
      <c r="E865" s="5" t="s">
        <v>42</v>
      </c>
      <c r="F865" s="5" t="s">
        <v>81</v>
      </c>
      <c r="G865" s="5" t="s">
        <v>66</v>
      </c>
      <c r="H865" s="6">
        <v>1</v>
      </c>
      <c r="I865" s="6">
        <v>185.55</v>
      </c>
      <c r="J865" s="5">
        <v>0</v>
      </c>
      <c r="K865" s="6">
        <v>9.2799999999999994</v>
      </c>
      <c r="L865" s="6">
        <v>14.74</v>
      </c>
      <c r="M865" s="6">
        <v>209.57</v>
      </c>
      <c r="N865" s="5" t="s">
        <v>24</v>
      </c>
      <c r="O865" s="5" t="s">
        <v>25</v>
      </c>
      <c r="P865" s="5" t="s">
        <v>44</v>
      </c>
      <c r="Q865" s="5" t="s">
        <v>37</v>
      </c>
      <c r="R865" s="5" t="s">
        <v>183</v>
      </c>
    </row>
    <row r="866" spans="1:18" x14ac:dyDescent="0.3">
      <c r="A866" s="2" t="s">
        <v>2051</v>
      </c>
      <c r="B866" s="1">
        <v>45269</v>
      </c>
      <c r="C866" s="2" t="s">
        <v>629</v>
      </c>
      <c r="D866" s="2" t="s">
        <v>276</v>
      </c>
      <c r="E866" s="2" t="s">
        <v>271</v>
      </c>
      <c r="F866" s="2" t="s">
        <v>143</v>
      </c>
      <c r="G866" s="2" t="s">
        <v>66</v>
      </c>
      <c r="H866" s="3">
        <v>1</v>
      </c>
      <c r="I866" s="3">
        <v>196.13</v>
      </c>
      <c r="J866" s="2">
        <v>0</v>
      </c>
      <c r="K866" s="3">
        <v>15.69</v>
      </c>
      <c r="L866" s="3">
        <v>10.44</v>
      </c>
      <c r="M866" s="3">
        <v>222.26</v>
      </c>
      <c r="N866" s="2" t="s">
        <v>24</v>
      </c>
      <c r="O866" s="2" t="s">
        <v>25</v>
      </c>
      <c r="P866" s="2" t="s">
        <v>60</v>
      </c>
      <c r="Q866" s="2" t="s">
        <v>37</v>
      </c>
      <c r="R866" s="2" t="s">
        <v>28</v>
      </c>
    </row>
    <row r="867" spans="1:18" x14ac:dyDescent="0.3">
      <c r="A867" s="5" t="s">
        <v>2052</v>
      </c>
      <c r="B867" s="4">
        <v>45367</v>
      </c>
      <c r="C867" s="5" t="s">
        <v>2053</v>
      </c>
      <c r="D867" s="5" t="s">
        <v>589</v>
      </c>
      <c r="E867" s="5" t="s">
        <v>182</v>
      </c>
      <c r="F867" s="5" t="s">
        <v>89</v>
      </c>
      <c r="G867" s="5" t="s">
        <v>34</v>
      </c>
      <c r="H867" s="6">
        <v>1</v>
      </c>
      <c r="I867" s="6">
        <v>259.39</v>
      </c>
      <c r="J867" s="5">
        <v>0</v>
      </c>
      <c r="K867" s="6">
        <v>20.75</v>
      </c>
      <c r="L867" s="6">
        <v>7.95</v>
      </c>
      <c r="M867" s="6">
        <v>288.08999999999997</v>
      </c>
      <c r="N867" s="5" t="s">
        <v>24</v>
      </c>
      <c r="O867" s="5" t="s">
        <v>25</v>
      </c>
      <c r="P867" s="5" t="s">
        <v>257</v>
      </c>
      <c r="Q867" s="5" t="s">
        <v>69</v>
      </c>
      <c r="R867" s="5" t="s">
        <v>38</v>
      </c>
    </row>
    <row r="868" spans="1:18" x14ac:dyDescent="0.3">
      <c r="A868" s="2" t="s">
        <v>2054</v>
      </c>
      <c r="B868" s="1">
        <v>45227</v>
      </c>
      <c r="C868" s="2" t="s">
        <v>2055</v>
      </c>
      <c r="D868" s="2" t="s">
        <v>731</v>
      </c>
      <c r="E868" s="2" t="s">
        <v>231</v>
      </c>
      <c r="F868" s="2" t="s">
        <v>33</v>
      </c>
      <c r="G868" s="2" t="s">
        <v>66</v>
      </c>
      <c r="H868" s="3">
        <v>4</v>
      </c>
      <c r="I868" s="3">
        <v>235.56</v>
      </c>
      <c r="J868" s="2">
        <v>0.05</v>
      </c>
      <c r="K868" s="3">
        <v>71.61</v>
      </c>
      <c r="L868" s="3">
        <v>0.81</v>
      </c>
      <c r="M868" s="3">
        <v>967.55</v>
      </c>
      <c r="N868" s="2" t="s">
        <v>24</v>
      </c>
      <c r="O868" s="2" t="s">
        <v>25</v>
      </c>
      <c r="P868" s="2" t="s">
        <v>60</v>
      </c>
      <c r="Q868" s="2" t="s">
        <v>37</v>
      </c>
      <c r="R868" s="2" t="s">
        <v>183</v>
      </c>
    </row>
    <row r="869" spans="1:18" x14ac:dyDescent="0.3">
      <c r="A869" s="5" t="s">
        <v>2056</v>
      </c>
      <c r="B869" s="4">
        <v>45420</v>
      </c>
      <c r="C869" s="5" t="s">
        <v>2057</v>
      </c>
      <c r="D869" s="5" t="s">
        <v>352</v>
      </c>
      <c r="E869" s="5" t="s">
        <v>142</v>
      </c>
      <c r="F869" s="5" t="s">
        <v>143</v>
      </c>
      <c r="G869" s="5" t="s">
        <v>23</v>
      </c>
      <c r="H869" s="6">
        <v>4</v>
      </c>
      <c r="I869" s="6">
        <v>40.69</v>
      </c>
      <c r="J869" s="5">
        <v>0.05</v>
      </c>
      <c r="K869" s="6">
        <v>12.37</v>
      </c>
      <c r="L869" s="6">
        <v>12.4</v>
      </c>
      <c r="M869" s="6">
        <v>179.39</v>
      </c>
      <c r="N869" s="5" t="s">
        <v>123</v>
      </c>
      <c r="O869" s="5" t="s">
        <v>25</v>
      </c>
      <c r="P869" s="5" t="s">
        <v>117</v>
      </c>
      <c r="Q869" s="5" t="s">
        <v>118</v>
      </c>
      <c r="R869" s="5" t="s">
        <v>76</v>
      </c>
    </row>
    <row r="870" spans="1:18" x14ac:dyDescent="0.3">
      <c r="A870" s="2" t="s">
        <v>2058</v>
      </c>
      <c r="B870" s="1">
        <v>45113</v>
      </c>
      <c r="C870" s="2" t="s">
        <v>2059</v>
      </c>
      <c r="D870" s="2" t="s">
        <v>189</v>
      </c>
      <c r="E870" s="2" t="s">
        <v>156</v>
      </c>
      <c r="F870" s="2" t="s">
        <v>81</v>
      </c>
      <c r="G870" s="2" t="s">
        <v>23</v>
      </c>
      <c r="H870" s="3">
        <v>4</v>
      </c>
      <c r="I870" s="3">
        <v>265</v>
      </c>
      <c r="J870" s="2">
        <v>0</v>
      </c>
      <c r="K870" s="3">
        <v>190.8</v>
      </c>
      <c r="L870" s="3">
        <v>2.56</v>
      </c>
      <c r="M870" s="3">
        <v>1253.3599999999999</v>
      </c>
      <c r="N870" s="2" t="s">
        <v>58</v>
      </c>
      <c r="O870" s="2" t="s">
        <v>25</v>
      </c>
      <c r="P870" s="2" t="s">
        <v>257</v>
      </c>
      <c r="Q870" s="2" t="s">
        <v>69</v>
      </c>
      <c r="R870" s="2" t="s">
        <v>38</v>
      </c>
    </row>
    <row r="871" spans="1:18" x14ac:dyDescent="0.3">
      <c r="A871" s="5" t="s">
        <v>2060</v>
      </c>
      <c r="B871" s="4">
        <v>44486</v>
      </c>
      <c r="C871" s="5" t="s">
        <v>2061</v>
      </c>
      <c r="D871" s="5" t="s">
        <v>186</v>
      </c>
      <c r="E871" s="5" t="s">
        <v>88</v>
      </c>
      <c r="F871" s="5" t="s">
        <v>43</v>
      </c>
      <c r="G871" s="5" t="s">
        <v>203</v>
      </c>
      <c r="H871" s="6">
        <v>4</v>
      </c>
      <c r="I871" s="6">
        <v>200.64</v>
      </c>
      <c r="J871" s="5">
        <v>0.1</v>
      </c>
      <c r="K871" s="6">
        <v>57.78</v>
      </c>
      <c r="L871" s="6">
        <v>6.73</v>
      </c>
      <c r="M871" s="6">
        <v>786.81</v>
      </c>
      <c r="N871" s="5" t="s">
        <v>58</v>
      </c>
      <c r="O871" s="5" t="s">
        <v>107</v>
      </c>
      <c r="P871" s="5" t="s">
        <v>36</v>
      </c>
      <c r="Q871" s="5" t="s">
        <v>37</v>
      </c>
      <c r="R871" s="5" t="s">
        <v>38</v>
      </c>
    </row>
    <row r="872" spans="1:18" x14ac:dyDescent="0.3">
      <c r="A872" s="2" t="s">
        <v>2062</v>
      </c>
      <c r="B872" s="1">
        <v>44301</v>
      </c>
      <c r="C872" s="2" t="s">
        <v>2063</v>
      </c>
      <c r="D872" s="2" t="s">
        <v>290</v>
      </c>
      <c r="E872" s="2" t="s">
        <v>65</v>
      </c>
      <c r="F872" s="2" t="s">
        <v>89</v>
      </c>
      <c r="G872" s="2" t="s">
        <v>268</v>
      </c>
      <c r="H872" s="3">
        <v>5</v>
      </c>
      <c r="I872" s="3">
        <v>525.72</v>
      </c>
      <c r="J872" s="2">
        <v>0.05</v>
      </c>
      <c r="K872" s="3">
        <v>199.77</v>
      </c>
      <c r="L872" s="3">
        <v>7.45</v>
      </c>
      <c r="M872" s="3">
        <v>2704.39</v>
      </c>
      <c r="N872" s="2" t="s">
        <v>123</v>
      </c>
      <c r="O872" s="2" t="s">
        <v>107</v>
      </c>
      <c r="P872" s="2" t="s">
        <v>117</v>
      </c>
      <c r="Q872" s="2" t="s">
        <v>118</v>
      </c>
      <c r="R872" s="2" t="s">
        <v>38</v>
      </c>
    </row>
    <row r="873" spans="1:18" x14ac:dyDescent="0.3">
      <c r="A873" s="5" t="s">
        <v>2064</v>
      </c>
      <c r="B873" s="4">
        <v>44801</v>
      </c>
      <c r="C873" s="5" t="s">
        <v>2065</v>
      </c>
      <c r="D873" s="5" t="s">
        <v>1176</v>
      </c>
      <c r="E873" s="5" t="s">
        <v>597</v>
      </c>
      <c r="F873" s="5" t="s">
        <v>143</v>
      </c>
      <c r="G873" s="5" t="s">
        <v>49</v>
      </c>
      <c r="H873" s="6">
        <v>4</v>
      </c>
      <c r="I873" s="6">
        <v>557.83000000000004</v>
      </c>
      <c r="J873" s="5">
        <v>0</v>
      </c>
      <c r="K873" s="6">
        <v>267.76</v>
      </c>
      <c r="L873" s="6">
        <v>7.45</v>
      </c>
      <c r="M873" s="6">
        <v>2506.5300000000002</v>
      </c>
      <c r="N873" s="5" t="s">
        <v>58</v>
      </c>
      <c r="O873" s="5" t="s">
        <v>25</v>
      </c>
      <c r="P873" s="5" t="s">
        <v>133</v>
      </c>
      <c r="Q873" s="5" t="s">
        <v>134</v>
      </c>
      <c r="R873" s="5" t="s">
        <v>38</v>
      </c>
    </row>
    <row r="874" spans="1:18" x14ac:dyDescent="0.3">
      <c r="A874" s="2" t="s">
        <v>2066</v>
      </c>
      <c r="B874" s="1">
        <v>44866</v>
      </c>
      <c r="C874" s="2" t="s">
        <v>2067</v>
      </c>
      <c r="D874" s="2" t="s">
        <v>1352</v>
      </c>
      <c r="E874" s="2" t="s">
        <v>190</v>
      </c>
      <c r="F874" s="2" t="s">
        <v>81</v>
      </c>
      <c r="G874" s="2" t="s">
        <v>268</v>
      </c>
      <c r="H874" s="3">
        <v>5</v>
      </c>
      <c r="I874" s="3">
        <v>508.94</v>
      </c>
      <c r="J874" s="2">
        <v>0</v>
      </c>
      <c r="K874" s="3">
        <v>203.58</v>
      </c>
      <c r="L874" s="3">
        <v>12.96</v>
      </c>
      <c r="M874" s="3">
        <v>2761.24</v>
      </c>
      <c r="N874" s="2" t="s">
        <v>58</v>
      </c>
      <c r="O874" s="2" t="s">
        <v>25</v>
      </c>
      <c r="P874" s="2" t="s">
        <v>173</v>
      </c>
      <c r="Q874" s="2" t="s">
        <v>174</v>
      </c>
      <c r="R874" s="2" t="s">
        <v>38</v>
      </c>
    </row>
    <row r="875" spans="1:18" x14ac:dyDescent="0.3">
      <c r="A875" s="5" t="s">
        <v>2068</v>
      </c>
      <c r="B875" s="4">
        <v>45184</v>
      </c>
      <c r="C875" s="5" t="s">
        <v>2069</v>
      </c>
      <c r="D875" s="5" t="s">
        <v>589</v>
      </c>
      <c r="E875" s="5" t="s">
        <v>48</v>
      </c>
      <c r="F875" s="5" t="s">
        <v>43</v>
      </c>
      <c r="G875" s="5" t="s">
        <v>57</v>
      </c>
      <c r="H875" s="6">
        <v>3</v>
      </c>
      <c r="I875" s="6">
        <v>53.46</v>
      </c>
      <c r="J875" s="5">
        <v>0.05</v>
      </c>
      <c r="K875" s="6">
        <v>18.28</v>
      </c>
      <c r="L875" s="6">
        <v>2.29</v>
      </c>
      <c r="M875" s="6">
        <v>172.93</v>
      </c>
      <c r="N875" s="5" t="s">
        <v>123</v>
      </c>
      <c r="O875" s="5" t="s">
        <v>25</v>
      </c>
      <c r="P875" s="5" t="s">
        <v>101</v>
      </c>
      <c r="Q875" s="5" t="s">
        <v>102</v>
      </c>
      <c r="R875" s="5" t="s">
        <v>38</v>
      </c>
    </row>
    <row r="876" spans="1:18" x14ac:dyDescent="0.3">
      <c r="A876" s="2" t="s">
        <v>2070</v>
      </c>
      <c r="B876" s="1">
        <v>44566</v>
      </c>
      <c r="C876" s="2" t="s">
        <v>2071</v>
      </c>
      <c r="D876" s="2" t="s">
        <v>93</v>
      </c>
      <c r="E876" s="2" t="s">
        <v>425</v>
      </c>
      <c r="F876" s="2" t="s">
        <v>43</v>
      </c>
      <c r="G876" s="2" t="s">
        <v>57</v>
      </c>
      <c r="H876" s="3">
        <v>1</v>
      </c>
      <c r="I876" s="3">
        <v>520.46</v>
      </c>
      <c r="J876" s="2">
        <v>0.15</v>
      </c>
      <c r="K876" s="3">
        <v>79.63</v>
      </c>
      <c r="L876" s="3">
        <v>8.2100000000000009</v>
      </c>
      <c r="M876" s="3">
        <v>530.23</v>
      </c>
      <c r="N876" s="2" t="s">
        <v>35</v>
      </c>
      <c r="O876" s="2" t="s">
        <v>107</v>
      </c>
      <c r="P876" s="2" t="s">
        <v>74</v>
      </c>
      <c r="Q876" s="2" t="s">
        <v>75</v>
      </c>
      <c r="R876" s="2" t="s">
        <v>38</v>
      </c>
    </row>
    <row r="877" spans="1:18" x14ac:dyDescent="0.3">
      <c r="A877" s="5" t="s">
        <v>2072</v>
      </c>
      <c r="B877" s="4">
        <v>44614</v>
      </c>
      <c r="C877" s="5" t="s">
        <v>2073</v>
      </c>
      <c r="D877" s="5" t="s">
        <v>720</v>
      </c>
      <c r="E877" s="5" t="s">
        <v>21</v>
      </c>
      <c r="F877" s="5" t="s">
        <v>22</v>
      </c>
      <c r="G877" s="5" t="s">
        <v>49</v>
      </c>
      <c r="H877" s="6">
        <v>2</v>
      </c>
      <c r="I877" s="6">
        <v>271.04000000000002</v>
      </c>
      <c r="J877" s="5">
        <v>0.2</v>
      </c>
      <c r="K877" s="6">
        <v>21.68</v>
      </c>
      <c r="L877" s="6">
        <v>7.82</v>
      </c>
      <c r="M877" s="6">
        <v>463.16</v>
      </c>
      <c r="N877" s="5" t="s">
        <v>35</v>
      </c>
      <c r="O877" s="5" t="s">
        <v>25</v>
      </c>
      <c r="P877" s="5" t="s">
        <v>26</v>
      </c>
      <c r="Q877" s="5" t="s">
        <v>27</v>
      </c>
      <c r="R877" s="5" t="s">
        <v>38</v>
      </c>
    </row>
    <row r="878" spans="1:18" x14ac:dyDescent="0.3">
      <c r="A878" s="2" t="s">
        <v>2074</v>
      </c>
      <c r="B878" s="1">
        <v>44798</v>
      </c>
      <c r="C878" s="2" t="s">
        <v>2075</v>
      </c>
      <c r="D878" s="2" t="s">
        <v>596</v>
      </c>
      <c r="E878" s="2" t="s">
        <v>182</v>
      </c>
      <c r="F878" s="2" t="s">
        <v>43</v>
      </c>
      <c r="G878" s="2" t="s">
        <v>34</v>
      </c>
      <c r="H878" s="3">
        <v>1</v>
      </c>
      <c r="I878" s="3">
        <v>410.89</v>
      </c>
      <c r="J878" s="2">
        <v>0.05</v>
      </c>
      <c r="K878" s="3">
        <v>19.52</v>
      </c>
      <c r="L878" s="3">
        <v>4.71</v>
      </c>
      <c r="M878" s="3">
        <v>414.58</v>
      </c>
      <c r="N878" s="2" t="s">
        <v>24</v>
      </c>
      <c r="O878" s="2" t="s">
        <v>82</v>
      </c>
      <c r="P878" s="2" t="s">
        <v>74</v>
      </c>
      <c r="Q878" s="2" t="s">
        <v>75</v>
      </c>
      <c r="R878" s="2" t="s">
        <v>38</v>
      </c>
    </row>
    <row r="879" spans="1:18" x14ac:dyDescent="0.3">
      <c r="A879" s="5" t="s">
        <v>2076</v>
      </c>
      <c r="B879" s="4">
        <v>44188</v>
      </c>
      <c r="C879" s="5" t="s">
        <v>2077</v>
      </c>
      <c r="D879" s="5" t="s">
        <v>64</v>
      </c>
      <c r="E879" s="5" t="s">
        <v>190</v>
      </c>
      <c r="F879" s="5" t="s">
        <v>43</v>
      </c>
      <c r="G879" s="5" t="s">
        <v>268</v>
      </c>
      <c r="H879" s="6">
        <v>5</v>
      </c>
      <c r="I879" s="6">
        <v>297.01</v>
      </c>
      <c r="J879" s="5">
        <v>0.15</v>
      </c>
      <c r="K879" s="6">
        <v>151.47999999999999</v>
      </c>
      <c r="L879" s="6">
        <v>7.01</v>
      </c>
      <c r="M879" s="6">
        <v>1420.78</v>
      </c>
      <c r="N879" s="5" t="s">
        <v>58</v>
      </c>
      <c r="O879" s="5" t="s">
        <v>25</v>
      </c>
      <c r="P879" s="5" t="s">
        <v>83</v>
      </c>
      <c r="Q879" s="5" t="s">
        <v>84</v>
      </c>
      <c r="R879" s="5" t="s">
        <v>38</v>
      </c>
    </row>
    <row r="880" spans="1:18" x14ac:dyDescent="0.3">
      <c r="A880" s="2" t="s">
        <v>2078</v>
      </c>
      <c r="B880" s="1">
        <v>44802</v>
      </c>
      <c r="C880" s="2" t="s">
        <v>2079</v>
      </c>
      <c r="D880" s="2" t="s">
        <v>343</v>
      </c>
      <c r="E880" s="2" t="s">
        <v>271</v>
      </c>
      <c r="F880" s="2" t="s">
        <v>143</v>
      </c>
      <c r="G880" s="2" t="s">
        <v>34</v>
      </c>
      <c r="H880" s="3">
        <v>4</v>
      </c>
      <c r="I880" s="3">
        <v>261.41000000000003</v>
      </c>
      <c r="J880" s="2">
        <v>0.1</v>
      </c>
      <c r="K880" s="3">
        <v>47.05</v>
      </c>
      <c r="L880" s="3">
        <v>14.63</v>
      </c>
      <c r="M880" s="3">
        <v>1002.76</v>
      </c>
      <c r="N880" s="2" t="s">
        <v>35</v>
      </c>
      <c r="O880" s="2" t="s">
        <v>25</v>
      </c>
      <c r="P880" s="2" t="s">
        <v>112</v>
      </c>
      <c r="Q880" s="2" t="s">
        <v>113</v>
      </c>
      <c r="R880" s="2" t="s">
        <v>28</v>
      </c>
    </row>
    <row r="881" spans="1:18" x14ac:dyDescent="0.3">
      <c r="A881" s="5" t="s">
        <v>2080</v>
      </c>
      <c r="B881" s="4">
        <v>45262</v>
      </c>
      <c r="C881" s="5" t="s">
        <v>2081</v>
      </c>
      <c r="D881" s="5" t="s">
        <v>400</v>
      </c>
      <c r="E881" s="5" t="s">
        <v>386</v>
      </c>
      <c r="F881" s="5" t="s">
        <v>143</v>
      </c>
      <c r="G881" s="5" t="s">
        <v>90</v>
      </c>
      <c r="H881" s="6">
        <v>5</v>
      </c>
      <c r="I881" s="6">
        <v>510.26</v>
      </c>
      <c r="J881" s="5">
        <v>0.05</v>
      </c>
      <c r="K881" s="6">
        <v>121.19</v>
      </c>
      <c r="L881" s="6">
        <v>1.85</v>
      </c>
      <c r="M881" s="6">
        <v>2546.7800000000002</v>
      </c>
      <c r="N881" s="5" t="s">
        <v>24</v>
      </c>
      <c r="O881" s="5" t="s">
        <v>107</v>
      </c>
      <c r="P881" s="5" t="s">
        <v>101</v>
      </c>
      <c r="Q881" s="5" t="s">
        <v>102</v>
      </c>
      <c r="R881" s="5" t="s">
        <v>76</v>
      </c>
    </row>
    <row r="882" spans="1:18" x14ac:dyDescent="0.3">
      <c r="A882" s="2" t="s">
        <v>2082</v>
      </c>
      <c r="B882" s="1">
        <v>44498</v>
      </c>
      <c r="C882" s="2" t="s">
        <v>2083</v>
      </c>
      <c r="D882" s="2" t="s">
        <v>457</v>
      </c>
      <c r="E882" s="2" t="s">
        <v>156</v>
      </c>
      <c r="F882" s="2" t="s">
        <v>89</v>
      </c>
      <c r="G882" s="2" t="s">
        <v>34</v>
      </c>
      <c r="H882" s="3">
        <v>2</v>
      </c>
      <c r="I882" s="3">
        <v>110.53</v>
      </c>
      <c r="J882" s="2">
        <v>0.15</v>
      </c>
      <c r="K882" s="3">
        <v>9.4</v>
      </c>
      <c r="L882" s="3">
        <v>6.03</v>
      </c>
      <c r="M882" s="3">
        <v>203.33</v>
      </c>
      <c r="N882" s="2" t="s">
        <v>24</v>
      </c>
      <c r="O882" s="2" t="s">
        <v>25</v>
      </c>
      <c r="P882" s="2" t="s">
        <v>83</v>
      </c>
      <c r="Q882" s="2" t="s">
        <v>84</v>
      </c>
      <c r="R882" s="2" t="s">
        <v>28</v>
      </c>
    </row>
    <row r="883" spans="1:18" x14ac:dyDescent="0.3">
      <c r="A883" s="5" t="s">
        <v>2084</v>
      </c>
      <c r="B883" s="4">
        <v>44203</v>
      </c>
      <c r="C883" s="5" t="s">
        <v>2085</v>
      </c>
      <c r="D883" s="5" t="s">
        <v>168</v>
      </c>
      <c r="E883" s="5" t="s">
        <v>291</v>
      </c>
      <c r="F883" s="5" t="s">
        <v>43</v>
      </c>
      <c r="G883" s="5" t="s">
        <v>203</v>
      </c>
      <c r="H883" s="6">
        <v>1</v>
      </c>
      <c r="I883" s="6">
        <v>46.84</v>
      </c>
      <c r="J883" s="5">
        <v>0</v>
      </c>
      <c r="K883" s="6">
        <v>2.34</v>
      </c>
      <c r="L883" s="6">
        <v>5.78</v>
      </c>
      <c r="M883" s="6">
        <v>54.96</v>
      </c>
      <c r="N883" s="5" t="s">
        <v>67</v>
      </c>
      <c r="O883" s="5" t="s">
        <v>25</v>
      </c>
      <c r="P883" s="5" t="s">
        <v>51</v>
      </c>
      <c r="Q883" s="5" t="s">
        <v>52</v>
      </c>
      <c r="R883" s="5" t="s">
        <v>38</v>
      </c>
    </row>
    <row r="884" spans="1:18" x14ac:dyDescent="0.3">
      <c r="A884" s="2" t="s">
        <v>2086</v>
      </c>
      <c r="B884" s="1">
        <v>44862</v>
      </c>
      <c r="C884" s="2" t="s">
        <v>2087</v>
      </c>
      <c r="D884" s="2" t="s">
        <v>1495</v>
      </c>
      <c r="E884" s="2" t="s">
        <v>386</v>
      </c>
      <c r="F884" s="2" t="s">
        <v>33</v>
      </c>
      <c r="G884" s="2" t="s">
        <v>66</v>
      </c>
      <c r="H884" s="3">
        <v>1</v>
      </c>
      <c r="I884" s="3">
        <v>509</v>
      </c>
      <c r="J884" s="2">
        <v>0.05</v>
      </c>
      <c r="K884" s="3">
        <v>38.68</v>
      </c>
      <c r="L884" s="3">
        <v>14.37</v>
      </c>
      <c r="M884" s="3">
        <v>536.6</v>
      </c>
      <c r="N884" s="2" t="s">
        <v>58</v>
      </c>
      <c r="O884" s="2" t="s">
        <v>25</v>
      </c>
      <c r="P884" s="2" t="s">
        <v>95</v>
      </c>
      <c r="Q884" s="2" t="s">
        <v>37</v>
      </c>
      <c r="R884" s="2" t="s">
        <v>38</v>
      </c>
    </row>
    <row r="885" spans="1:18" x14ac:dyDescent="0.3">
      <c r="A885" s="5" t="s">
        <v>2088</v>
      </c>
      <c r="B885" s="4">
        <v>44976</v>
      </c>
      <c r="C885" s="5" t="s">
        <v>2089</v>
      </c>
      <c r="D885" s="5" t="s">
        <v>517</v>
      </c>
      <c r="E885" s="5" t="s">
        <v>231</v>
      </c>
      <c r="F885" s="5" t="s">
        <v>89</v>
      </c>
      <c r="G885" s="5" t="s">
        <v>57</v>
      </c>
      <c r="H885" s="6">
        <v>3</v>
      </c>
      <c r="I885" s="6">
        <v>552.08000000000004</v>
      </c>
      <c r="J885" s="5">
        <v>0</v>
      </c>
      <c r="K885" s="6">
        <v>132.5</v>
      </c>
      <c r="L885" s="6">
        <v>12.79</v>
      </c>
      <c r="M885" s="6">
        <v>1801.53</v>
      </c>
      <c r="N885" s="5" t="s">
        <v>58</v>
      </c>
      <c r="O885" s="5" t="s">
        <v>25</v>
      </c>
      <c r="P885" s="5" t="s">
        <v>83</v>
      </c>
      <c r="Q885" s="5" t="s">
        <v>84</v>
      </c>
      <c r="R885" s="5" t="s">
        <v>38</v>
      </c>
    </row>
    <row r="886" spans="1:18" x14ac:dyDescent="0.3">
      <c r="A886" s="2" t="s">
        <v>2090</v>
      </c>
      <c r="B886" s="1">
        <v>45202</v>
      </c>
      <c r="C886" s="2" t="s">
        <v>2091</v>
      </c>
      <c r="D886" s="2" t="s">
        <v>517</v>
      </c>
      <c r="E886" s="2" t="s">
        <v>111</v>
      </c>
      <c r="F886" s="2" t="s">
        <v>22</v>
      </c>
      <c r="G886" s="2" t="s">
        <v>203</v>
      </c>
      <c r="H886" s="3">
        <v>5</v>
      </c>
      <c r="I886" s="3">
        <v>444.17</v>
      </c>
      <c r="J886" s="2">
        <v>0.2</v>
      </c>
      <c r="K886" s="3">
        <v>88.83</v>
      </c>
      <c r="L886" s="3">
        <v>13.51</v>
      </c>
      <c r="M886" s="3">
        <v>1879.02</v>
      </c>
      <c r="N886" s="2" t="s">
        <v>24</v>
      </c>
      <c r="O886" s="2" t="s">
        <v>25</v>
      </c>
      <c r="P886" s="2" t="s">
        <v>173</v>
      </c>
      <c r="Q886" s="2" t="s">
        <v>174</v>
      </c>
      <c r="R886" s="2" t="s">
        <v>183</v>
      </c>
    </row>
    <row r="887" spans="1:18" x14ac:dyDescent="0.3">
      <c r="A887" s="5" t="s">
        <v>2092</v>
      </c>
      <c r="B887" s="4">
        <v>44506</v>
      </c>
      <c r="C887" s="5" t="s">
        <v>2093</v>
      </c>
      <c r="D887" s="5" t="s">
        <v>469</v>
      </c>
      <c r="E887" s="5" t="s">
        <v>597</v>
      </c>
      <c r="F887" s="5" t="s">
        <v>33</v>
      </c>
      <c r="G887" s="5" t="s">
        <v>49</v>
      </c>
      <c r="H887" s="6">
        <v>3</v>
      </c>
      <c r="I887" s="6">
        <v>38.89</v>
      </c>
      <c r="J887" s="5">
        <v>0.05</v>
      </c>
      <c r="K887" s="6">
        <v>5.54</v>
      </c>
      <c r="L887" s="6">
        <v>7.19</v>
      </c>
      <c r="M887" s="6">
        <v>123.57</v>
      </c>
      <c r="N887" s="5" t="s">
        <v>24</v>
      </c>
      <c r="O887" s="5" t="s">
        <v>25</v>
      </c>
      <c r="P887" s="5" t="s">
        <v>150</v>
      </c>
      <c r="Q887" s="5" t="s">
        <v>69</v>
      </c>
      <c r="R887" s="5" t="s">
        <v>38</v>
      </c>
    </row>
    <row r="888" spans="1:18" x14ac:dyDescent="0.3">
      <c r="A888" s="2" t="s">
        <v>2094</v>
      </c>
      <c r="B888" s="1">
        <v>43920</v>
      </c>
      <c r="C888" s="2" t="s">
        <v>2095</v>
      </c>
      <c r="D888" s="2" t="s">
        <v>801</v>
      </c>
      <c r="E888" s="2" t="s">
        <v>132</v>
      </c>
      <c r="F888" s="2" t="s">
        <v>22</v>
      </c>
      <c r="G888" s="2" t="s">
        <v>268</v>
      </c>
      <c r="H888" s="3">
        <v>4</v>
      </c>
      <c r="I888" s="3">
        <v>195.49</v>
      </c>
      <c r="J888" s="2">
        <v>0</v>
      </c>
      <c r="K888" s="3">
        <v>93.84</v>
      </c>
      <c r="L888" s="3">
        <v>14.89</v>
      </c>
      <c r="M888" s="3">
        <v>890.69</v>
      </c>
      <c r="N888" s="2" t="s">
        <v>35</v>
      </c>
      <c r="O888" s="2" t="s">
        <v>25</v>
      </c>
      <c r="P888" s="2" t="s">
        <v>133</v>
      </c>
      <c r="Q888" s="2" t="s">
        <v>134</v>
      </c>
      <c r="R888" s="2" t="s">
        <v>38</v>
      </c>
    </row>
    <row r="889" spans="1:18" x14ac:dyDescent="0.3">
      <c r="A889" s="5" t="s">
        <v>2096</v>
      </c>
      <c r="B889" s="4">
        <v>45502</v>
      </c>
      <c r="C889" s="5" t="s">
        <v>2097</v>
      </c>
      <c r="D889" s="5" t="s">
        <v>445</v>
      </c>
      <c r="E889" s="5" t="s">
        <v>42</v>
      </c>
      <c r="F889" s="5" t="s">
        <v>22</v>
      </c>
      <c r="G889" s="5" t="s">
        <v>66</v>
      </c>
      <c r="H889" s="6">
        <v>3</v>
      </c>
      <c r="I889" s="6">
        <v>209.44</v>
      </c>
      <c r="J889" s="5">
        <v>0.25</v>
      </c>
      <c r="K889" s="6">
        <v>0</v>
      </c>
      <c r="L889" s="6">
        <v>1.46</v>
      </c>
      <c r="M889" s="6">
        <v>472.7</v>
      </c>
      <c r="N889" s="5" t="s">
        <v>67</v>
      </c>
      <c r="O889" s="5" t="s">
        <v>25</v>
      </c>
      <c r="P889" s="5" t="s">
        <v>117</v>
      </c>
      <c r="Q889" s="5" t="s">
        <v>118</v>
      </c>
      <c r="R889" s="5" t="s">
        <v>38</v>
      </c>
    </row>
    <row r="890" spans="1:18" x14ac:dyDescent="0.3">
      <c r="A890" s="2" t="s">
        <v>2098</v>
      </c>
      <c r="B890" s="1">
        <v>44528</v>
      </c>
      <c r="C890" s="2" t="s">
        <v>2099</v>
      </c>
      <c r="D890" s="2" t="s">
        <v>582</v>
      </c>
      <c r="E890" s="2" t="s">
        <v>182</v>
      </c>
      <c r="F890" s="2" t="s">
        <v>89</v>
      </c>
      <c r="G890" s="2" t="s">
        <v>34</v>
      </c>
      <c r="H890" s="3">
        <v>1</v>
      </c>
      <c r="I890" s="3">
        <v>62.61</v>
      </c>
      <c r="J890" s="2">
        <v>0.1</v>
      </c>
      <c r="K890" s="3">
        <v>2.82</v>
      </c>
      <c r="L890" s="3">
        <v>14.04</v>
      </c>
      <c r="M890" s="3">
        <v>73.209999999999994</v>
      </c>
      <c r="N890" s="2" t="s">
        <v>35</v>
      </c>
      <c r="O890" s="2" t="s">
        <v>25</v>
      </c>
      <c r="P890" s="2" t="s">
        <v>44</v>
      </c>
      <c r="Q890" s="2" t="s">
        <v>37</v>
      </c>
      <c r="R890" s="2" t="s">
        <v>38</v>
      </c>
    </row>
    <row r="891" spans="1:18" x14ac:dyDescent="0.3">
      <c r="A891" s="5" t="s">
        <v>2100</v>
      </c>
      <c r="B891" s="4">
        <v>45170</v>
      </c>
      <c r="C891" s="5" t="s">
        <v>2101</v>
      </c>
      <c r="D891" s="5" t="s">
        <v>882</v>
      </c>
      <c r="E891" s="5" t="s">
        <v>425</v>
      </c>
      <c r="F891" s="5" t="s">
        <v>33</v>
      </c>
      <c r="G891" s="5" t="s">
        <v>203</v>
      </c>
      <c r="H891" s="6">
        <v>1</v>
      </c>
      <c r="I891" s="6">
        <v>50.94</v>
      </c>
      <c r="J891" s="5">
        <v>0.1</v>
      </c>
      <c r="K891" s="6">
        <v>5.5</v>
      </c>
      <c r="L891" s="6">
        <v>14.97</v>
      </c>
      <c r="M891" s="6">
        <v>66.319999999999993</v>
      </c>
      <c r="N891" s="5" t="s">
        <v>67</v>
      </c>
      <c r="O891" s="5" t="s">
        <v>25</v>
      </c>
      <c r="P891" s="5" t="s">
        <v>83</v>
      </c>
      <c r="Q891" s="5" t="s">
        <v>84</v>
      </c>
      <c r="R891" s="5" t="s">
        <v>28</v>
      </c>
    </row>
    <row r="892" spans="1:18" x14ac:dyDescent="0.3">
      <c r="A892" s="2" t="s">
        <v>2102</v>
      </c>
      <c r="B892" s="1">
        <v>45032</v>
      </c>
      <c r="C892" s="2" t="s">
        <v>2103</v>
      </c>
      <c r="D892" s="2" t="s">
        <v>1801</v>
      </c>
      <c r="E892" s="2" t="s">
        <v>324</v>
      </c>
      <c r="F892" s="2" t="s">
        <v>89</v>
      </c>
      <c r="G892" s="2" t="s">
        <v>49</v>
      </c>
      <c r="H892" s="3">
        <v>1</v>
      </c>
      <c r="I892" s="3">
        <v>123.14</v>
      </c>
      <c r="J892" s="2">
        <v>0.05</v>
      </c>
      <c r="K892" s="3">
        <v>5.85</v>
      </c>
      <c r="L892" s="3">
        <v>9.1999999999999993</v>
      </c>
      <c r="M892" s="3">
        <v>132.03</v>
      </c>
      <c r="N892" s="2" t="s">
        <v>67</v>
      </c>
      <c r="O892" s="2" t="s">
        <v>82</v>
      </c>
      <c r="P892" s="2" t="s">
        <v>165</v>
      </c>
      <c r="Q892" s="2" t="s">
        <v>37</v>
      </c>
      <c r="R892" s="2" t="s">
        <v>28</v>
      </c>
    </row>
    <row r="893" spans="1:18" x14ac:dyDescent="0.3">
      <c r="A893" s="5" t="s">
        <v>2104</v>
      </c>
      <c r="B893" s="4">
        <v>44370</v>
      </c>
      <c r="C893" s="5" t="s">
        <v>2105</v>
      </c>
      <c r="D893" s="5" t="s">
        <v>193</v>
      </c>
      <c r="E893" s="5" t="s">
        <v>73</v>
      </c>
      <c r="F893" s="5" t="s">
        <v>43</v>
      </c>
      <c r="G893" s="5" t="s">
        <v>203</v>
      </c>
      <c r="H893" s="6">
        <v>4</v>
      </c>
      <c r="I893" s="6">
        <v>542.23</v>
      </c>
      <c r="J893" s="5">
        <v>0.05</v>
      </c>
      <c r="K893" s="6">
        <v>164.84</v>
      </c>
      <c r="L893" s="6">
        <v>5.4</v>
      </c>
      <c r="M893" s="6">
        <v>2230.71</v>
      </c>
      <c r="N893" s="5" t="s">
        <v>35</v>
      </c>
      <c r="O893" s="5" t="s">
        <v>82</v>
      </c>
      <c r="P893" s="5" t="s">
        <v>112</v>
      </c>
      <c r="Q893" s="5" t="s">
        <v>113</v>
      </c>
      <c r="R893" s="5" t="s">
        <v>38</v>
      </c>
    </row>
    <row r="894" spans="1:18" x14ac:dyDescent="0.3">
      <c r="A894" s="2" t="s">
        <v>2106</v>
      </c>
      <c r="B894" s="1">
        <v>44562</v>
      </c>
      <c r="C894" s="2" t="s">
        <v>2107</v>
      </c>
      <c r="D894" s="2" t="s">
        <v>1349</v>
      </c>
      <c r="E894" s="2" t="s">
        <v>142</v>
      </c>
      <c r="F894" s="2" t="s">
        <v>43</v>
      </c>
      <c r="G894" s="2" t="s">
        <v>34</v>
      </c>
      <c r="H894" s="3">
        <v>5</v>
      </c>
      <c r="I894" s="3">
        <v>543.41999999999996</v>
      </c>
      <c r="J894" s="2">
        <v>0</v>
      </c>
      <c r="K894" s="3">
        <v>135.85</v>
      </c>
      <c r="L894" s="3">
        <v>6.09</v>
      </c>
      <c r="M894" s="3">
        <v>2859.04</v>
      </c>
      <c r="N894" s="2" t="s">
        <v>35</v>
      </c>
      <c r="O894" s="2" t="s">
        <v>25</v>
      </c>
      <c r="P894" s="2" t="s">
        <v>36</v>
      </c>
      <c r="Q894" s="2" t="s">
        <v>37</v>
      </c>
      <c r="R894" s="2" t="s">
        <v>38</v>
      </c>
    </row>
    <row r="895" spans="1:18" x14ac:dyDescent="0.3">
      <c r="A895" s="5" t="s">
        <v>2108</v>
      </c>
      <c r="B895" s="4">
        <v>44699</v>
      </c>
      <c r="C895" s="5" t="s">
        <v>2109</v>
      </c>
      <c r="D895" s="5" t="s">
        <v>807</v>
      </c>
      <c r="E895" s="5" t="s">
        <v>231</v>
      </c>
      <c r="F895" s="5" t="s">
        <v>143</v>
      </c>
      <c r="G895" s="5" t="s">
        <v>57</v>
      </c>
      <c r="H895" s="6">
        <v>1</v>
      </c>
      <c r="I895" s="6">
        <v>499.56</v>
      </c>
      <c r="J895" s="5">
        <v>0.25</v>
      </c>
      <c r="K895" s="6">
        <v>29.97</v>
      </c>
      <c r="L895" s="6">
        <v>6.6</v>
      </c>
      <c r="M895" s="6">
        <v>411.24</v>
      </c>
      <c r="N895" s="5" t="s">
        <v>58</v>
      </c>
      <c r="O895" s="5" t="s">
        <v>59</v>
      </c>
      <c r="P895" s="5" t="s">
        <v>74</v>
      </c>
      <c r="Q895" s="5" t="s">
        <v>75</v>
      </c>
      <c r="R895" s="5" t="s">
        <v>38</v>
      </c>
    </row>
    <row r="896" spans="1:18" x14ac:dyDescent="0.3">
      <c r="A896" s="2" t="s">
        <v>2110</v>
      </c>
      <c r="B896" s="1">
        <v>43871</v>
      </c>
      <c r="C896" s="2" t="s">
        <v>2111</v>
      </c>
      <c r="D896" s="2" t="s">
        <v>655</v>
      </c>
      <c r="E896" s="2" t="s">
        <v>32</v>
      </c>
      <c r="F896" s="2" t="s">
        <v>33</v>
      </c>
      <c r="G896" s="2" t="s">
        <v>100</v>
      </c>
      <c r="H896" s="3">
        <v>2</v>
      </c>
      <c r="I896" s="3">
        <v>204.68</v>
      </c>
      <c r="J896" s="2">
        <v>0.05</v>
      </c>
      <c r="K896" s="3">
        <v>0</v>
      </c>
      <c r="L896" s="3">
        <v>12.45</v>
      </c>
      <c r="M896" s="3">
        <v>401.34</v>
      </c>
      <c r="N896" s="2" t="s">
        <v>58</v>
      </c>
      <c r="O896" s="2" t="s">
        <v>25</v>
      </c>
      <c r="P896" s="2" t="s">
        <v>51</v>
      </c>
      <c r="Q896" s="2" t="s">
        <v>52</v>
      </c>
      <c r="R896" s="2" t="s">
        <v>183</v>
      </c>
    </row>
    <row r="897" spans="1:18" x14ac:dyDescent="0.3">
      <c r="A897" s="5" t="s">
        <v>2112</v>
      </c>
      <c r="B897" s="4">
        <v>44570</v>
      </c>
      <c r="C897" s="5" t="s">
        <v>987</v>
      </c>
      <c r="D897" s="5" t="s">
        <v>623</v>
      </c>
      <c r="E897" s="5" t="s">
        <v>132</v>
      </c>
      <c r="F897" s="5" t="s">
        <v>33</v>
      </c>
      <c r="G897" s="5" t="s">
        <v>66</v>
      </c>
      <c r="H897" s="6">
        <v>5</v>
      </c>
      <c r="I897" s="6">
        <v>9.4</v>
      </c>
      <c r="J897" s="5">
        <v>0</v>
      </c>
      <c r="K897" s="6">
        <v>3.76</v>
      </c>
      <c r="L897" s="6">
        <v>4.74</v>
      </c>
      <c r="M897" s="6">
        <v>55.5</v>
      </c>
      <c r="N897" s="5" t="s">
        <v>58</v>
      </c>
      <c r="O897" s="5" t="s">
        <v>25</v>
      </c>
      <c r="P897" s="5" t="s">
        <v>51</v>
      </c>
      <c r="Q897" s="5" t="s">
        <v>52</v>
      </c>
      <c r="R897" s="5" t="s">
        <v>28</v>
      </c>
    </row>
    <row r="898" spans="1:18" x14ac:dyDescent="0.3">
      <c r="A898" s="2" t="s">
        <v>2113</v>
      </c>
      <c r="B898" s="1">
        <v>45558</v>
      </c>
      <c r="C898" s="2" t="s">
        <v>2114</v>
      </c>
      <c r="D898" s="2" t="s">
        <v>767</v>
      </c>
      <c r="E898" s="2" t="s">
        <v>577</v>
      </c>
      <c r="F898" s="2" t="s">
        <v>33</v>
      </c>
      <c r="G898" s="2" t="s">
        <v>268</v>
      </c>
      <c r="H898" s="3">
        <v>3</v>
      </c>
      <c r="I898" s="3">
        <v>72.78</v>
      </c>
      <c r="J898" s="2">
        <v>0</v>
      </c>
      <c r="K898" s="3">
        <v>17.47</v>
      </c>
      <c r="L898" s="3">
        <v>9.7200000000000006</v>
      </c>
      <c r="M898" s="3">
        <v>245.53</v>
      </c>
      <c r="N898" s="2" t="s">
        <v>58</v>
      </c>
      <c r="O898" s="2" t="s">
        <v>25</v>
      </c>
      <c r="P898" s="2" t="s">
        <v>95</v>
      </c>
      <c r="Q898" s="2" t="s">
        <v>37</v>
      </c>
      <c r="R898" s="2" t="s">
        <v>38</v>
      </c>
    </row>
    <row r="899" spans="1:18" x14ac:dyDescent="0.3">
      <c r="A899" s="5" t="s">
        <v>2115</v>
      </c>
      <c r="B899" s="4">
        <v>44332</v>
      </c>
      <c r="C899" s="5" t="s">
        <v>2116</v>
      </c>
      <c r="D899" s="5" t="s">
        <v>662</v>
      </c>
      <c r="E899" s="5" t="s">
        <v>577</v>
      </c>
      <c r="F899" s="5" t="s">
        <v>22</v>
      </c>
      <c r="G899" s="5" t="s">
        <v>90</v>
      </c>
      <c r="H899" s="6">
        <v>5</v>
      </c>
      <c r="I899" s="6">
        <v>214.19</v>
      </c>
      <c r="J899" s="5">
        <v>0.25</v>
      </c>
      <c r="K899" s="6">
        <v>40.159999999999997</v>
      </c>
      <c r="L899" s="6">
        <v>12.06</v>
      </c>
      <c r="M899" s="6">
        <v>855.43</v>
      </c>
      <c r="N899" s="5" t="s">
        <v>24</v>
      </c>
      <c r="O899" s="5" t="s">
        <v>107</v>
      </c>
      <c r="P899" s="5" t="s">
        <v>26</v>
      </c>
      <c r="Q899" s="5" t="s">
        <v>27</v>
      </c>
      <c r="R899" s="5" t="s">
        <v>38</v>
      </c>
    </row>
    <row r="900" spans="1:18" x14ac:dyDescent="0.3">
      <c r="A900" s="2" t="s">
        <v>2117</v>
      </c>
      <c r="B900" s="1">
        <v>44789</v>
      </c>
      <c r="C900" s="2" t="s">
        <v>2118</v>
      </c>
      <c r="D900" s="2" t="s">
        <v>360</v>
      </c>
      <c r="E900" s="2" t="s">
        <v>691</v>
      </c>
      <c r="F900" s="2" t="s">
        <v>43</v>
      </c>
      <c r="G900" s="2" t="s">
        <v>100</v>
      </c>
      <c r="H900" s="3">
        <v>4</v>
      </c>
      <c r="I900" s="3">
        <v>433.87</v>
      </c>
      <c r="J900" s="2">
        <v>0.2</v>
      </c>
      <c r="K900" s="3">
        <v>69.42</v>
      </c>
      <c r="L900" s="3">
        <v>11.28</v>
      </c>
      <c r="M900" s="3">
        <v>1469.08</v>
      </c>
      <c r="N900" s="2" t="s">
        <v>58</v>
      </c>
      <c r="O900" s="2" t="s">
        <v>25</v>
      </c>
      <c r="P900" s="2" t="s">
        <v>257</v>
      </c>
      <c r="Q900" s="2" t="s">
        <v>69</v>
      </c>
      <c r="R900" s="2" t="s">
        <v>38</v>
      </c>
    </row>
    <row r="901" spans="1:18" x14ac:dyDescent="0.3">
      <c r="A901" s="5" t="s">
        <v>2119</v>
      </c>
      <c r="B901" s="4">
        <v>44999</v>
      </c>
      <c r="C901" s="5" t="s">
        <v>2120</v>
      </c>
      <c r="D901" s="5" t="s">
        <v>645</v>
      </c>
      <c r="E901" s="5" t="s">
        <v>160</v>
      </c>
      <c r="F901" s="5" t="s">
        <v>22</v>
      </c>
      <c r="G901" s="5" t="s">
        <v>100</v>
      </c>
      <c r="H901" s="6">
        <v>4</v>
      </c>
      <c r="I901" s="6">
        <v>375.83</v>
      </c>
      <c r="J901" s="5">
        <v>0</v>
      </c>
      <c r="K901" s="6">
        <v>120.27</v>
      </c>
      <c r="L901" s="6">
        <v>12.07</v>
      </c>
      <c r="M901" s="6">
        <v>1635.66</v>
      </c>
      <c r="N901" s="5" t="s">
        <v>24</v>
      </c>
      <c r="O901" s="5" t="s">
        <v>25</v>
      </c>
      <c r="P901" s="5" t="s">
        <v>60</v>
      </c>
      <c r="Q901" s="5" t="s">
        <v>37</v>
      </c>
      <c r="R901" s="5" t="s">
        <v>38</v>
      </c>
    </row>
    <row r="902" spans="1:18" x14ac:dyDescent="0.3">
      <c r="A902" s="2" t="s">
        <v>2121</v>
      </c>
      <c r="B902" s="1">
        <v>45055</v>
      </c>
      <c r="C902" s="2" t="s">
        <v>2122</v>
      </c>
      <c r="D902" s="2" t="s">
        <v>504</v>
      </c>
      <c r="E902" s="2" t="s">
        <v>498</v>
      </c>
      <c r="F902" s="2" t="s">
        <v>43</v>
      </c>
      <c r="G902" s="2" t="s">
        <v>34</v>
      </c>
      <c r="H902" s="3">
        <v>5</v>
      </c>
      <c r="I902" s="3">
        <v>355.75</v>
      </c>
      <c r="J902" s="2">
        <v>0.15</v>
      </c>
      <c r="K902" s="3">
        <v>120.96</v>
      </c>
      <c r="L902" s="3">
        <v>6.78</v>
      </c>
      <c r="M902" s="3">
        <v>1639.68</v>
      </c>
      <c r="N902" s="2" t="s">
        <v>24</v>
      </c>
      <c r="O902" s="2" t="s">
        <v>107</v>
      </c>
      <c r="P902" s="2" t="s">
        <v>112</v>
      </c>
      <c r="Q902" s="2" t="s">
        <v>113</v>
      </c>
      <c r="R902" s="2" t="s">
        <v>38</v>
      </c>
    </row>
    <row r="903" spans="1:18" x14ac:dyDescent="0.3">
      <c r="A903" s="5" t="s">
        <v>2123</v>
      </c>
      <c r="B903" s="4">
        <v>44759</v>
      </c>
      <c r="C903" s="5" t="s">
        <v>2124</v>
      </c>
      <c r="D903" s="5" t="s">
        <v>504</v>
      </c>
      <c r="E903" s="5" t="s">
        <v>294</v>
      </c>
      <c r="F903" s="5" t="s">
        <v>89</v>
      </c>
      <c r="G903" s="5" t="s">
        <v>198</v>
      </c>
      <c r="H903" s="6">
        <v>3</v>
      </c>
      <c r="I903" s="6">
        <v>243.82</v>
      </c>
      <c r="J903" s="5">
        <v>0.1</v>
      </c>
      <c r="K903" s="6">
        <v>79</v>
      </c>
      <c r="L903" s="6">
        <v>13.53</v>
      </c>
      <c r="M903" s="6">
        <v>750.84</v>
      </c>
      <c r="N903" s="5" t="s">
        <v>58</v>
      </c>
      <c r="O903" s="5" t="s">
        <v>25</v>
      </c>
      <c r="P903" s="5" t="s">
        <v>83</v>
      </c>
      <c r="Q903" s="5" t="s">
        <v>84</v>
      </c>
      <c r="R903" s="5" t="s">
        <v>38</v>
      </c>
    </row>
    <row r="904" spans="1:18" x14ac:dyDescent="0.3">
      <c r="A904" s="2" t="s">
        <v>2125</v>
      </c>
      <c r="B904" s="1">
        <v>45578</v>
      </c>
      <c r="C904" s="2" t="s">
        <v>2126</v>
      </c>
      <c r="D904" s="2" t="s">
        <v>128</v>
      </c>
      <c r="E904" s="2" t="s">
        <v>283</v>
      </c>
      <c r="F904" s="2" t="s">
        <v>81</v>
      </c>
      <c r="G904" s="2" t="s">
        <v>268</v>
      </c>
      <c r="H904" s="3">
        <v>1</v>
      </c>
      <c r="I904" s="3">
        <v>9.73</v>
      </c>
      <c r="J904" s="2">
        <v>0.05</v>
      </c>
      <c r="K904" s="3">
        <v>0.46</v>
      </c>
      <c r="L904" s="3">
        <v>5.93</v>
      </c>
      <c r="M904" s="3">
        <v>15.63</v>
      </c>
      <c r="N904" s="2" t="s">
        <v>67</v>
      </c>
      <c r="O904" s="2" t="s">
        <v>25</v>
      </c>
      <c r="P904" s="2" t="s">
        <v>145</v>
      </c>
      <c r="Q904" s="2" t="s">
        <v>146</v>
      </c>
      <c r="R904" s="2" t="s">
        <v>38</v>
      </c>
    </row>
    <row r="905" spans="1:18" x14ac:dyDescent="0.3">
      <c r="A905" s="5" t="s">
        <v>2127</v>
      </c>
      <c r="B905" s="4">
        <v>44291</v>
      </c>
      <c r="C905" s="5" t="s">
        <v>2128</v>
      </c>
      <c r="D905" s="5" t="s">
        <v>1882</v>
      </c>
      <c r="E905" s="5" t="s">
        <v>48</v>
      </c>
      <c r="F905" s="5" t="s">
        <v>89</v>
      </c>
      <c r="G905" s="5" t="s">
        <v>203</v>
      </c>
      <c r="H905" s="6">
        <v>1</v>
      </c>
      <c r="I905" s="6">
        <v>456.37</v>
      </c>
      <c r="J905" s="5">
        <v>0</v>
      </c>
      <c r="K905" s="6">
        <v>36.51</v>
      </c>
      <c r="L905" s="6">
        <v>14.33</v>
      </c>
      <c r="M905" s="6">
        <v>507.21</v>
      </c>
      <c r="N905" s="5" t="s">
        <v>58</v>
      </c>
      <c r="O905" s="5" t="s">
        <v>25</v>
      </c>
      <c r="P905" s="5" t="s">
        <v>36</v>
      </c>
      <c r="Q905" s="5" t="s">
        <v>37</v>
      </c>
      <c r="R905" s="5" t="s">
        <v>28</v>
      </c>
    </row>
    <row r="906" spans="1:18" x14ac:dyDescent="0.3">
      <c r="A906" s="2" t="s">
        <v>2129</v>
      </c>
      <c r="B906" s="1">
        <v>44562</v>
      </c>
      <c r="C906" s="2" t="s">
        <v>2130</v>
      </c>
      <c r="D906" s="2" t="s">
        <v>868</v>
      </c>
      <c r="E906" s="2" t="s">
        <v>182</v>
      </c>
      <c r="F906" s="2" t="s">
        <v>89</v>
      </c>
      <c r="G906" s="2" t="s">
        <v>23</v>
      </c>
      <c r="H906" s="3">
        <v>3</v>
      </c>
      <c r="I906" s="3">
        <v>306.08</v>
      </c>
      <c r="J906" s="2">
        <v>0.1</v>
      </c>
      <c r="K906" s="3">
        <v>66.11</v>
      </c>
      <c r="L906" s="3">
        <v>8.1999999999999993</v>
      </c>
      <c r="M906" s="3">
        <v>900.73</v>
      </c>
      <c r="N906" s="2" t="s">
        <v>24</v>
      </c>
      <c r="O906" s="2" t="s">
        <v>25</v>
      </c>
      <c r="P906" s="2" t="s">
        <v>95</v>
      </c>
      <c r="Q906" s="2" t="s">
        <v>37</v>
      </c>
      <c r="R906" s="2" t="s">
        <v>183</v>
      </c>
    </row>
    <row r="907" spans="1:18" x14ac:dyDescent="0.3">
      <c r="A907" s="5" t="s">
        <v>2131</v>
      </c>
      <c r="B907" s="4">
        <v>44582</v>
      </c>
      <c r="C907" s="5" t="s">
        <v>2132</v>
      </c>
      <c r="D907" s="5" t="s">
        <v>116</v>
      </c>
      <c r="E907" s="5" t="s">
        <v>169</v>
      </c>
      <c r="F907" s="5" t="s">
        <v>89</v>
      </c>
      <c r="G907" s="5" t="s">
        <v>203</v>
      </c>
      <c r="H907" s="6">
        <v>3</v>
      </c>
      <c r="I907" s="6">
        <v>346.32</v>
      </c>
      <c r="J907" s="5">
        <v>0</v>
      </c>
      <c r="K907" s="6">
        <v>83.12</v>
      </c>
      <c r="L907" s="6">
        <v>13.1</v>
      </c>
      <c r="M907" s="6">
        <v>1135.18</v>
      </c>
      <c r="N907" s="5" t="s">
        <v>35</v>
      </c>
      <c r="O907" s="5" t="s">
        <v>25</v>
      </c>
      <c r="P907" s="5" t="s">
        <v>173</v>
      </c>
      <c r="Q907" s="5" t="s">
        <v>174</v>
      </c>
      <c r="R907" s="5" t="s">
        <v>28</v>
      </c>
    </row>
    <row r="908" spans="1:18" x14ac:dyDescent="0.3">
      <c r="A908" s="2" t="s">
        <v>2133</v>
      </c>
      <c r="B908" s="1">
        <v>44755</v>
      </c>
      <c r="C908" s="2" t="s">
        <v>2134</v>
      </c>
      <c r="D908" s="2" t="s">
        <v>501</v>
      </c>
      <c r="E908" s="2" t="s">
        <v>56</v>
      </c>
      <c r="F908" s="2" t="s">
        <v>22</v>
      </c>
      <c r="G908" s="2" t="s">
        <v>57</v>
      </c>
      <c r="H908" s="3">
        <v>1</v>
      </c>
      <c r="I908" s="3">
        <v>379.17</v>
      </c>
      <c r="J908" s="2">
        <v>0.15</v>
      </c>
      <c r="K908" s="3">
        <v>16.11</v>
      </c>
      <c r="L908" s="3">
        <v>13.58</v>
      </c>
      <c r="M908" s="3">
        <v>351.98</v>
      </c>
      <c r="N908" s="2" t="s">
        <v>35</v>
      </c>
      <c r="O908" s="2" t="s">
        <v>25</v>
      </c>
      <c r="P908" s="2" t="s">
        <v>145</v>
      </c>
      <c r="Q908" s="2" t="s">
        <v>146</v>
      </c>
      <c r="R908" s="2" t="s">
        <v>38</v>
      </c>
    </row>
    <row r="909" spans="1:18" x14ac:dyDescent="0.3">
      <c r="A909" s="5" t="s">
        <v>2135</v>
      </c>
      <c r="B909" s="4">
        <v>44739</v>
      </c>
      <c r="C909" s="5" t="s">
        <v>1417</v>
      </c>
      <c r="D909" s="5" t="s">
        <v>648</v>
      </c>
      <c r="E909" s="5" t="s">
        <v>231</v>
      </c>
      <c r="F909" s="5" t="s">
        <v>43</v>
      </c>
      <c r="G909" s="5" t="s">
        <v>23</v>
      </c>
      <c r="H909" s="6">
        <v>5</v>
      </c>
      <c r="I909" s="6">
        <v>77.22</v>
      </c>
      <c r="J909" s="5">
        <v>0</v>
      </c>
      <c r="K909" s="6">
        <v>0</v>
      </c>
      <c r="L909" s="6">
        <v>4.9400000000000004</v>
      </c>
      <c r="M909" s="6">
        <v>391.04</v>
      </c>
      <c r="N909" s="5" t="s">
        <v>123</v>
      </c>
      <c r="O909" s="5" t="s">
        <v>25</v>
      </c>
      <c r="P909" s="5" t="s">
        <v>133</v>
      </c>
      <c r="Q909" s="5" t="s">
        <v>134</v>
      </c>
      <c r="R909" s="5" t="s">
        <v>28</v>
      </c>
    </row>
    <row r="910" spans="1:18" x14ac:dyDescent="0.3">
      <c r="A910" s="2" t="s">
        <v>2136</v>
      </c>
      <c r="B910" s="1">
        <v>45412</v>
      </c>
      <c r="C910" s="2" t="s">
        <v>2137</v>
      </c>
      <c r="D910" s="2" t="s">
        <v>128</v>
      </c>
      <c r="E910" s="2" t="s">
        <v>48</v>
      </c>
      <c r="F910" s="2" t="s">
        <v>143</v>
      </c>
      <c r="G910" s="2" t="s">
        <v>198</v>
      </c>
      <c r="H910" s="3">
        <v>3</v>
      </c>
      <c r="I910" s="3">
        <v>591.16999999999996</v>
      </c>
      <c r="J910" s="2">
        <v>0</v>
      </c>
      <c r="K910" s="3">
        <v>212.82</v>
      </c>
      <c r="L910" s="3">
        <v>9.48</v>
      </c>
      <c r="M910" s="3">
        <v>1995.81</v>
      </c>
      <c r="N910" s="2" t="s">
        <v>58</v>
      </c>
      <c r="O910" s="2" t="s">
        <v>107</v>
      </c>
      <c r="P910" s="2" t="s">
        <v>36</v>
      </c>
      <c r="Q910" s="2" t="s">
        <v>37</v>
      </c>
      <c r="R910" s="2" t="s">
        <v>38</v>
      </c>
    </row>
    <row r="911" spans="1:18" x14ac:dyDescent="0.3">
      <c r="A911" s="5" t="s">
        <v>2138</v>
      </c>
      <c r="B911" s="4">
        <v>45401</v>
      </c>
      <c r="C911" s="5" t="s">
        <v>2139</v>
      </c>
      <c r="D911" s="5" t="s">
        <v>149</v>
      </c>
      <c r="E911" s="5" t="s">
        <v>177</v>
      </c>
      <c r="F911" s="5" t="s">
        <v>43</v>
      </c>
      <c r="G911" s="5" t="s">
        <v>90</v>
      </c>
      <c r="H911" s="6">
        <v>4</v>
      </c>
      <c r="I911" s="6">
        <v>44.82</v>
      </c>
      <c r="J911" s="5">
        <v>0</v>
      </c>
      <c r="K911" s="6">
        <v>14.34</v>
      </c>
      <c r="L911" s="6">
        <v>6.59</v>
      </c>
      <c r="M911" s="6">
        <v>200.21</v>
      </c>
      <c r="N911" s="5" t="s">
        <v>24</v>
      </c>
      <c r="O911" s="5" t="s">
        <v>25</v>
      </c>
      <c r="P911" s="5" t="s">
        <v>150</v>
      </c>
      <c r="Q911" s="5" t="s">
        <v>69</v>
      </c>
      <c r="R911" s="5" t="s">
        <v>61</v>
      </c>
    </row>
    <row r="912" spans="1:18" x14ac:dyDescent="0.3">
      <c r="A912" s="2" t="s">
        <v>2140</v>
      </c>
      <c r="B912" s="1">
        <v>45107</v>
      </c>
      <c r="C912" s="2" t="s">
        <v>2141</v>
      </c>
      <c r="D912" s="2" t="s">
        <v>749</v>
      </c>
      <c r="E912" s="2" t="s">
        <v>202</v>
      </c>
      <c r="F912" s="2" t="s">
        <v>81</v>
      </c>
      <c r="G912" s="2" t="s">
        <v>49</v>
      </c>
      <c r="H912" s="3">
        <v>4</v>
      </c>
      <c r="I912" s="3">
        <v>547.36</v>
      </c>
      <c r="J912" s="2">
        <v>0.05</v>
      </c>
      <c r="K912" s="3">
        <v>166.4</v>
      </c>
      <c r="L912" s="3">
        <v>9.69</v>
      </c>
      <c r="M912" s="3">
        <v>2256.06</v>
      </c>
      <c r="N912" s="2" t="s">
        <v>67</v>
      </c>
      <c r="O912" s="2" t="s">
        <v>107</v>
      </c>
      <c r="P912" s="2" t="s">
        <v>117</v>
      </c>
      <c r="Q912" s="2" t="s">
        <v>118</v>
      </c>
      <c r="R912" s="2" t="s">
        <v>76</v>
      </c>
    </row>
    <row r="913" spans="1:18" x14ac:dyDescent="0.3">
      <c r="A913" s="5" t="s">
        <v>2142</v>
      </c>
      <c r="B913" s="4">
        <v>44220</v>
      </c>
      <c r="C913" s="5" t="s">
        <v>2143</v>
      </c>
      <c r="D913" s="5" t="s">
        <v>796</v>
      </c>
      <c r="E913" s="5" t="s">
        <v>386</v>
      </c>
      <c r="F913" s="5" t="s">
        <v>43</v>
      </c>
      <c r="G913" s="5" t="s">
        <v>198</v>
      </c>
      <c r="H913" s="6">
        <v>4</v>
      </c>
      <c r="I913" s="6">
        <v>329.98</v>
      </c>
      <c r="J913" s="5">
        <v>0</v>
      </c>
      <c r="K913" s="6">
        <v>158.38999999999999</v>
      </c>
      <c r="L913" s="6">
        <v>11.62</v>
      </c>
      <c r="M913" s="6">
        <v>1489.93</v>
      </c>
      <c r="N913" s="5" t="s">
        <v>35</v>
      </c>
      <c r="O913" s="5" t="s">
        <v>107</v>
      </c>
      <c r="P913" s="5" t="s">
        <v>173</v>
      </c>
      <c r="Q913" s="5" t="s">
        <v>174</v>
      </c>
      <c r="R913" s="5" t="s">
        <v>38</v>
      </c>
    </row>
    <row r="914" spans="1:18" x14ac:dyDescent="0.3">
      <c r="A914" s="2" t="s">
        <v>2144</v>
      </c>
      <c r="B914" s="1">
        <v>45448</v>
      </c>
      <c r="C914" s="2" t="s">
        <v>2145</v>
      </c>
      <c r="D914" s="2" t="s">
        <v>623</v>
      </c>
      <c r="E914" s="2" t="s">
        <v>94</v>
      </c>
      <c r="F914" s="2" t="s">
        <v>22</v>
      </c>
      <c r="G914" s="2" t="s">
        <v>90</v>
      </c>
      <c r="H914" s="3">
        <v>1</v>
      </c>
      <c r="I914" s="3">
        <v>540.33000000000004</v>
      </c>
      <c r="J914" s="2">
        <v>0</v>
      </c>
      <c r="K914" s="3">
        <v>43.23</v>
      </c>
      <c r="L914" s="3">
        <v>3.41</v>
      </c>
      <c r="M914" s="3">
        <v>586.97</v>
      </c>
      <c r="N914" s="2" t="s">
        <v>24</v>
      </c>
      <c r="O914" s="2" t="s">
        <v>25</v>
      </c>
      <c r="P914" s="2" t="s">
        <v>257</v>
      </c>
      <c r="Q914" s="2" t="s">
        <v>69</v>
      </c>
      <c r="R914" s="2" t="s">
        <v>183</v>
      </c>
    </row>
    <row r="915" spans="1:18" x14ac:dyDescent="0.3">
      <c r="A915" s="5" t="s">
        <v>2146</v>
      </c>
      <c r="B915" s="4">
        <v>44713</v>
      </c>
      <c r="C915" s="5" t="s">
        <v>2147</v>
      </c>
      <c r="D915" s="5" t="s">
        <v>477</v>
      </c>
      <c r="E915" s="5" t="s">
        <v>138</v>
      </c>
      <c r="F915" s="5" t="s">
        <v>33</v>
      </c>
      <c r="G915" s="5" t="s">
        <v>90</v>
      </c>
      <c r="H915" s="6">
        <v>5</v>
      </c>
      <c r="I915" s="6">
        <v>540.42999999999995</v>
      </c>
      <c r="J915" s="5">
        <v>0</v>
      </c>
      <c r="K915" s="6">
        <v>324.26</v>
      </c>
      <c r="L915" s="6">
        <v>12.47</v>
      </c>
      <c r="M915" s="6">
        <v>3038.88</v>
      </c>
      <c r="N915" s="5" t="s">
        <v>58</v>
      </c>
      <c r="O915" s="5" t="s">
        <v>25</v>
      </c>
      <c r="P915" s="5" t="s">
        <v>36</v>
      </c>
      <c r="Q915" s="5" t="s">
        <v>37</v>
      </c>
      <c r="R915" s="5" t="s">
        <v>38</v>
      </c>
    </row>
    <row r="916" spans="1:18" x14ac:dyDescent="0.3">
      <c r="A916" s="2" t="s">
        <v>2148</v>
      </c>
      <c r="B916" s="1">
        <v>44086</v>
      </c>
      <c r="C916" s="2" t="s">
        <v>2149</v>
      </c>
      <c r="D916" s="2" t="s">
        <v>655</v>
      </c>
      <c r="E916" s="2" t="s">
        <v>256</v>
      </c>
      <c r="F916" s="2" t="s">
        <v>143</v>
      </c>
      <c r="G916" s="2" t="s">
        <v>23</v>
      </c>
      <c r="H916" s="3">
        <v>3</v>
      </c>
      <c r="I916" s="3">
        <v>528.51</v>
      </c>
      <c r="J916" s="2">
        <v>0.1</v>
      </c>
      <c r="K916" s="3">
        <v>114.16</v>
      </c>
      <c r="L916" s="3">
        <v>6.75</v>
      </c>
      <c r="M916" s="3">
        <v>1547.89</v>
      </c>
      <c r="N916" s="2" t="s">
        <v>50</v>
      </c>
      <c r="O916" s="2" t="s">
        <v>25</v>
      </c>
      <c r="P916" s="2" t="s">
        <v>257</v>
      </c>
      <c r="Q916" s="2" t="s">
        <v>69</v>
      </c>
      <c r="R916" s="2" t="s">
        <v>38</v>
      </c>
    </row>
    <row r="917" spans="1:18" x14ac:dyDescent="0.3">
      <c r="A917" s="5" t="s">
        <v>2150</v>
      </c>
      <c r="B917" s="4">
        <v>44539</v>
      </c>
      <c r="C917" s="5" t="s">
        <v>2151</v>
      </c>
      <c r="D917" s="5" t="s">
        <v>212</v>
      </c>
      <c r="E917" s="5" t="s">
        <v>349</v>
      </c>
      <c r="F917" s="5" t="s">
        <v>89</v>
      </c>
      <c r="G917" s="5" t="s">
        <v>66</v>
      </c>
      <c r="H917" s="6">
        <v>1</v>
      </c>
      <c r="I917" s="6">
        <v>154.47</v>
      </c>
      <c r="J917" s="5">
        <v>0.05</v>
      </c>
      <c r="K917" s="6">
        <v>11.74</v>
      </c>
      <c r="L917" s="6">
        <v>3.54</v>
      </c>
      <c r="M917" s="6">
        <v>162.03</v>
      </c>
      <c r="N917" s="5" t="s">
        <v>58</v>
      </c>
      <c r="O917" s="5" t="s">
        <v>82</v>
      </c>
      <c r="P917" s="5" t="s">
        <v>257</v>
      </c>
      <c r="Q917" s="5" t="s">
        <v>69</v>
      </c>
      <c r="R917" s="5" t="s">
        <v>38</v>
      </c>
    </row>
    <row r="918" spans="1:18" x14ac:dyDescent="0.3">
      <c r="A918" s="2" t="s">
        <v>2152</v>
      </c>
      <c r="B918" s="1">
        <v>44280</v>
      </c>
      <c r="C918" s="2" t="s">
        <v>2153</v>
      </c>
      <c r="D918" s="2" t="s">
        <v>731</v>
      </c>
      <c r="E918" s="2" t="s">
        <v>202</v>
      </c>
      <c r="F918" s="2" t="s">
        <v>43</v>
      </c>
      <c r="G918" s="2" t="s">
        <v>23</v>
      </c>
      <c r="H918" s="3">
        <v>1</v>
      </c>
      <c r="I918" s="3">
        <v>536.38</v>
      </c>
      <c r="J918" s="2">
        <v>0.1</v>
      </c>
      <c r="K918" s="3">
        <v>86.89</v>
      </c>
      <c r="L918" s="3">
        <v>9.49</v>
      </c>
      <c r="M918" s="3">
        <v>579.12</v>
      </c>
      <c r="N918" s="2" t="s">
        <v>58</v>
      </c>
      <c r="O918" s="2" t="s">
        <v>25</v>
      </c>
      <c r="P918" s="2" t="s">
        <v>173</v>
      </c>
      <c r="Q918" s="2" t="s">
        <v>174</v>
      </c>
      <c r="R918" s="2" t="s">
        <v>38</v>
      </c>
    </row>
    <row r="919" spans="1:18" x14ac:dyDescent="0.3">
      <c r="A919" s="5" t="s">
        <v>2154</v>
      </c>
      <c r="B919" s="4">
        <v>43840</v>
      </c>
      <c r="C919" s="5" t="s">
        <v>2155</v>
      </c>
      <c r="D919" s="5" t="s">
        <v>290</v>
      </c>
      <c r="E919" s="5" t="s">
        <v>177</v>
      </c>
      <c r="F919" s="5" t="s">
        <v>33</v>
      </c>
      <c r="G919" s="5" t="s">
        <v>23</v>
      </c>
      <c r="H919" s="6">
        <v>1</v>
      </c>
      <c r="I919" s="6">
        <v>576.5</v>
      </c>
      <c r="J919" s="5">
        <v>0.1</v>
      </c>
      <c r="K919" s="6">
        <v>62.26</v>
      </c>
      <c r="L919" s="6">
        <v>10.88</v>
      </c>
      <c r="M919" s="6">
        <v>591.99</v>
      </c>
      <c r="N919" s="5" t="s">
        <v>67</v>
      </c>
      <c r="O919" s="5" t="s">
        <v>107</v>
      </c>
      <c r="P919" s="5" t="s">
        <v>112</v>
      </c>
      <c r="Q919" s="5" t="s">
        <v>113</v>
      </c>
      <c r="R919" s="5" t="s">
        <v>61</v>
      </c>
    </row>
    <row r="920" spans="1:18" x14ac:dyDescent="0.3">
      <c r="A920" s="2" t="s">
        <v>2156</v>
      </c>
      <c r="B920" s="1">
        <v>44654</v>
      </c>
      <c r="C920" s="2" t="s">
        <v>2157</v>
      </c>
      <c r="D920" s="2" t="s">
        <v>336</v>
      </c>
      <c r="E920" s="2" t="s">
        <v>220</v>
      </c>
      <c r="F920" s="2" t="s">
        <v>22</v>
      </c>
      <c r="G920" s="2" t="s">
        <v>90</v>
      </c>
      <c r="H920" s="3">
        <v>5</v>
      </c>
      <c r="I920" s="3">
        <v>82.39</v>
      </c>
      <c r="J920" s="2">
        <v>0</v>
      </c>
      <c r="K920" s="3">
        <v>20.6</v>
      </c>
      <c r="L920" s="3">
        <v>12.4</v>
      </c>
      <c r="M920" s="3">
        <v>444.95</v>
      </c>
      <c r="N920" s="2" t="s">
        <v>35</v>
      </c>
      <c r="O920" s="2" t="s">
        <v>25</v>
      </c>
      <c r="P920" s="2" t="s">
        <v>95</v>
      </c>
      <c r="Q920" s="2" t="s">
        <v>37</v>
      </c>
      <c r="R920" s="2" t="s">
        <v>28</v>
      </c>
    </row>
    <row r="921" spans="1:18" x14ac:dyDescent="0.3">
      <c r="A921" s="5" t="s">
        <v>2158</v>
      </c>
      <c r="B921" s="4">
        <v>44628</v>
      </c>
      <c r="C921" s="5" t="s">
        <v>2159</v>
      </c>
      <c r="D921" s="5" t="s">
        <v>1780</v>
      </c>
      <c r="E921" s="5" t="s">
        <v>197</v>
      </c>
      <c r="F921" s="5" t="s">
        <v>143</v>
      </c>
      <c r="G921" s="5" t="s">
        <v>66</v>
      </c>
      <c r="H921" s="6">
        <v>1</v>
      </c>
      <c r="I921" s="6">
        <v>73.239999999999995</v>
      </c>
      <c r="J921" s="5">
        <v>0.05</v>
      </c>
      <c r="K921" s="6">
        <v>5.57</v>
      </c>
      <c r="L921" s="6">
        <v>3.42</v>
      </c>
      <c r="M921" s="6">
        <v>78.569999999999993</v>
      </c>
      <c r="N921" s="5" t="s">
        <v>67</v>
      </c>
      <c r="O921" s="5" t="s">
        <v>25</v>
      </c>
      <c r="P921" s="5" t="s">
        <v>117</v>
      </c>
      <c r="Q921" s="5" t="s">
        <v>118</v>
      </c>
      <c r="R921" s="5" t="s">
        <v>183</v>
      </c>
    </row>
    <row r="922" spans="1:18" x14ac:dyDescent="0.3">
      <c r="A922" s="2" t="s">
        <v>2160</v>
      </c>
      <c r="B922" s="1">
        <v>45096</v>
      </c>
      <c r="C922" s="2" t="s">
        <v>2161</v>
      </c>
      <c r="D922" s="2" t="s">
        <v>569</v>
      </c>
      <c r="E922" s="2" t="s">
        <v>48</v>
      </c>
      <c r="F922" s="2" t="s">
        <v>143</v>
      </c>
      <c r="G922" s="2" t="s">
        <v>203</v>
      </c>
      <c r="H922" s="3">
        <v>4</v>
      </c>
      <c r="I922" s="3">
        <v>103.58</v>
      </c>
      <c r="J922" s="2">
        <v>0.1</v>
      </c>
      <c r="K922" s="3">
        <v>18.64</v>
      </c>
      <c r="L922" s="3">
        <v>8.36</v>
      </c>
      <c r="M922" s="3">
        <v>399.89</v>
      </c>
      <c r="N922" s="2" t="s">
        <v>67</v>
      </c>
      <c r="O922" s="2" t="s">
        <v>25</v>
      </c>
      <c r="P922" s="2" t="s">
        <v>95</v>
      </c>
      <c r="Q922" s="2" t="s">
        <v>37</v>
      </c>
      <c r="R922" s="2" t="s">
        <v>38</v>
      </c>
    </row>
    <row r="923" spans="1:18" x14ac:dyDescent="0.3">
      <c r="A923" s="5" t="s">
        <v>2162</v>
      </c>
      <c r="B923" s="4">
        <v>45105</v>
      </c>
      <c r="C923" s="5" t="s">
        <v>2163</v>
      </c>
      <c r="D923" s="5" t="s">
        <v>128</v>
      </c>
      <c r="E923" s="5" t="s">
        <v>437</v>
      </c>
      <c r="F923" s="5" t="s">
        <v>89</v>
      </c>
      <c r="G923" s="5" t="s">
        <v>100</v>
      </c>
      <c r="H923" s="6">
        <v>4</v>
      </c>
      <c r="I923" s="6">
        <v>296.88</v>
      </c>
      <c r="J923" s="5">
        <v>0.1</v>
      </c>
      <c r="K923" s="6">
        <v>53.44</v>
      </c>
      <c r="L923" s="6">
        <v>1.53</v>
      </c>
      <c r="M923" s="6">
        <v>1123.74</v>
      </c>
      <c r="N923" s="5" t="s">
        <v>35</v>
      </c>
      <c r="O923" s="5" t="s">
        <v>25</v>
      </c>
      <c r="P923" s="5" t="s">
        <v>173</v>
      </c>
      <c r="Q923" s="5" t="s">
        <v>174</v>
      </c>
      <c r="R923" s="5" t="s">
        <v>61</v>
      </c>
    </row>
    <row r="924" spans="1:18" x14ac:dyDescent="0.3">
      <c r="A924" s="2" t="s">
        <v>2164</v>
      </c>
      <c r="B924" s="1">
        <v>44707</v>
      </c>
      <c r="C924" s="2" t="s">
        <v>2165</v>
      </c>
      <c r="D924" s="2" t="s">
        <v>558</v>
      </c>
      <c r="E924" s="2" t="s">
        <v>498</v>
      </c>
      <c r="F924" s="2" t="s">
        <v>143</v>
      </c>
      <c r="G924" s="2" t="s">
        <v>49</v>
      </c>
      <c r="H924" s="3">
        <v>3</v>
      </c>
      <c r="I924" s="3">
        <v>32.54</v>
      </c>
      <c r="J924" s="2">
        <v>0.1</v>
      </c>
      <c r="K924" s="3">
        <v>0</v>
      </c>
      <c r="L924" s="3">
        <v>12.4</v>
      </c>
      <c r="M924" s="3">
        <v>100.26</v>
      </c>
      <c r="N924" s="2" t="s">
        <v>67</v>
      </c>
      <c r="O924" s="2" t="s">
        <v>25</v>
      </c>
      <c r="P924" s="2" t="s">
        <v>173</v>
      </c>
      <c r="Q924" s="2" t="s">
        <v>174</v>
      </c>
      <c r="R924" s="2" t="s">
        <v>38</v>
      </c>
    </row>
    <row r="925" spans="1:18" x14ac:dyDescent="0.3">
      <c r="A925" s="5" t="s">
        <v>2166</v>
      </c>
      <c r="B925" s="4">
        <v>44859</v>
      </c>
      <c r="C925" s="5" t="s">
        <v>2167</v>
      </c>
      <c r="D925" s="5" t="s">
        <v>1020</v>
      </c>
      <c r="E925" s="5" t="s">
        <v>169</v>
      </c>
      <c r="F925" s="5" t="s">
        <v>22</v>
      </c>
      <c r="G925" s="5" t="s">
        <v>198</v>
      </c>
      <c r="H925" s="6">
        <v>3</v>
      </c>
      <c r="I925" s="6">
        <v>398.07</v>
      </c>
      <c r="J925" s="5">
        <v>0.25</v>
      </c>
      <c r="K925" s="6">
        <v>44.78</v>
      </c>
      <c r="L925" s="6">
        <v>5.64</v>
      </c>
      <c r="M925" s="6">
        <v>946.08</v>
      </c>
      <c r="N925" s="5" t="s">
        <v>58</v>
      </c>
      <c r="O925" s="5" t="s">
        <v>25</v>
      </c>
      <c r="P925" s="5" t="s">
        <v>83</v>
      </c>
      <c r="Q925" s="5" t="s">
        <v>84</v>
      </c>
      <c r="R925" s="5" t="s">
        <v>38</v>
      </c>
    </row>
    <row r="926" spans="1:18" x14ac:dyDescent="0.3">
      <c r="A926" s="2" t="s">
        <v>2168</v>
      </c>
      <c r="B926" s="1">
        <v>44973</v>
      </c>
      <c r="C926" s="2" t="s">
        <v>2169</v>
      </c>
      <c r="D926" s="2" t="s">
        <v>223</v>
      </c>
      <c r="E926" s="2" t="s">
        <v>291</v>
      </c>
      <c r="F926" s="2" t="s">
        <v>33</v>
      </c>
      <c r="G926" s="2" t="s">
        <v>23</v>
      </c>
      <c r="H926" s="3">
        <v>5</v>
      </c>
      <c r="I926" s="3">
        <v>372.64</v>
      </c>
      <c r="J926" s="2">
        <v>0.3</v>
      </c>
      <c r="K926" s="3">
        <v>104.34</v>
      </c>
      <c r="L926" s="3">
        <v>6.33</v>
      </c>
      <c r="M926" s="3">
        <v>1414.91</v>
      </c>
      <c r="N926" s="2" t="s">
        <v>58</v>
      </c>
      <c r="O926" s="2" t="s">
        <v>25</v>
      </c>
      <c r="P926" s="2" t="s">
        <v>44</v>
      </c>
      <c r="Q926" s="2" t="s">
        <v>37</v>
      </c>
      <c r="R926" s="2" t="s">
        <v>38</v>
      </c>
    </row>
    <row r="927" spans="1:18" x14ac:dyDescent="0.3">
      <c r="A927" s="5" t="s">
        <v>2170</v>
      </c>
      <c r="B927" s="4">
        <v>44846</v>
      </c>
      <c r="C927" s="5" t="s">
        <v>2171</v>
      </c>
      <c r="D927" s="5" t="s">
        <v>382</v>
      </c>
      <c r="E927" s="5" t="s">
        <v>691</v>
      </c>
      <c r="F927" s="5" t="s">
        <v>81</v>
      </c>
      <c r="G927" s="5" t="s">
        <v>198</v>
      </c>
      <c r="H927" s="6">
        <v>3</v>
      </c>
      <c r="I927" s="6">
        <v>593.29</v>
      </c>
      <c r="J927" s="5">
        <v>0.1</v>
      </c>
      <c r="K927" s="6">
        <v>128.15</v>
      </c>
      <c r="L927" s="6">
        <v>14.55</v>
      </c>
      <c r="M927" s="6">
        <v>1744.58</v>
      </c>
      <c r="N927" s="5" t="s">
        <v>58</v>
      </c>
      <c r="O927" s="5" t="s">
        <v>25</v>
      </c>
      <c r="P927" s="5" t="s">
        <v>83</v>
      </c>
      <c r="Q927" s="5" t="s">
        <v>84</v>
      </c>
      <c r="R927" s="5" t="s">
        <v>38</v>
      </c>
    </row>
    <row r="928" spans="1:18" x14ac:dyDescent="0.3">
      <c r="A928" s="2" t="s">
        <v>2172</v>
      </c>
      <c r="B928" s="1">
        <v>45655</v>
      </c>
      <c r="C928" s="2" t="s">
        <v>2173</v>
      </c>
      <c r="D928" s="2" t="s">
        <v>410</v>
      </c>
      <c r="E928" s="2" t="s">
        <v>324</v>
      </c>
      <c r="F928" s="2" t="s">
        <v>33</v>
      </c>
      <c r="G928" s="2" t="s">
        <v>198</v>
      </c>
      <c r="H928" s="3">
        <v>2</v>
      </c>
      <c r="I928" s="3">
        <v>586.9</v>
      </c>
      <c r="J928" s="2">
        <v>0</v>
      </c>
      <c r="K928" s="3">
        <v>58.69</v>
      </c>
      <c r="L928" s="3">
        <v>2.33</v>
      </c>
      <c r="M928" s="3">
        <v>1234.82</v>
      </c>
      <c r="N928" s="2" t="s">
        <v>123</v>
      </c>
      <c r="O928" s="2" t="s">
        <v>25</v>
      </c>
      <c r="P928" s="2" t="s">
        <v>60</v>
      </c>
      <c r="Q928" s="2" t="s">
        <v>37</v>
      </c>
      <c r="R928" s="2" t="s">
        <v>38</v>
      </c>
    </row>
    <row r="929" spans="1:18" x14ac:dyDescent="0.3">
      <c r="A929" s="5" t="s">
        <v>2174</v>
      </c>
      <c r="B929" s="4">
        <v>44204</v>
      </c>
      <c r="C929" s="5" t="s">
        <v>2175</v>
      </c>
      <c r="D929" s="5" t="s">
        <v>1020</v>
      </c>
      <c r="E929" s="5" t="s">
        <v>216</v>
      </c>
      <c r="F929" s="5" t="s">
        <v>22</v>
      </c>
      <c r="G929" s="5" t="s">
        <v>49</v>
      </c>
      <c r="H929" s="6">
        <v>1</v>
      </c>
      <c r="I929" s="6">
        <v>474.1</v>
      </c>
      <c r="J929" s="5">
        <v>0.2</v>
      </c>
      <c r="K929" s="6">
        <v>18.96</v>
      </c>
      <c r="L929" s="6">
        <v>12.15</v>
      </c>
      <c r="M929" s="6">
        <v>410.39</v>
      </c>
      <c r="N929" s="5" t="s">
        <v>58</v>
      </c>
      <c r="O929" s="5" t="s">
        <v>25</v>
      </c>
      <c r="P929" s="5" t="s">
        <v>68</v>
      </c>
      <c r="Q929" s="5" t="s">
        <v>69</v>
      </c>
      <c r="R929" s="5" t="s">
        <v>38</v>
      </c>
    </row>
    <row r="930" spans="1:18" x14ac:dyDescent="0.3">
      <c r="A930" s="2" t="s">
        <v>2176</v>
      </c>
      <c r="B930" s="1">
        <v>44919</v>
      </c>
      <c r="C930" s="2" t="s">
        <v>2177</v>
      </c>
      <c r="D930" s="2" t="s">
        <v>116</v>
      </c>
      <c r="E930" s="2" t="s">
        <v>48</v>
      </c>
      <c r="F930" s="2" t="s">
        <v>22</v>
      </c>
      <c r="G930" s="2" t="s">
        <v>57</v>
      </c>
      <c r="H930" s="3">
        <v>4</v>
      </c>
      <c r="I930" s="3">
        <v>95.55</v>
      </c>
      <c r="J930" s="2">
        <v>0.1</v>
      </c>
      <c r="K930" s="3">
        <v>17.2</v>
      </c>
      <c r="L930" s="3">
        <v>5.86</v>
      </c>
      <c r="M930" s="3">
        <v>367.04</v>
      </c>
      <c r="N930" s="2" t="s">
        <v>58</v>
      </c>
      <c r="O930" s="2" t="s">
        <v>25</v>
      </c>
      <c r="P930" s="2" t="s">
        <v>51</v>
      </c>
      <c r="Q930" s="2" t="s">
        <v>52</v>
      </c>
      <c r="R930" s="2" t="s">
        <v>28</v>
      </c>
    </row>
    <row r="931" spans="1:18" x14ac:dyDescent="0.3">
      <c r="A931" s="5" t="s">
        <v>2178</v>
      </c>
      <c r="B931" s="4">
        <v>43976</v>
      </c>
      <c r="C931" s="5" t="s">
        <v>2179</v>
      </c>
      <c r="D931" s="5" t="s">
        <v>141</v>
      </c>
      <c r="E931" s="5" t="s">
        <v>202</v>
      </c>
      <c r="F931" s="5" t="s">
        <v>89</v>
      </c>
      <c r="G931" s="5" t="s">
        <v>34</v>
      </c>
      <c r="H931" s="6">
        <v>2</v>
      </c>
      <c r="I931" s="6">
        <v>236.84</v>
      </c>
      <c r="J931" s="5">
        <v>0.25</v>
      </c>
      <c r="K931" s="6">
        <v>28.42</v>
      </c>
      <c r="L931" s="6">
        <v>9.26</v>
      </c>
      <c r="M931" s="6">
        <v>392.94</v>
      </c>
      <c r="N931" s="5" t="s">
        <v>24</v>
      </c>
      <c r="O931" s="5" t="s">
        <v>82</v>
      </c>
      <c r="P931" s="5" t="s">
        <v>74</v>
      </c>
      <c r="Q931" s="5" t="s">
        <v>75</v>
      </c>
      <c r="R931" s="5" t="s">
        <v>38</v>
      </c>
    </row>
    <row r="932" spans="1:18" x14ac:dyDescent="0.3">
      <c r="A932" s="2" t="s">
        <v>2180</v>
      </c>
      <c r="B932" s="1">
        <v>44054</v>
      </c>
      <c r="C932" s="2" t="s">
        <v>2181</v>
      </c>
      <c r="D932" s="2" t="s">
        <v>655</v>
      </c>
      <c r="E932" s="2" t="s">
        <v>597</v>
      </c>
      <c r="F932" s="2" t="s">
        <v>143</v>
      </c>
      <c r="G932" s="2" t="s">
        <v>34</v>
      </c>
      <c r="H932" s="3">
        <v>5</v>
      </c>
      <c r="I932" s="3">
        <v>549.70000000000005</v>
      </c>
      <c r="J932" s="2">
        <v>0.05</v>
      </c>
      <c r="K932" s="3">
        <v>130.55000000000001</v>
      </c>
      <c r="L932" s="3">
        <v>4.1900000000000004</v>
      </c>
      <c r="M932" s="3">
        <v>2745.82</v>
      </c>
      <c r="N932" s="2" t="s">
        <v>35</v>
      </c>
      <c r="O932" s="2" t="s">
        <v>25</v>
      </c>
      <c r="P932" s="2" t="s">
        <v>83</v>
      </c>
      <c r="Q932" s="2" t="s">
        <v>84</v>
      </c>
      <c r="R932" s="2" t="s">
        <v>38</v>
      </c>
    </row>
    <row r="933" spans="1:18" x14ac:dyDescent="0.3">
      <c r="A933" s="5" t="s">
        <v>2182</v>
      </c>
      <c r="B933" s="4">
        <v>45093</v>
      </c>
      <c r="C933" s="5" t="s">
        <v>2183</v>
      </c>
      <c r="D933" s="5" t="s">
        <v>520</v>
      </c>
      <c r="E933" s="5" t="s">
        <v>271</v>
      </c>
      <c r="F933" s="5" t="s">
        <v>89</v>
      </c>
      <c r="G933" s="5" t="s">
        <v>100</v>
      </c>
      <c r="H933" s="6">
        <v>5</v>
      </c>
      <c r="I933" s="6">
        <v>62.9</v>
      </c>
      <c r="J933" s="5">
        <v>0.1</v>
      </c>
      <c r="K933" s="6">
        <v>33.97</v>
      </c>
      <c r="L933" s="6">
        <v>7.71</v>
      </c>
      <c r="M933" s="6">
        <v>324.73</v>
      </c>
      <c r="N933" s="5" t="s">
        <v>58</v>
      </c>
      <c r="O933" s="5" t="s">
        <v>25</v>
      </c>
      <c r="P933" s="5" t="s">
        <v>124</v>
      </c>
      <c r="Q933" s="5" t="s">
        <v>125</v>
      </c>
      <c r="R933" s="5" t="s">
        <v>38</v>
      </c>
    </row>
    <row r="934" spans="1:18" x14ac:dyDescent="0.3">
      <c r="A934" s="2" t="s">
        <v>2184</v>
      </c>
      <c r="B934" s="1">
        <v>44007</v>
      </c>
      <c r="C934" s="2" t="s">
        <v>2185</v>
      </c>
      <c r="D934" s="2" t="s">
        <v>904</v>
      </c>
      <c r="E934" s="2" t="s">
        <v>21</v>
      </c>
      <c r="F934" s="2" t="s">
        <v>22</v>
      </c>
      <c r="G934" s="2" t="s">
        <v>268</v>
      </c>
      <c r="H934" s="3">
        <v>1</v>
      </c>
      <c r="I934" s="3">
        <v>325.77</v>
      </c>
      <c r="J934" s="2">
        <v>0.15</v>
      </c>
      <c r="K934" s="3">
        <v>33.229999999999997</v>
      </c>
      <c r="L934" s="3">
        <v>6.01</v>
      </c>
      <c r="M934" s="3">
        <v>316.14</v>
      </c>
      <c r="N934" s="2" t="s">
        <v>58</v>
      </c>
      <c r="O934" s="2" t="s">
        <v>25</v>
      </c>
      <c r="P934" s="2" t="s">
        <v>257</v>
      </c>
      <c r="Q934" s="2" t="s">
        <v>69</v>
      </c>
      <c r="R934" s="2" t="s">
        <v>28</v>
      </c>
    </row>
    <row r="935" spans="1:18" x14ac:dyDescent="0.3">
      <c r="A935" s="5" t="s">
        <v>2186</v>
      </c>
      <c r="B935" s="4">
        <v>45633</v>
      </c>
      <c r="C935" s="5" t="s">
        <v>2187</v>
      </c>
      <c r="D935" s="5" t="s">
        <v>1268</v>
      </c>
      <c r="E935" s="5" t="s">
        <v>106</v>
      </c>
      <c r="F935" s="5" t="s">
        <v>22</v>
      </c>
      <c r="G935" s="5" t="s">
        <v>198</v>
      </c>
      <c r="H935" s="6">
        <v>3</v>
      </c>
      <c r="I935" s="6">
        <v>433.01</v>
      </c>
      <c r="J935" s="5">
        <v>0.15</v>
      </c>
      <c r="K935" s="6">
        <v>55.21</v>
      </c>
      <c r="L935" s="6">
        <v>3.77</v>
      </c>
      <c r="M935" s="6">
        <v>1163.1600000000001</v>
      </c>
      <c r="N935" s="5" t="s">
        <v>35</v>
      </c>
      <c r="O935" s="5" t="s">
        <v>25</v>
      </c>
      <c r="P935" s="5" t="s">
        <v>178</v>
      </c>
      <c r="Q935" s="5" t="s">
        <v>69</v>
      </c>
      <c r="R935" s="5" t="s">
        <v>38</v>
      </c>
    </row>
    <row r="936" spans="1:18" x14ac:dyDescent="0.3">
      <c r="A936" s="2" t="s">
        <v>2188</v>
      </c>
      <c r="B936" s="1">
        <v>44683</v>
      </c>
      <c r="C936" s="2" t="s">
        <v>2189</v>
      </c>
      <c r="D936" s="2" t="s">
        <v>1189</v>
      </c>
      <c r="E936" s="2" t="s">
        <v>349</v>
      </c>
      <c r="F936" s="2" t="s">
        <v>143</v>
      </c>
      <c r="G936" s="2" t="s">
        <v>66</v>
      </c>
      <c r="H936" s="3">
        <v>2</v>
      </c>
      <c r="I936" s="3">
        <v>85.61</v>
      </c>
      <c r="J936" s="2">
        <v>0</v>
      </c>
      <c r="K936" s="3">
        <v>20.55</v>
      </c>
      <c r="L936" s="3">
        <v>13.9</v>
      </c>
      <c r="M936" s="3">
        <v>205.67</v>
      </c>
      <c r="N936" s="2" t="s">
        <v>35</v>
      </c>
      <c r="O936" s="2" t="s">
        <v>25</v>
      </c>
      <c r="P936" s="2" t="s">
        <v>74</v>
      </c>
      <c r="Q936" s="2" t="s">
        <v>75</v>
      </c>
      <c r="R936" s="2" t="s">
        <v>183</v>
      </c>
    </row>
    <row r="937" spans="1:18" x14ac:dyDescent="0.3">
      <c r="A937" s="5" t="s">
        <v>2190</v>
      </c>
      <c r="B937" s="4">
        <v>45136</v>
      </c>
      <c r="C937" s="5" t="s">
        <v>2191</v>
      </c>
      <c r="D937" s="5" t="s">
        <v>1580</v>
      </c>
      <c r="E937" s="5" t="s">
        <v>65</v>
      </c>
      <c r="F937" s="5" t="s">
        <v>143</v>
      </c>
      <c r="G937" s="5" t="s">
        <v>203</v>
      </c>
      <c r="H937" s="6">
        <v>3</v>
      </c>
      <c r="I937" s="6">
        <v>472.98</v>
      </c>
      <c r="J937" s="5">
        <v>0.1</v>
      </c>
      <c r="K937" s="6">
        <v>63.85</v>
      </c>
      <c r="L937" s="6">
        <v>10.51</v>
      </c>
      <c r="M937" s="6">
        <v>1351.41</v>
      </c>
      <c r="N937" s="5" t="s">
        <v>58</v>
      </c>
      <c r="O937" s="5" t="s">
        <v>25</v>
      </c>
      <c r="P937" s="5" t="s">
        <v>257</v>
      </c>
      <c r="Q937" s="5" t="s">
        <v>69</v>
      </c>
      <c r="R937" s="5" t="s">
        <v>38</v>
      </c>
    </row>
    <row r="938" spans="1:18" x14ac:dyDescent="0.3">
      <c r="A938" s="2" t="s">
        <v>2192</v>
      </c>
      <c r="B938" s="1">
        <v>43893</v>
      </c>
      <c r="C938" s="2" t="s">
        <v>2193</v>
      </c>
      <c r="D938" s="2" t="s">
        <v>436</v>
      </c>
      <c r="E938" s="2" t="s">
        <v>160</v>
      </c>
      <c r="F938" s="2" t="s">
        <v>143</v>
      </c>
      <c r="G938" s="2" t="s">
        <v>66</v>
      </c>
      <c r="H938" s="3">
        <v>2</v>
      </c>
      <c r="I938" s="3">
        <v>211.1</v>
      </c>
      <c r="J938" s="2">
        <v>0.05</v>
      </c>
      <c r="K938" s="3">
        <v>20.05</v>
      </c>
      <c r="L938" s="3">
        <v>2.83</v>
      </c>
      <c r="M938" s="3">
        <v>423.97</v>
      </c>
      <c r="N938" s="2" t="s">
        <v>58</v>
      </c>
      <c r="O938" s="2" t="s">
        <v>25</v>
      </c>
      <c r="P938" s="2" t="s">
        <v>74</v>
      </c>
      <c r="Q938" s="2" t="s">
        <v>75</v>
      </c>
      <c r="R938" s="2" t="s">
        <v>38</v>
      </c>
    </row>
    <row r="939" spans="1:18" x14ac:dyDescent="0.3">
      <c r="A939" s="5" t="s">
        <v>2194</v>
      </c>
      <c r="B939" s="4">
        <v>45071</v>
      </c>
      <c r="C939" s="5" t="s">
        <v>2195</v>
      </c>
      <c r="D939" s="5" t="s">
        <v>911</v>
      </c>
      <c r="E939" s="5" t="s">
        <v>256</v>
      </c>
      <c r="F939" s="5" t="s">
        <v>43</v>
      </c>
      <c r="G939" s="5" t="s">
        <v>100</v>
      </c>
      <c r="H939" s="6">
        <v>1</v>
      </c>
      <c r="I939" s="6">
        <v>218.69</v>
      </c>
      <c r="J939" s="5">
        <v>0.25</v>
      </c>
      <c r="K939" s="6">
        <v>13.12</v>
      </c>
      <c r="L939" s="6">
        <v>4.75</v>
      </c>
      <c r="M939" s="6">
        <v>181.89</v>
      </c>
      <c r="N939" s="5" t="s">
        <v>58</v>
      </c>
      <c r="O939" s="5" t="s">
        <v>107</v>
      </c>
      <c r="P939" s="5" t="s">
        <v>60</v>
      </c>
      <c r="Q939" s="5" t="s">
        <v>37</v>
      </c>
      <c r="R939" s="5" t="s">
        <v>38</v>
      </c>
    </row>
    <row r="940" spans="1:18" x14ac:dyDescent="0.3">
      <c r="A940" s="2" t="s">
        <v>2196</v>
      </c>
      <c r="B940" s="1">
        <v>44657</v>
      </c>
      <c r="C940" s="2" t="s">
        <v>2197</v>
      </c>
      <c r="D940" s="2" t="s">
        <v>215</v>
      </c>
      <c r="E940" s="2" t="s">
        <v>577</v>
      </c>
      <c r="F940" s="2" t="s">
        <v>33</v>
      </c>
      <c r="G940" s="2" t="s">
        <v>90</v>
      </c>
      <c r="H940" s="3">
        <v>5</v>
      </c>
      <c r="I940" s="3">
        <v>526.08000000000004</v>
      </c>
      <c r="J940" s="2">
        <v>0.15</v>
      </c>
      <c r="K940" s="3">
        <v>0</v>
      </c>
      <c r="L940" s="3">
        <v>8.1199999999999992</v>
      </c>
      <c r="M940" s="3">
        <v>2243.96</v>
      </c>
      <c r="N940" s="2" t="s">
        <v>58</v>
      </c>
      <c r="O940" s="2" t="s">
        <v>107</v>
      </c>
      <c r="P940" s="2" t="s">
        <v>83</v>
      </c>
      <c r="Q940" s="2" t="s">
        <v>84</v>
      </c>
      <c r="R940" s="2" t="s">
        <v>38</v>
      </c>
    </row>
    <row r="941" spans="1:18" x14ac:dyDescent="0.3">
      <c r="A941" s="5" t="s">
        <v>2198</v>
      </c>
      <c r="B941" s="4">
        <v>44625</v>
      </c>
      <c r="C941" s="5" t="s">
        <v>2199</v>
      </c>
      <c r="D941" s="5" t="s">
        <v>201</v>
      </c>
      <c r="E941" s="5" t="s">
        <v>190</v>
      </c>
      <c r="F941" s="5" t="s">
        <v>43</v>
      </c>
      <c r="G941" s="5" t="s">
        <v>90</v>
      </c>
      <c r="H941" s="6">
        <v>5</v>
      </c>
      <c r="I941" s="6">
        <v>162.19999999999999</v>
      </c>
      <c r="J941" s="5">
        <v>0.05</v>
      </c>
      <c r="K941" s="6">
        <v>0</v>
      </c>
      <c r="L941" s="6">
        <v>13.53</v>
      </c>
      <c r="M941" s="6">
        <v>783.98</v>
      </c>
      <c r="N941" s="5" t="s">
        <v>123</v>
      </c>
      <c r="O941" s="5" t="s">
        <v>25</v>
      </c>
      <c r="P941" s="5" t="s">
        <v>145</v>
      </c>
      <c r="Q941" s="5" t="s">
        <v>146</v>
      </c>
      <c r="R941" s="5" t="s">
        <v>28</v>
      </c>
    </row>
    <row r="942" spans="1:18" x14ac:dyDescent="0.3">
      <c r="A942" s="2" t="s">
        <v>2200</v>
      </c>
      <c r="B942" s="1">
        <v>44519</v>
      </c>
      <c r="C942" s="2" t="s">
        <v>2201</v>
      </c>
      <c r="D942" s="2" t="s">
        <v>382</v>
      </c>
      <c r="E942" s="2" t="s">
        <v>392</v>
      </c>
      <c r="F942" s="2" t="s">
        <v>81</v>
      </c>
      <c r="G942" s="2" t="s">
        <v>34</v>
      </c>
      <c r="H942" s="3">
        <v>1</v>
      </c>
      <c r="I942" s="3">
        <v>160.53</v>
      </c>
      <c r="J942" s="2">
        <v>0</v>
      </c>
      <c r="K942" s="3">
        <v>12.84</v>
      </c>
      <c r="L942" s="3">
        <v>14.07</v>
      </c>
      <c r="M942" s="3">
        <v>187.44</v>
      </c>
      <c r="N942" s="2" t="s">
        <v>123</v>
      </c>
      <c r="O942" s="2" t="s">
        <v>107</v>
      </c>
      <c r="P942" s="2" t="s">
        <v>83</v>
      </c>
      <c r="Q942" s="2" t="s">
        <v>84</v>
      </c>
      <c r="R942" s="2" t="s">
        <v>183</v>
      </c>
    </row>
    <row r="943" spans="1:18" x14ac:dyDescent="0.3">
      <c r="A943" s="5" t="s">
        <v>2202</v>
      </c>
      <c r="B943" s="4">
        <v>45315</v>
      </c>
      <c r="C943" s="5" t="s">
        <v>2203</v>
      </c>
      <c r="D943" s="5" t="s">
        <v>55</v>
      </c>
      <c r="E943" s="5" t="s">
        <v>437</v>
      </c>
      <c r="F943" s="5" t="s">
        <v>22</v>
      </c>
      <c r="G943" s="5" t="s">
        <v>34</v>
      </c>
      <c r="H943" s="6">
        <v>5</v>
      </c>
      <c r="I943" s="6">
        <v>434.27</v>
      </c>
      <c r="J943" s="5">
        <v>0.2</v>
      </c>
      <c r="K943" s="6">
        <v>0</v>
      </c>
      <c r="L943" s="6">
        <v>9.69</v>
      </c>
      <c r="M943" s="6">
        <v>1746.77</v>
      </c>
      <c r="N943" s="5" t="s">
        <v>24</v>
      </c>
      <c r="O943" s="5" t="s">
        <v>25</v>
      </c>
      <c r="P943" s="5" t="s">
        <v>145</v>
      </c>
      <c r="Q943" s="5" t="s">
        <v>146</v>
      </c>
      <c r="R943" s="5" t="s">
        <v>183</v>
      </c>
    </row>
    <row r="944" spans="1:18" x14ac:dyDescent="0.3">
      <c r="A944" s="2" t="s">
        <v>2204</v>
      </c>
      <c r="B944" s="1">
        <v>45464</v>
      </c>
      <c r="C944" s="2" t="s">
        <v>2205</v>
      </c>
      <c r="D944" s="2" t="s">
        <v>276</v>
      </c>
      <c r="E944" s="2" t="s">
        <v>425</v>
      </c>
      <c r="F944" s="2" t="s">
        <v>22</v>
      </c>
      <c r="G944" s="2" t="s">
        <v>34</v>
      </c>
      <c r="H944" s="3">
        <v>5</v>
      </c>
      <c r="I944" s="3">
        <v>70.27</v>
      </c>
      <c r="J944" s="2">
        <v>0.1</v>
      </c>
      <c r="K944" s="3">
        <v>15.81</v>
      </c>
      <c r="L944" s="3">
        <v>6.23</v>
      </c>
      <c r="M944" s="3">
        <v>338.26</v>
      </c>
      <c r="N944" s="2" t="s">
        <v>58</v>
      </c>
      <c r="O944" s="2" t="s">
        <v>25</v>
      </c>
      <c r="P944" s="2" t="s">
        <v>26</v>
      </c>
      <c r="Q944" s="2" t="s">
        <v>27</v>
      </c>
      <c r="R944" s="2" t="s">
        <v>38</v>
      </c>
    </row>
    <row r="945" spans="1:18" x14ac:dyDescent="0.3">
      <c r="A945" s="5" t="s">
        <v>2206</v>
      </c>
      <c r="B945" s="4">
        <v>43935</v>
      </c>
      <c r="C945" s="5" t="s">
        <v>2207</v>
      </c>
      <c r="D945" s="5" t="s">
        <v>436</v>
      </c>
      <c r="E945" s="5" t="s">
        <v>88</v>
      </c>
      <c r="F945" s="5" t="s">
        <v>89</v>
      </c>
      <c r="G945" s="5" t="s">
        <v>203</v>
      </c>
      <c r="H945" s="6">
        <v>4</v>
      </c>
      <c r="I945" s="6">
        <v>493.36</v>
      </c>
      <c r="J945" s="5">
        <v>0.15</v>
      </c>
      <c r="K945" s="6">
        <v>83.87</v>
      </c>
      <c r="L945" s="6">
        <v>9.56</v>
      </c>
      <c r="M945" s="6">
        <v>1770.85</v>
      </c>
      <c r="N945" s="5" t="s">
        <v>123</v>
      </c>
      <c r="O945" s="5" t="s">
        <v>25</v>
      </c>
      <c r="P945" s="5" t="s">
        <v>178</v>
      </c>
      <c r="Q945" s="5" t="s">
        <v>69</v>
      </c>
      <c r="R945" s="5" t="s">
        <v>38</v>
      </c>
    </row>
    <row r="946" spans="1:18" x14ac:dyDescent="0.3">
      <c r="A946" s="2" t="s">
        <v>2208</v>
      </c>
      <c r="B946" s="1">
        <v>44953</v>
      </c>
      <c r="C946" s="2" t="s">
        <v>2209</v>
      </c>
      <c r="D946" s="2" t="s">
        <v>128</v>
      </c>
      <c r="E946" s="2" t="s">
        <v>256</v>
      </c>
      <c r="F946" s="2" t="s">
        <v>143</v>
      </c>
      <c r="G946" s="2" t="s">
        <v>23</v>
      </c>
      <c r="H946" s="3">
        <v>3</v>
      </c>
      <c r="I946" s="3">
        <v>321.52</v>
      </c>
      <c r="J946" s="2">
        <v>0</v>
      </c>
      <c r="K946" s="3">
        <v>115.75</v>
      </c>
      <c r="L946" s="3">
        <v>8.6300000000000008</v>
      </c>
      <c r="M946" s="3">
        <v>1088.94</v>
      </c>
      <c r="N946" s="2" t="s">
        <v>123</v>
      </c>
      <c r="O946" s="2" t="s">
        <v>25</v>
      </c>
      <c r="P946" s="2" t="s">
        <v>36</v>
      </c>
      <c r="Q946" s="2" t="s">
        <v>37</v>
      </c>
      <c r="R946" s="2" t="s">
        <v>38</v>
      </c>
    </row>
    <row r="947" spans="1:18" x14ac:dyDescent="0.3">
      <c r="A947" s="5" t="s">
        <v>2210</v>
      </c>
      <c r="B947" s="4">
        <v>44341</v>
      </c>
      <c r="C947" s="5" t="s">
        <v>2211</v>
      </c>
      <c r="D947" s="5" t="s">
        <v>193</v>
      </c>
      <c r="E947" s="5" t="s">
        <v>267</v>
      </c>
      <c r="F947" s="5" t="s">
        <v>89</v>
      </c>
      <c r="G947" s="5" t="s">
        <v>268</v>
      </c>
      <c r="H947" s="6">
        <v>1</v>
      </c>
      <c r="I947" s="6">
        <v>233.92</v>
      </c>
      <c r="J947" s="5">
        <v>0</v>
      </c>
      <c r="K947" s="6">
        <v>28.07</v>
      </c>
      <c r="L947" s="6">
        <v>6.1</v>
      </c>
      <c r="M947" s="6">
        <v>268.08999999999997</v>
      </c>
      <c r="N947" s="5" t="s">
        <v>35</v>
      </c>
      <c r="O947" s="5" t="s">
        <v>25</v>
      </c>
      <c r="P947" s="5" t="s">
        <v>95</v>
      </c>
      <c r="Q947" s="5" t="s">
        <v>37</v>
      </c>
      <c r="R947" s="5" t="s">
        <v>76</v>
      </c>
    </row>
    <row r="948" spans="1:18" x14ac:dyDescent="0.3">
      <c r="A948" s="2" t="s">
        <v>2212</v>
      </c>
      <c r="B948" s="1">
        <v>44215</v>
      </c>
      <c r="C948" s="2" t="s">
        <v>2213</v>
      </c>
      <c r="D948" s="2" t="s">
        <v>1593</v>
      </c>
      <c r="E948" s="2" t="s">
        <v>182</v>
      </c>
      <c r="F948" s="2" t="s">
        <v>33</v>
      </c>
      <c r="G948" s="2" t="s">
        <v>203</v>
      </c>
      <c r="H948" s="3">
        <v>3</v>
      </c>
      <c r="I948" s="3">
        <v>452.94</v>
      </c>
      <c r="J948" s="2">
        <v>0.05</v>
      </c>
      <c r="K948" s="3">
        <v>64.540000000000006</v>
      </c>
      <c r="L948" s="3">
        <v>5.36</v>
      </c>
      <c r="M948" s="3">
        <v>1360.78</v>
      </c>
      <c r="N948" s="2" t="s">
        <v>58</v>
      </c>
      <c r="O948" s="2" t="s">
        <v>25</v>
      </c>
      <c r="P948" s="2" t="s">
        <v>95</v>
      </c>
      <c r="Q948" s="2" t="s">
        <v>37</v>
      </c>
      <c r="R948" s="2" t="s">
        <v>38</v>
      </c>
    </row>
    <row r="949" spans="1:18" x14ac:dyDescent="0.3">
      <c r="A949" s="5" t="s">
        <v>2214</v>
      </c>
      <c r="B949" s="4">
        <v>44235</v>
      </c>
      <c r="C949" s="5" t="s">
        <v>2215</v>
      </c>
      <c r="D949" s="5" t="s">
        <v>368</v>
      </c>
      <c r="E949" s="5" t="s">
        <v>597</v>
      </c>
      <c r="F949" s="5" t="s">
        <v>22</v>
      </c>
      <c r="G949" s="5" t="s">
        <v>198</v>
      </c>
      <c r="H949" s="6">
        <v>5</v>
      </c>
      <c r="I949" s="6">
        <v>104.94</v>
      </c>
      <c r="J949" s="5">
        <v>0</v>
      </c>
      <c r="K949" s="6">
        <v>26.24</v>
      </c>
      <c r="L949" s="6">
        <v>7.71</v>
      </c>
      <c r="M949" s="6">
        <v>558.65</v>
      </c>
      <c r="N949" s="5" t="s">
        <v>24</v>
      </c>
      <c r="O949" s="5" t="s">
        <v>59</v>
      </c>
      <c r="P949" s="5" t="s">
        <v>26</v>
      </c>
      <c r="Q949" s="5" t="s">
        <v>27</v>
      </c>
      <c r="R949" s="5" t="s">
        <v>28</v>
      </c>
    </row>
    <row r="950" spans="1:18" x14ac:dyDescent="0.3">
      <c r="A950" s="2" t="s">
        <v>2216</v>
      </c>
      <c r="B950" s="1">
        <v>44653</v>
      </c>
      <c r="C950" s="2" t="s">
        <v>2217</v>
      </c>
      <c r="D950" s="2" t="s">
        <v>696</v>
      </c>
      <c r="E950" s="2" t="s">
        <v>597</v>
      </c>
      <c r="F950" s="2" t="s">
        <v>22</v>
      </c>
      <c r="G950" s="2" t="s">
        <v>23</v>
      </c>
      <c r="H950" s="3">
        <v>3</v>
      </c>
      <c r="I950" s="3">
        <v>469.04</v>
      </c>
      <c r="J950" s="2">
        <v>0.1</v>
      </c>
      <c r="K950" s="3">
        <v>63.32</v>
      </c>
      <c r="L950" s="3">
        <v>7.86</v>
      </c>
      <c r="M950" s="3">
        <v>1337.59</v>
      </c>
      <c r="N950" s="2" t="s">
        <v>24</v>
      </c>
      <c r="O950" s="2" t="s">
        <v>25</v>
      </c>
      <c r="P950" s="2" t="s">
        <v>124</v>
      </c>
      <c r="Q950" s="2" t="s">
        <v>125</v>
      </c>
      <c r="R950" s="2" t="s">
        <v>38</v>
      </c>
    </row>
    <row r="951" spans="1:18" x14ac:dyDescent="0.3">
      <c r="A951" s="5" t="s">
        <v>2218</v>
      </c>
      <c r="B951" s="4">
        <v>44348</v>
      </c>
      <c r="C951" s="5" t="s">
        <v>2219</v>
      </c>
      <c r="D951" s="5" t="s">
        <v>701</v>
      </c>
      <c r="E951" s="5" t="s">
        <v>106</v>
      </c>
      <c r="F951" s="5" t="s">
        <v>22</v>
      </c>
      <c r="G951" s="5" t="s">
        <v>49</v>
      </c>
      <c r="H951" s="6">
        <v>1</v>
      </c>
      <c r="I951" s="6">
        <v>499.05</v>
      </c>
      <c r="J951" s="5">
        <v>0.3</v>
      </c>
      <c r="K951" s="6">
        <v>62.88</v>
      </c>
      <c r="L951" s="6">
        <v>6.73</v>
      </c>
      <c r="M951" s="6">
        <v>418.94</v>
      </c>
      <c r="N951" s="5" t="s">
        <v>24</v>
      </c>
      <c r="O951" s="5" t="s">
        <v>25</v>
      </c>
      <c r="P951" s="5" t="s">
        <v>83</v>
      </c>
      <c r="Q951" s="5" t="s">
        <v>84</v>
      </c>
      <c r="R951" s="5" t="s">
        <v>38</v>
      </c>
    </row>
    <row r="952" spans="1:18" x14ac:dyDescent="0.3">
      <c r="A952" s="2" t="s">
        <v>2220</v>
      </c>
      <c r="B952" s="1">
        <v>44306</v>
      </c>
      <c r="C952" s="2" t="s">
        <v>2221</v>
      </c>
      <c r="D952" s="2" t="s">
        <v>460</v>
      </c>
      <c r="E952" s="2" t="s">
        <v>577</v>
      </c>
      <c r="F952" s="2" t="s">
        <v>33</v>
      </c>
      <c r="G952" s="2" t="s">
        <v>66</v>
      </c>
      <c r="H952" s="3">
        <v>3</v>
      </c>
      <c r="I952" s="3">
        <v>388.75</v>
      </c>
      <c r="J952" s="2">
        <v>0</v>
      </c>
      <c r="K952" s="3">
        <v>139.94999999999999</v>
      </c>
      <c r="L952" s="3">
        <v>4.57</v>
      </c>
      <c r="M952" s="3">
        <v>1310.77</v>
      </c>
      <c r="N952" s="2" t="s">
        <v>67</v>
      </c>
      <c r="O952" s="2" t="s">
        <v>25</v>
      </c>
      <c r="P952" s="2" t="s">
        <v>26</v>
      </c>
      <c r="Q952" s="2" t="s">
        <v>27</v>
      </c>
      <c r="R952" s="2" t="s">
        <v>38</v>
      </c>
    </row>
    <row r="953" spans="1:18" x14ac:dyDescent="0.3">
      <c r="A953" s="5" t="s">
        <v>2222</v>
      </c>
      <c r="B953" s="4">
        <v>44539</v>
      </c>
      <c r="C953" s="5" t="s">
        <v>2223</v>
      </c>
      <c r="D953" s="5" t="s">
        <v>242</v>
      </c>
      <c r="E953" s="5" t="s">
        <v>577</v>
      </c>
      <c r="F953" s="5" t="s">
        <v>89</v>
      </c>
      <c r="G953" s="5" t="s">
        <v>198</v>
      </c>
      <c r="H953" s="6">
        <v>1</v>
      </c>
      <c r="I953" s="6">
        <v>297.12</v>
      </c>
      <c r="J953" s="5">
        <v>0</v>
      </c>
      <c r="K953" s="6">
        <v>14.86</v>
      </c>
      <c r="L953" s="6">
        <v>6.85</v>
      </c>
      <c r="M953" s="6">
        <v>318.83</v>
      </c>
      <c r="N953" s="5" t="s">
        <v>35</v>
      </c>
      <c r="O953" s="5" t="s">
        <v>82</v>
      </c>
      <c r="P953" s="5" t="s">
        <v>51</v>
      </c>
      <c r="Q953" s="5" t="s">
        <v>52</v>
      </c>
      <c r="R953" s="5" t="s">
        <v>38</v>
      </c>
    </row>
    <row r="954" spans="1:18" x14ac:dyDescent="0.3">
      <c r="A954" s="2" t="s">
        <v>2224</v>
      </c>
      <c r="B954" s="1">
        <v>45499</v>
      </c>
      <c r="C954" s="2" t="s">
        <v>2225</v>
      </c>
      <c r="D954" s="2" t="s">
        <v>558</v>
      </c>
      <c r="E954" s="2" t="s">
        <v>202</v>
      </c>
      <c r="F954" s="2" t="s">
        <v>143</v>
      </c>
      <c r="G954" s="2" t="s">
        <v>23</v>
      </c>
      <c r="H954" s="3">
        <v>1</v>
      </c>
      <c r="I954" s="3">
        <v>237.09</v>
      </c>
      <c r="J954" s="2">
        <v>0</v>
      </c>
      <c r="K954" s="3">
        <v>28.45</v>
      </c>
      <c r="L954" s="3">
        <v>10.17</v>
      </c>
      <c r="M954" s="3">
        <v>275.70999999999998</v>
      </c>
      <c r="N954" s="2" t="s">
        <v>24</v>
      </c>
      <c r="O954" s="2" t="s">
        <v>25</v>
      </c>
      <c r="P954" s="2" t="s">
        <v>112</v>
      </c>
      <c r="Q954" s="2" t="s">
        <v>113</v>
      </c>
      <c r="R954" s="2" t="s">
        <v>38</v>
      </c>
    </row>
    <row r="955" spans="1:18" x14ac:dyDescent="0.3">
      <c r="A955" s="5" t="s">
        <v>2226</v>
      </c>
      <c r="B955" s="4">
        <v>44601</v>
      </c>
      <c r="C955" s="5" t="s">
        <v>2227</v>
      </c>
      <c r="D955" s="5" t="s">
        <v>181</v>
      </c>
      <c r="E955" s="5" t="s">
        <v>48</v>
      </c>
      <c r="F955" s="5" t="s">
        <v>43</v>
      </c>
      <c r="G955" s="5" t="s">
        <v>34</v>
      </c>
      <c r="H955" s="6">
        <v>4</v>
      </c>
      <c r="I955" s="6">
        <v>234.69</v>
      </c>
      <c r="J955" s="5">
        <v>0</v>
      </c>
      <c r="K955" s="6">
        <v>46.94</v>
      </c>
      <c r="L955" s="6">
        <v>4.8</v>
      </c>
      <c r="M955" s="6">
        <v>990.5</v>
      </c>
      <c r="N955" s="5" t="s">
        <v>67</v>
      </c>
      <c r="O955" s="5" t="s">
        <v>107</v>
      </c>
      <c r="P955" s="5" t="s">
        <v>60</v>
      </c>
      <c r="Q955" s="5" t="s">
        <v>37</v>
      </c>
      <c r="R955" s="5" t="s">
        <v>76</v>
      </c>
    </row>
    <row r="956" spans="1:18" x14ac:dyDescent="0.3">
      <c r="A956" s="2" t="s">
        <v>2228</v>
      </c>
      <c r="B956" s="1">
        <v>45291</v>
      </c>
      <c r="C956" s="2" t="s">
        <v>2229</v>
      </c>
      <c r="D956" s="2" t="s">
        <v>1189</v>
      </c>
      <c r="E956" s="2" t="s">
        <v>267</v>
      </c>
      <c r="F956" s="2" t="s">
        <v>81</v>
      </c>
      <c r="G956" s="2" t="s">
        <v>100</v>
      </c>
      <c r="H956" s="3">
        <v>4</v>
      </c>
      <c r="I956" s="3">
        <v>288.5</v>
      </c>
      <c r="J956" s="2">
        <v>0.1</v>
      </c>
      <c r="K956" s="3">
        <v>124.63</v>
      </c>
      <c r="L956" s="3">
        <v>9.8699999999999992</v>
      </c>
      <c r="M956" s="3">
        <v>1173.0999999999999</v>
      </c>
      <c r="N956" s="2" t="s">
        <v>50</v>
      </c>
      <c r="O956" s="2" t="s">
        <v>82</v>
      </c>
      <c r="P956" s="2" t="s">
        <v>150</v>
      </c>
      <c r="Q956" s="2" t="s">
        <v>69</v>
      </c>
      <c r="R956" s="2" t="s">
        <v>38</v>
      </c>
    </row>
    <row r="957" spans="1:18" x14ac:dyDescent="0.3">
      <c r="A957" s="5" t="s">
        <v>2230</v>
      </c>
      <c r="B957" s="4">
        <v>44877</v>
      </c>
      <c r="C957" s="5" t="s">
        <v>2231</v>
      </c>
      <c r="D957" s="5" t="s">
        <v>252</v>
      </c>
      <c r="E957" s="5" t="s">
        <v>197</v>
      </c>
      <c r="F957" s="5" t="s">
        <v>89</v>
      </c>
      <c r="G957" s="5" t="s">
        <v>268</v>
      </c>
      <c r="H957" s="6">
        <v>3</v>
      </c>
      <c r="I957" s="6">
        <v>205.31</v>
      </c>
      <c r="J957" s="5">
        <v>0</v>
      </c>
      <c r="K957" s="6">
        <v>73.91</v>
      </c>
      <c r="L957" s="6">
        <v>11.44</v>
      </c>
      <c r="M957" s="6">
        <v>701.28</v>
      </c>
      <c r="N957" s="5" t="s">
        <v>58</v>
      </c>
      <c r="O957" s="5" t="s">
        <v>25</v>
      </c>
      <c r="P957" s="5" t="s">
        <v>60</v>
      </c>
      <c r="Q957" s="5" t="s">
        <v>37</v>
      </c>
      <c r="R957" s="5" t="s">
        <v>38</v>
      </c>
    </row>
    <row r="958" spans="1:18" x14ac:dyDescent="0.3">
      <c r="A958" s="2" t="s">
        <v>2232</v>
      </c>
      <c r="B958" s="1">
        <v>44827</v>
      </c>
      <c r="C958" s="2" t="s">
        <v>2233</v>
      </c>
      <c r="D958" s="2" t="s">
        <v>1176</v>
      </c>
      <c r="E958" s="2" t="s">
        <v>177</v>
      </c>
      <c r="F958" s="2" t="s">
        <v>22</v>
      </c>
      <c r="G958" s="2" t="s">
        <v>203</v>
      </c>
      <c r="H958" s="3">
        <v>3</v>
      </c>
      <c r="I958" s="3">
        <v>151.82</v>
      </c>
      <c r="J958" s="2">
        <v>0.15</v>
      </c>
      <c r="K958" s="3">
        <v>0</v>
      </c>
      <c r="L958" s="3">
        <v>5.61</v>
      </c>
      <c r="M958" s="3">
        <v>392.75</v>
      </c>
      <c r="N958" s="2" t="s">
        <v>58</v>
      </c>
      <c r="O958" s="2" t="s">
        <v>25</v>
      </c>
      <c r="P958" s="2" t="s">
        <v>112</v>
      </c>
      <c r="Q958" s="2" t="s">
        <v>113</v>
      </c>
      <c r="R958" s="2" t="s">
        <v>38</v>
      </c>
    </row>
    <row r="959" spans="1:18" x14ac:dyDescent="0.3">
      <c r="A959" s="5" t="s">
        <v>2234</v>
      </c>
      <c r="B959" s="4">
        <v>45419</v>
      </c>
      <c r="C959" s="5" t="s">
        <v>2235</v>
      </c>
      <c r="D959" s="5" t="s">
        <v>852</v>
      </c>
      <c r="E959" s="5" t="s">
        <v>94</v>
      </c>
      <c r="F959" s="5" t="s">
        <v>89</v>
      </c>
      <c r="G959" s="5" t="s">
        <v>198</v>
      </c>
      <c r="H959" s="6">
        <v>2</v>
      </c>
      <c r="I959" s="6">
        <v>306.14999999999998</v>
      </c>
      <c r="J959" s="5">
        <v>0.05</v>
      </c>
      <c r="K959" s="6">
        <v>46.53</v>
      </c>
      <c r="L959" s="6">
        <v>13.86</v>
      </c>
      <c r="M959" s="6">
        <v>642.07000000000005</v>
      </c>
      <c r="N959" s="5" t="s">
        <v>24</v>
      </c>
      <c r="O959" s="5" t="s">
        <v>25</v>
      </c>
      <c r="P959" s="5" t="s">
        <v>74</v>
      </c>
      <c r="Q959" s="5" t="s">
        <v>75</v>
      </c>
      <c r="R959" s="5" t="s">
        <v>38</v>
      </c>
    </row>
    <row r="960" spans="1:18" x14ac:dyDescent="0.3">
      <c r="A960" s="2" t="s">
        <v>2236</v>
      </c>
      <c r="B960" s="1">
        <v>44507</v>
      </c>
      <c r="C960" s="2" t="s">
        <v>2237</v>
      </c>
      <c r="D960" s="2" t="s">
        <v>168</v>
      </c>
      <c r="E960" s="2" t="s">
        <v>164</v>
      </c>
      <c r="F960" s="2" t="s">
        <v>22</v>
      </c>
      <c r="G960" s="2" t="s">
        <v>198</v>
      </c>
      <c r="H960" s="3">
        <v>4</v>
      </c>
      <c r="I960" s="3">
        <v>31.14</v>
      </c>
      <c r="J960" s="2">
        <v>0</v>
      </c>
      <c r="K960" s="3">
        <v>0</v>
      </c>
      <c r="L960" s="3">
        <v>10.01</v>
      </c>
      <c r="M960" s="3">
        <v>134.57</v>
      </c>
      <c r="N960" s="2" t="s">
        <v>58</v>
      </c>
      <c r="O960" s="2" t="s">
        <v>144</v>
      </c>
      <c r="P960" s="2" t="s">
        <v>178</v>
      </c>
      <c r="Q960" s="2" t="s">
        <v>69</v>
      </c>
      <c r="R960" s="2" t="s">
        <v>38</v>
      </c>
    </row>
    <row r="961" spans="1:18" x14ac:dyDescent="0.3">
      <c r="A961" s="5" t="s">
        <v>2238</v>
      </c>
      <c r="B961" s="4">
        <v>44544</v>
      </c>
      <c r="C961" s="5" t="s">
        <v>2239</v>
      </c>
      <c r="D961" s="5" t="s">
        <v>263</v>
      </c>
      <c r="E961" s="5" t="s">
        <v>283</v>
      </c>
      <c r="F961" s="5" t="s">
        <v>43</v>
      </c>
      <c r="G961" s="5" t="s">
        <v>90</v>
      </c>
      <c r="H961" s="6">
        <v>4</v>
      </c>
      <c r="I961" s="6">
        <v>147.12</v>
      </c>
      <c r="J961" s="5">
        <v>0.2</v>
      </c>
      <c r="K961" s="6">
        <v>23.54</v>
      </c>
      <c r="L961" s="6">
        <v>3.99</v>
      </c>
      <c r="M961" s="6">
        <v>498.31</v>
      </c>
      <c r="N961" s="5" t="s">
        <v>123</v>
      </c>
      <c r="O961" s="5" t="s">
        <v>25</v>
      </c>
      <c r="P961" s="5" t="s">
        <v>112</v>
      </c>
      <c r="Q961" s="5" t="s">
        <v>113</v>
      </c>
      <c r="R961" s="5" t="s">
        <v>38</v>
      </c>
    </row>
    <row r="962" spans="1:18" x14ac:dyDescent="0.3">
      <c r="A962" s="2" t="s">
        <v>2240</v>
      </c>
      <c r="B962" s="1">
        <v>45312</v>
      </c>
      <c r="C962" s="2" t="s">
        <v>2241</v>
      </c>
      <c r="D962" s="2" t="s">
        <v>1105</v>
      </c>
      <c r="E962" s="2" t="s">
        <v>498</v>
      </c>
      <c r="F962" s="2" t="s">
        <v>143</v>
      </c>
      <c r="G962" s="2" t="s">
        <v>90</v>
      </c>
      <c r="H962" s="3">
        <v>3</v>
      </c>
      <c r="I962" s="3">
        <v>416.67</v>
      </c>
      <c r="J962" s="2">
        <v>0.1</v>
      </c>
      <c r="K962" s="3">
        <v>56.25</v>
      </c>
      <c r="L962" s="3">
        <v>11.92</v>
      </c>
      <c r="M962" s="3">
        <v>1193.18</v>
      </c>
      <c r="N962" s="2" t="s">
        <v>67</v>
      </c>
      <c r="O962" s="2" t="s">
        <v>107</v>
      </c>
      <c r="P962" s="2" t="s">
        <v>117</v>
      </c>
      <c r="Q962" s="2" t="s">
        <v>118</v>
      </c>
      <c r="R962" s="2" t="s">
        <v>38</v>
      </c>
    </row>
    <row r="963" spans="1:18" x14ac:dyDescent="0.3">
      <c r="A963" s="5" t="s">
        <v>2242</v>
      </c>
      <c r="B963" s="4">
        <v>43913</v>
      </c>
      <c r="C963" s="5" t="s">
        <v>2243</v>
      </c>
      <c r="D963" s="5" t="s">
        <v>206</v>
      </c>
      <c r="E963" s="5" t="s">
        <v>73</v>
      </c>
      <c r="F963" s="5" t="s">
        <v>33</v>
      </c>
      <c r="G963" s="5" t="s">
        <v>57</v>
      </c>
      <c r="H963" s="6">
        <v>4</v>
      </c>
      <c r="I963" s="6">
        <v>371.94</v>
      </c>
      <c r="J963" s="5">
        <v>0</v>
      </c>
      <c r="K963" s="6">
        <v>74.39</v>
      </c>
      <c r="L963" s="6">
        <v>5.94</v>
      </c>
      <c r="M963" s="6">
        <v>1568.09</v>
      </c>
      <c r="N963" s="5" t="s">
        <v>35</v>
      </c>
      <c r="O963" s="5" t="s">
        <v>25</v>
      </c>
      <c r="P963" s="5" t="s">
        <v>124</v>
      </c>
      <c r="Q963" s="5" t="s">
        <v>125</v>
      </c>
      <c r="R963" s="5" t="s">
        <v>38</v>
      </c>
    </row>
    <row r="964" spans="1:18" x14ac:dyDescent="0.3">
      <c r="A964" s="2" t="s">
        <v>2244</v>
      </c>
      <c r="B964" s="1">
        <v>44999</v>
      </c>
      <c r="C964" s="2" t="s">
        <v>2245</v>
      </c>
      <c r="D964" s="2" t="s">
        <v>2246</v>
      </c>
      <c r="E964" s="2" t="s">
        <v>349</v>
      </c>
      <c r="F964" s="2" t="s">
        <v>143</v>
      </c>
      <c r="G964" s="2" t="s">
        <v>57</v>
      </c>
      <c r="H964" s="3">
        <v>1</v>
      </c>
      <c r="I964" s="3">
        <v>453.85</v>
      </c>
      <c r="J964" s="2">
        <v>0.2</v>
      </c>
      <c r="K964" s="3">
        <v>43.57</v>
      </c>
      <c r="L964" s="3">
        <v>2</v>
      </c>
      <c r="M964" s="3">
        <v>408.65</v>
      </c>
      <c r="N964" s="2" t="s">
        <v>123</v>
      </c>
      <c r="O964" s="2" t="s">
        <v>107</v>
      </c>
      <c r="P964" s="2" t="s">
        <v>60</v>
      </c>
      <c r="Q964" s="2" t="s">
        <v>37</v>
      </c>
      <c r="R964" s="2" t="s">
        <v>38</v>
      </c>
    </row>
    <row r="965" spans="1:18" x14ac:dyDescent="0.3">
      <c r="A965" s="5" t="s">
        <v>2247</v>
      </c>
      <c r="B965" s="4">
        <v>44939</v>
      </c>
      <c r="C965" s="5" t="s">
        <v>2248</v>
      </c>
      <c r="D965" s="5" t="s">
        <v>389</v>
      </c>
      <c r="E965" s="5" t="s">
        <v>122</v>
      </c>
      <c r="F965" s="5" t="s">
        <v>89</v>
      </c>
      <c r="G965" s="5" t="s">
        <v>23</v>
      </c>
      <c r="H965" s="6">
        <v>4</v>
      </c>
      <c r="I965" s="6">
        <v>530.36</v>
      </c>
      <c r="J965" s="5">
        <v>0.2</v>
      </c>
      <c r="K965" s="6">
        <v>84.86</v>
      </c>
      <c r="L965" s="6">
        <v>10.1</v>
      </c>
      <c r="M965" s="6">
        <v>1792.11</v>
      </c>
      <c r="N965" s="5" t="s">
        <v>24</v>
      </c>
      <c r="O965" s="5" t="s">
        <v>25</v>
      </c>
      <c r="P965" s="5" t="s">
        <v>173</v>
      </c>
      <c r="Q965" s="5" t="s">
        <v>174</v>
      </c>
      <c r="R965" s="5" t="s">
        <v>38</v>
      </c>
    </row>
    <row r="966" spans="1:18" x14ac:dyDescent="0.3">
      <c r="A966" s="2" t="s">
        <v>2249</v>
      </c>
      <c r="B966" s="1">
        <v>44932</v>
      </c>
      <c r="C966" s="2" t="s">
        <v>2250</v>
      </c>
      <c r="D966" s="2" t="s">
        <v>131</v>
      </c>
      <c r="E966" s="2" t="s">
        <v>21</v>
      </c>
      <c r="F966" s="2" t="s">
        <v>81</v>
      </c>
      <c r="G966" s="2" t="s">
        <v>268</v>
      </c>
      <c r="H966" s="3">
        <v>4</v>
      </c>
      <c r="I966" s="3">
        <v>299.77</v>
      </c>
      <c r="J966" s="2">
        <v>0.15</v>
      </c>
      <c r="K966" s="3">
        <v>50.96</v>
      </c>
      <c r="L966" s="3">
        <v>13.65</v>
      </c>
      <c r="M966" s="3">
        <v>1083.83</v>
      </c>
      <c r="N966" s="2" t="s">
        <v>58</v>
      </c>
      <c r="O966" s="2" t="s">
        <v>25</v>
      </c>
      <c r="P966" s="2" t="s">
        <v>51</v>
      </c>
      <c r="Q966" s="2" t="s">
        <v>52</v>
      </c>
      <c r="R966" s="2" t="s">
        <v>38</v>
      </c>
    </row>
    <row r="967" spans="1:18" x14ac:dyDescent="0.3">
      <c r="A967" s="5" t="s">
        <v>2251</v>
      </c>
      <c r="B967" s="4">
        <v>44287</v>
      </c>
      <c r="C967" s="5" t="s">
        <v>2252</v>
      </c>
      <c r="D967" s="5" t="s">
        <v>346</v>
      </c>
      <c r="E967" s="5" t="s">
        <v>156</v>
      </c>
      <c r="F967" s="5" t="s">
        <v>81</v>
      </c>
      <c r="G967" s="5" t="s">
        <v>57</v>
      </c>
      <c r="H967" s="6">
        <v>1</v>
      </c>
      <c r="I967" s="6">
        <v>273.77999999999997</v>
      </c>
      <c r="J967" s="5">
        <v>0.05</v>
      </c>
      <c r="K967" s="6">
        <v>20.81</v>
      </c>
      <c r="L967" s="6">
        <v>11.19</v>
      </c>
      <c r="M967" s="6">
        <v>292.08999999999997</v>
      </c>
      <c r="N967" s="5" t="s">
        <v>35</v>
      </c>
      <c r="O967" s="5" t="s">
        <v>107</v>
      </c>
      <c r="P967" s="5" t="s">
        <v>60</v>
      </c>
      <c r="Q967" s="5" t="s">
        <v>37</v>
      </c>
      <c r="R967" s="5" t="s">
        <v>38</v>
      </c>
    </row>
    <row r="968" spans="1:18" x14ac:dyDescent="0.3">
      <c r="A968" s="2" t="s">
        <v>2253</v>
      </c>
      <c r="B968" s="1">
        <v>43831</v>
      </c>
      <c r="C968" s="2" t="s">
        <v>2254</v>
      </c>
      <c r="D968" s="2" t="s">
        <v>655</v>
      </c>
      <c r="E968" s="2" t="s">
        <v>577</v>
      </c>
      <c r="F968" s="2" t="s">
        <v>81</v>
      </c>
      <c r="G968" s="2" t="s">
        <v>100</v>
      </c>
      <c r="H968" s="3">
        <v>1</v>
      </c>
      <c r="I968" s="3">
        <v>516.11</v>
      </c>
      <c r="J968" s="2">
        <v>0</v>
      </c>
      <c r="K968" s="3">
        <v>25.81</v>
      </c>
      <c r="L968" s="3">
        <v>5.39</v>
      </c>
      <c r="M968" s="3">
        <v>547.30999999999995</v>
      </c>
      <c r="N968" s="2" t="s">
        <v>35</v>
      </c>
      <c r="O968" s="2" t="s">
        <v>25</v>
      </c>
      <c r="P968" s="2" t="s">
        <v>124</v>
      </c>
      <c r="Q968" s="2" t="s">
        <v>125</v>
      </c>
      <c r="R968" s="2" t="s">
        <v>38</v>
      </c>
    </row>
    <row r="969" spans="1:18" x14ac:dyDescent="0.3">
      <c r="A969" s="5" t="s">
        <v>2255</v>
      </c>
      <c r="B969" s="4">
        <v>43881</v>
      </c>
      <c r="C969" s="5" t="s">
        <v>2256</v>
      </c>
      <c r="D969" s="5" t="s">
        <v>1349</v>
      </c>
      <c r="E969" s="5" t="s">
        <v>437</v>
      </c>
      <c r="F969" s="5" t="s">
        <v>22</v>
      </c>
      <c r="G969" s="5" t="s">
        <v>268</v>
      </c>
      <c r="H969" s="6">
        <v>4</v>
      </c>
      <c r="I969" s="6">
        <v>278</v>
      </c>
      <c r="J969" s="5">
        <v>0.2</v>
      </c>
      <c r="K969" s="6">
        <v>71.17</v>
      </c>
      <c r="L969" s="6">
        <v>13.7</v>
      </c>
      <c r="M969" s="6">
        <v>974.47</v>
      </c>
      <c r="N969" s="5" t="s">
        <v>67</v>
      </c>
      <c r="O969" s="5" t="s">
        <v>107</v>
      </c>
      <c r="P969" s="5" t="s">
        <v>68</v>
      </c>
      <c r="Q969" s="5" t="s">
        <v>69</v>
      </c>
      <c r="R969" s="5" t="s">
        <v>38</v>
      </c>
    </row>
    <row r="970" spans="1:18" x14ac:dyDescent="0.3">
      <c r="A970" s="2" t="s">
        <v>2257</v>
      </c>
      <c r="B970" s="1">
        <v>44515</v>
      </c>
      <c r="C970" s="2" t="s">
        <v>2258</v>
      </c>
      <c r="D970" s="2" t="s">
        <v>159</v>
      </c>
      <c r="E970" s="2" t="s">
        <v>42</v>
      </c>
      <c r="F970" s="2" t="s">
        <v>143</v>
      </c>
      <c r="G970" s="2" t="s">
        <v>198</v>
      </c>
      <c r="H970" s="3">
        <v>2</v>
      </c>
      <c r="I970" s="3">
        <v>466.37</v>
      </c>
      <c r="J970" s="2">
        <v>0.1</v>
      </c>
      <c r="K970" s="3">
        <v>67.16</v>
      </c>
      <c r="L970" s="3">
        <v>6.31</v>
      </c>
      <c r="M970" s="3">
        <v>912.94</v>
      </c>
      <c r="N970" s="2" t="s">
        <v>35</v>
      </c>
      <c r="O970" s="2" t="s">
        <v>25</v>
      </c>
      <c r="P970" s="2" t="s">
        <v>124</v>
      </c>
      <c r="Q970" s="2" t="s">
        <v>125</v>
      </c>
      <c r="R970" s="2" t="s">
        <v>38</v>
      </c>
    </row>
    <row r="971" spans="1:18" x14ac:dyDescent="0.3">
      <c r="A971" s="5" t="s">
        <v>2259</v>
      </c>
      <c r="B971" s="4">
        <v>44547</v>
      </c>
      <c r="C971" s="5" t="s">
        <v>2260</v>
      </c>
      <c r="D971" s="5" t="s">
        <v>904</v>
      </c>
      <c r="E971" s="5" t="s">
        <v>111</v>
      </c>
      <c r="F971" s="5" t="s">
        <v>22</v>
      </c>
      <c r="G971" s="5" t="s">
        <v>268</v>
      </c>
      <c r="H971" s="6">
        <v>3</v>
      </c>
      <c r="I971" s="6">
        <v>198.44</v>
      </c>
      <c r="J971" s="5">
        <v>0</v>
      </c>
      <c r="K971" s="6">
        <v>47.63</v>
      </c>
      <c r="L971" s="6">
        <v>10.1</v>
      </c>
      <c r="M971" s="6">
        <v>653.04999999999995</v>
      </c>
      <c r="N971" s="5" t="s">
        <v>58</v>
      </c>
      <c r="O971" s="5" t="s">
        <v>25</v>
      </c>
      <c r="P971" s="5" t="s">
        <v>68</v>
      </c>
      <c r="Q971" s="5" t="s">
        <v>69</v>
      </c>
      <c r="R971" s="5" t="s">
        <v>183</v>
      </c>
    </row>
    <row r="972" spans="1:18" x14ac:dyDescent="0.3">
      <c r="A972" s="2" t="s">
        <v>2261</v>
      </c>
      <c r="B972" s="1">
        <v>45626</v>
      </c>
      <c r="C972" s="2" t="s">
        <v>2262</v>
      </c>
      <c r="D972" s="2" t="s">
        <v>1632</v>
      </c>
      <c r="E972" s="2" t="s">
        <v>48</v>
      </c>
      <c r="F972" s="2" t="s">
        <v>89</v>
      </c>
      <c r="G972" s="2" t="s">
        <v>268</v>
      </c>
      <c r="H972" s="3">
        <v>1</v>
      </c>
      <c r="I972" s="3">
        <v>566.76</v>
      </c>
      <c r="J972" s="2">
        <v>0</v>
      </c>
      <c r="K972" s="3">
        <v>68.010000000000005</v>
      </c>
      <c r="L972" s="3">
        <v>12.09</v>
      </c>
      <c r="M972" s="3">
        <v>646.86</v>
      </c>
      <c r="N972" s="2" t="s">
        <v>58</v>
      </c>
      <c r="O972" s="2" t="s">
        <v>107</v>
      </c>
      <c r="P972" s="2" t="s">
        <v>36</v>
      </c>
      <c r="Q972" s="2" t="s">
        <v>37</v>
      </c>
      <c r="R972" s="2" t="s">
        <v>38</v>
      </c>
    </row>
    <row r="973" spans="1:18" x14ac:dyDescent="0.3">
      <c r="A973" s="5" t="s">
        <v>2263</v>
      </c>
      <c r="B973" s="4">
        <v>45300</v>
      </c>
      <c r="C973" s="5" t="s">
        <v>2264</v>
      </c>
      <c r="D973" s="5" t="s">
        <v>312</v>
      </c>
      <c r="E973" s="5" t="s">
        <v>294</v>
      </c>
      <c r="F973" s="5" t="s">
        <v>143</v>
      </c>
      <c r="G973" s="5" t="s">
        <v>90</v>
      </c>
      <c r="H973" s="6">
        <v>4</v>
      </c>
      <c r="I973" s="6">
        <v>578.16999999999996</v>
      </c>
      <c r="J973" s="5">
        <v>0</v>
      </c>
      <c r="K973" s="6">
        <v>115.63</v>
      </c>
      <c r="L973" s="6">
        <v>0.88</v>
      </c>
      <c r="M973" s="6">
        <v>2429.19</v>
      </c>
      <c r="N973" s="5" t="s">
        <v>58</v>
      </c>
      <c r="O973" s="5" t="s">
        <v>25</v>
      </c>
      <c r="P973" s="5" t="s">
        <v>257</v>
      </c>
      <c r="Q973" s="5" t="s">
        <v>69</v>
      </c>
      <c r="R973" s="5" t="s">
        <v>28</v>
      </c>
    </row>
    <row r="974" spans="1:18" x14ac:dyDescent="0.3">
      <c r="A974" s="2" t="s">
        <v>2265</v>
      </c>
      <c r="B974" s="1">
        <v>44279</v>
      </c>
      <c r="C974" s="2" t="s">
        <v>2266</v>
      </c>
      <c r="D974" s="2" t="s">
        <v>368</v>
      </c>
      <c r="E974" s="2" t="s">
        <v>300</v>
      </c>
      <c r="F974" s="2" t="s">
        <v>33</v>
      </c>
      <c r="G974" s="2" t="s">
        <v>198</v>
      </c>
      <c r="H974" s="3">
        <v>5</v>
      </c>
      <c r="I974" s="3">
        <v>440.1</v>
      </c>
      <c r="J974" s="2">
        <v>0.25</v>
      </c>
      <c r="K974" s="3">
        <v>198.04</v>
      </c>
      <c r="L974" s="3">
        <v>0.63</v>
      </c>
      <c r="M974" s="3">
        <v>1849.04</v>
      </c>
      <c r="N974" s="2" t="s">
        <v>35</v>
      </c>
      <c r="O974" s="2" t="s">
        <v>25</v>
      </c>
      <c r="P974" s="2" t="s">
        <v>145</v>
      </c>
      <c r="Q974" s="2" t="s">
        <v>146</v>
      </c>
      <c r="R974" s="2" t="s">
        <v>183</v>
      </c>
    </row>
    <row r="975" spans="1:18" x14ac:dyDescent="0.3">
      <c r="A975" s="5" t="s">
        <v>2267</v>
      </c>
      <c r="B975" s="4">
        <v>44711</v>
      </c>
      <c r="C975" s="5" t="s">
        <v>2268</v>
      </c>
      <c r="D975" s="5" t="s">
        <v>749</v>
      </c>
      <c r="E975" s="5" t="s">
        <v>132</v>
      </c>
      <c r="F975" s="5" t="s">
        <v>143</v>
      </c>
      <c r="G975" s="5" t="s">
        <v>57</v>
      </c>
      <c r="H975" s="6">
        <v>2</v>
      </c>
      <c r="I975" s="6">
        <v>464.64</v>
      </c>
      <c r="J975" s="5">
        <v>0.05</v>
      </c>
      <c r="K975" s="6">
        <v>0</v>
      </c>
      <c r="L975" s="6">
        <v>4.32</v>
      </c>
      <c r="M975" s="6">
        <v>887.14</v>
      </c>
      <c r="N975" s="5" t="s">
        <v>123</v>
      </c>
      <c r="O975" s="5" t="s">
        <v>107</v>
      </c>
      <c r="P975" s="5" t="s">
        <v>133</v>
      </c>
      <c r="Q975" s="5" t="s">
        <v>134</v>
      </c>
      <c r="R975" s="5" t="s">
        <v>38</v>
      </c>
    </row>
    <row r="976" spans="1:18" x14ac:dyDescent="0.3">
      <c r="A976" s="2" t="s">
        <v>2269</v>
      </c>
      <c r="B976" s="1">
        <v>44318</v>
      </c>
      <c r="C976" s="2" t="s">
        <v>989</v>
      </c>
      <c r="D976" s="2" t="s">
        <v>357</v>
      </c>
      <c r="E976" s="2" t="s">
        <v>32</v>
      </c>
      <c r="F976" s="2" t="s">
        <v>89</v>
      </c>
      <c r="G976" s="2" t="s">
        <v>203</v>
      </c>
      <c r="H976" s="3">
        <v>3</v>
      </c>
      <c r="I976" s="3">
        <v>232.1</v>
      </c>
      <c r="J976" s="2">
        <v>0.2</v>
      </c>
      <c r="K976" s="3">
        <v>27.85</v>
      </c>
      <c r="L976" s="3">
        <v>7.52</v>
      </c>
      <c r="M976" s="3">
        <v>592.41</v>
      </c>
      <c r="N976" s="2" t="s">
        <v>67</v>
      </c>
      <c r="O976" s="2" t="s">
        <v>25</v>
      </c>
      <c r="P976" s="2" t="s">
        <v>257</v>
      </c>
      <c r="Q976" s="2" t="s">
        <v>69</v>
      </c>
      <c r="R976" s="2" t="s">
        <v>38</v>
      </c>
    </row>
    <row r="977" spans="1:18" x14ac:dyDescent="0.3">
      <c r="A977" s="5" t="s">
        <v>2270</v>
      </c>
      <c r="B977" s="4">
        <v>45654</v>
      </c>
      <c r="C977" s="5" t="s">
        <v>2271</v>
      </c>
      <c r="D977" s="5" t="s">
        <v>333</v>
      </c>
      <c r="E977" s="5" t="s">
        <v>267</v>
      </c>
      <c r="F977" s="5" t="s">
        <v>81</v>
      </c>
      <c r="G977" s="5" t="s">
        <v>57</v>
      </c>
      <c r="H977" s="6">
        <v>2</v>
      </c>
      <c r="I977" s="6">
        <v>309.22000000000003</v>
      </c>
      <c r="J977" s="5">
        <v>0</v>
      </c>
      <c r="K977" s="6">
        <v>30.92</v>
      </c>
      <c r="L977" s="6">
        <v>1.17</v>
      </c>
      <c r="M977" s="6">
        <v>650.53</v>
      </c>
      <c r="N977" s="5" t="s">
        <v>67</v>
      </c>
      <c r="O977" s="5" t="s">
        <v>25</v>
      </c>
      <c r="P977" s="5" t="s">
        <v>74</v>
      </c>
      <c r="Q977" s="5" t="s">
        <v>75</v>
      </c>
      <c r="R977" s="5" t="s">
        <v>38</v>
      </c>
    </row>
    <row r="978" spans="1:18" x14ac:dyDescent="0.3">
      <c r="A978" s="2" t="s">
        <v>2272</v>
      </c>
      <c r="B978" s="1">
        <v>43864</v>
      </c>
      <c r="C978" s="2" t="s">
        <v>2273</v>
      </c>
      <c r="D978" s="2" t="s">
        <v>360</v>
      </c>
      <c r="E978" s="2" t="s">
        <v>386</v>
      </c>
      <c r="F978" s="2" t="s">
        <v>143</v>
      </c>
      <c r="G978" s="2" t="s">
        <v>198</v>
      </c>
      <c r="H978" s="3">
        <v>1</v>
      </c>
      <c r="I978" s="3">
        <v>452.51</v>
      </c>
      <c r="J978" s="2">
        <v>0.2</v>
      </c>
      <c r="K978" s="3">
        <v>28.96</v>
      </c>
      <c r="L978" s="3">
        <v>13.73</v>
      </c>
      <c r="M978" s="3">
        <v>404.7</v>
      </c>
      <c r="N978" s="2" t="s">
        <v>24</v>
      </c>
      <c r="O978" s="2" t="s">
        <v>107</v>
      </c>
      <c r="P978" s="2" t="s">
        <v>36</v>
      </c>
      <c r="Q978" s="2" t="s">
        <v>37</v>
      </c>
      <c r="R978" s="2" t="s">
        <v>76</v>
      </c>
    </row>
    <row r="979" spans="1:18" x14ac:dyDescent="0.3">
      <c r="A979" s="5" t="s">
        <v>2274</v>
      </c>
      <c r="B979" s="4">
        <v>45202</v>
      </c>
      <c r="C979" s="5" t="s">
        <v>2275</v>
      </c>
      <c r="D979" s="5" t="s">
        <v>159</v>
      </c>
      <c r="E979" s="5" t="s">
        <v>111</v>
      </c>
      <c r="F979" s="5" t="s">
        <v>33</v>
      </c>
      <c r="G979" s="5" t="s">
        <v>100</v>
      </c>
      <c r="H979" s="6">
        <v>1</v>
      </c>
      <c r="I979" s="6">
        <v>332.74</v>
      </c>
      <c r="J979" s="5">
        <v>0</v>
      </c>
      <c r="K979" s="6">
        <v>39.93</v>
      </c>
      <c r="L979" s="6">
        <v>7.2</v>
      </c>
      <c r="M979" s="6">
        <v>379.87</v>
      </c>
      <c r="N979" s="5" t="s">
        <v>24</v>
      </c>
      <c r="O979" s="5" t="s">
        <v>144</v>
      </c>
      <c r="P979" s="5" t="s">
        <v>101</v>
      </c>
      <c r="Q979" s="5" t="s">
        <v>102</v>
      </c>
      <c r="R979" s="5" t="s">
        <v>38</v>
      </c>
    </row>
    <row r="980" spans="1:18" x14ac:dyDescent="0.3">
      <c r="A980" s="2" t="s">
        <v>2276</v>
      </c>
      <c r="B980" s="1">
        <v>43925</v>
      </c>
      <c r="C980" s="2" t="s">
        <v>2277</v>
      </c>
      <c r="D980" s="2" t="s">
        <v>957</v>
      </c>
      <c r="E980" s="2" t="s">
        <v>231</v>
      </c>
      <c r="F980" s="2" t="s">
        <v>143</v>
      </c>
      <c r="G980" s="2" t="s">
        <v>198</v>
      </c>
      <c r="H980" s="3">
        <v>3</v>
      </c>
      <c r="I980" s="3">
        <v>449.66</v>
      </c>
      <c r="J980" s="2">
        <v>0</v>
      </c>
      <c r="K980" s="3">
        <v>107.92</v>
      </c>
      <c r="L980" s="3">
        <v>0.12</v>
      </c>
      <c r="M980" s="3">
        <v>1457.02</v>
      </c>
      <c r="N980" s="2" t="s">
        <v>58</v>
      </c>
      <c r="O980" s="2" t="s">
        <v>25</v>
      </c>
      <c r="P980" s="2" t="s">
        <v>150</v>
      </c>
      <c r="Q980" s="2" t="s">
        <v>69</v>
      </c>
      <c r="R980" s="2" t="s">
        <v>38</v>
      </c>
    </row>
    <row r="981" spans="1:18" x14ac:dyDescent="0.3">
      <c r="A981" s="5" t="s">
        <v>2278</v>
      </c>
      <c r="B981" s="4">
        <v>44926</v>
      </c>
      <c r="C981" s="5" t="s">
        <v>2279</v>
      </c>
      <c r="D981" s="5" t="s">
        <v>825</v>
      </c>
      <c r="E981" s="5" t="s">
        <v>324</v>
      </c>
      <c r="F981" s="5" t="s">
        <v>81</v>
      </c>
      <c r="G981" s="5" t="s">
        <v>57</v>
      </c>
      <c r="H981" s="6">
        <v>4</v>
      </c>
      <c r="I981" s="6">
        <v>402.24</v>
      </c>
      <c r="J981" s="5">
        <v>0</v>
      </c>
      <c r="K981" s="6">
        <v>128.72</v>
      </c>
      <c r="L981" s="6">
        <v>1.27</v>
      </c>
      <c r="M981" s="6">
        <v>1738.95</v>
      </c>
      <c r="N981" s="5" t="s">
        <v>58</v>
      </c>
      <c r="O981" s="5" t="s">
        <v>25</v>
      </c>
      <c r="P981" s="5" t="s">
        <v>173</v>
      </c>
      <c r="Q981" s="5" t="s">
        <v>174</v>
      </c>
      <c r="R981" s="5" t="s">
        <v>38</v>
      </c>
    </row>
    <row r="982" spans="1:18" x14ac:dyDescent="0.3">
      <c r="A982" s="2" t="s">
        <v>2280</v>
      </c>
      <c r="B982" s="1">
        <v>45405</v>
      </c>
      <c r="C982" s="2" t="s">
        <v>2281</v>
      </c>
      <c r="D982" s="2" t="s">
        <v>662</v>
      </c>
      <c r="E982" s="2" t="s">
        <v>88</v>
      </c>
      <c r="F982" s="2" t="s">
        <v>143</v>
      </c>
      <c r="G982" s="2" t="s">
        <v>23</v>
      </c>
      <c r="H982" s="3">
        <v>1</v>
      </c>
      <c r="I982" s="3">
        <v>210.25</v>
      </c>
      <c r="J982" s="2">
        <v>0</v>
      </c>
      <c r="K982" s="3">
        <v>10.51</v>
      </c>
      <c r="L982" s="3">
        <v>1.21</v>
      </c>
      <c r="M982" s="3">
        <v>221.97</v>
      </c>
      <c r="N982" s="2" t="s">
        <v>123</v>
      </c>
      <c r="O982" s="2" t="s">
        <v>25</v>
      </c>
      <c r="P982" s="2" t="s">
        <v>150</v>
      </c>
      <c r="Q982" s="2" t="s">
        <v>69</v>
      </c>
      <c r="R982" s="2" t="s">
        <v>183</v>
      </c>
    </row>
    <row r="983" spans="1:18" x14ac:dyDescent="0.3">
      <c r="A983" s="5" t="s">
        <v>2282</v>
      </c>
      <c r="B983" s="4">
        <v>43984</v>
      </c>
      <c r="C983" s="5" t="s">
        <v>2283</v>
      </c>
      <c r="D983" s="5" t="s">
        <v>494</v>
      </c>
      <c r="E983" s="5" t="s">
        <v>56</v>
      </c>
      <c r="F983" s="5" t="s">
        <v>33</v>
      </c>
      <c r="G983" s="5" t="s">
        <v>198</v>
      </c>
      <c r="H983" s="6">
        <v>5</v>
      </c>
      <c r="I983" s="6">
        <v>176.23</v>
      </c>
      <c r="J983" s="5">
        <v>0</v>
      </c>
      <c r="K983" s="6">
        <v>105.74</v>
      </c>
      <c r="L983" s="6">
        <v>9.8800000000000008</v>
      </c>
      <c r="M983" s="6">
        <v>996.77</v>
      </c>
      <c r="N983" s="5" t="s">
        <v>35</v>
      </c>
      <c r="O983" s="5" t="s">
        <v>107</v>
      </c>
      <c r="P983" s="5" t="s">
        <v>117</v>
      </c>
      <c r="Q983" s="5" t="s">
        <v>118</v>
      </c>
      <c r="R983" s="5" t="s">
        <v>61</v>
      </c>
    </row>
    <row r="984" spans="1:18" x14ac:dyDescent="0.3">
      <c r="A984" s="2" t="s">
        <v>2284</v>
      </c>
      <c r="B984" s="1">
        <v>44080</v>
      </c>
      <c r="C984" s="2" t="s">
        <v>2285</v>
      </c>
      <c r="D984" s="2" t="s">
        <v>282</v>
      </c>
      <c r="E984" s="2" t="s">
        <v>132</v>
      </c>
      <c r="F984" s="2" t="s">
        <v>89</v>
      </c>
      <c r="G984" s="2" t="s">
        <v>198</v>
      </c>
      <c r="H984" s="3">
        <v>5</v>
      </c>
      <c r="I984" s="3">
        <v>504.78</v>
      </c>
      <c r="J984" s="2">
        <v>0</v>
      </c>
      <c r="K984" s="3">
        <v>201.91</v>
      </c>
      <c r="L984" s="3">
        <v>3.27</v>
      </c>
      <c r="M984" s="3">
        <v>2729.08</v>
      </c>
      <c r="N984" s="2" t="s">
        <v>123</v>
      </c>
      <c r="O984" s="2" t="s">
        <v>25</v>
      </c>
      <c r="P984" s="2" t="s">
        <v>95</v>
      </c>
      <c r="Q984" s="2" t="s">
        <v>37</v>
      </c>
      <c r="R984" s="2" t="s">
        <v>38</v>
      </c>
    </row>
    <row r="985" spans="1:18" x14ac:dyDescent="0.3">
      <c r="A985" s="5" t="s">
        <v>2286</v>
      </c>
      <c r="B985" s="4">
        <v>44504</v>
      </c>
      <c r="C985" s="5" t="s">
        <v>2287</v>
      </c>
      <c r="D985" s="5" t="s">
        <v>320</v>
      </c>
      <c r="E985" s="5" t="s">
        <v>56</v>
      </c>
      <c r="F985" s="5" t="s">
        <v>89</v>
      </c>
      <c r="G985" s="5" t="s">
        <v>66</v>
      </c>
      <c r="H985" s="6">
        <v>4</v>
      </c>
      <c r="I985" s="6">
        <v>214.2</v>
      </c>
      <c r="J985" s="5">
        <v>0</v>
      </c>
      <c r="K985" s="6">
        <v>102.82</v>
      </c>
      <c r="L985" s="6">
        <v>9.9600000000000009</v>
      </c>
      <c r="M985" s="6">
        <v>969.58</v>
      </c>
      <c r="N985" s="5" t="s">
        <v>67</v>
      </c>
      <c r="O985" s="5" t="s">
        <v>25</v>
      </c>
      <c r="P985" s="5" t="s">
        <v>165</v>
      </c>
      <c r="Q985" s="5" t="s">
        <v>37</v>
      </c>
      <c r="R985" s="5" t="s">
        <v>28</v>
      </c>
    </row>
    <row r="986" spans="1:18" x14ac:dyDescent="0.3">
      <c r="A986" s="2" t="s">
        <v>2288</v>
      </c>
      <c r="B986" s="1">
        <v>44268</v>
      </c>
      <c r="C986" s="2" t="s">
        <v>2289</v>
      </c>
      <c r="D986" s="2" t="s">
        <v>1105</v>
      </c>
      <c r="E986" s="2" t="s">
        <v>243</v>
      </c>
      <c r="F986" s="2" t="s">
        <v>33</v>
      </c>
      <c r="G986" s="2" t="s">
        <v>66</v>
      </c>
      <c r="H986" s="3">
        <v>5</v>
      </c>
      <c r="I986" s="3">
        <v>574.23</v>
      </c>
      <c r="J986" s="2">
        <v>0</v>
      </c>
      <c r="K986" s="3">
        <v>229.69</v>
      </c>
      <c r="L986" s="3">
        <v>8.39</v>
      </c>
      <c r="M986" s="3">
        <v>3109.23</v>
      </c>
      <c r="N986" s="2" t="s">
        <v>58</v>
      </c>
      <c r="O986" s="2" t="s">
        <v>25</v>
      </c>
      <c r="P986" s="2" t="s">
        <v>26</v>
      </c>
      <c r="Q986" s="2" t="s">
        <v>27</v>
      </c>
      <c r="R986" s="2" t="s">
        <v>38</v>
      </c>
    </row>
    <row r="987" spans="1:18" x14ac:dyDescent="0.3">
      <c r="A987" s="5" t="s">
        <v>2290</v>
      </c>
      <c r="B987" s="4">
        <v>43948</v>
      </c>
      <c r="C987" s="5" t="s">
        <v>2291</v>
      </c>
      <c r="D987" s="5" t="s">
        <v>206</v>
      </c>
      <c r="E987" s="5" t="s">
        <v>197</v>
      </c>
      <c r="F987" s="5" t="s">
        <v>33</v>
      </c>
      <c r="G987" s="5" t="s">
        <v>198</v>
      </c>
      <c r="H987" s="6">
        <v>5</v>
      </c>
      <c r="I987" s="6">
        <v>94.26</v>
      </c>
      <c r="J987" s="5">
        <v>0.05</v>
      </c>
      <c r="K987" s="6">
        <v>0</v>
      </c>
      <c r="L987" s="6">
        <v>11.49</v>
      </c>
      <c r="M987" s="6">
        <v>459.22</v>
      </c>
      <c r="N987" s="5" t="s">
        <v>58</v>
      </c>
      <c r="O987" s="5" t="s">
        <v>107</v>
      </c>
      <c r="P987" s="5" t="s">
        <v>173</v>
      </c>
      <c r="Q987" s="5" t="s">
        <v>174</v>
      </c>
      <c r="R987" s="5" t="s">
        <v>38</v>
      </c>
    </row>
    <row r="988" spans="1:18" x14ac:dyDescent="0.3">
      <c r="A988" s="2" t="s">
        <v>2292</v>
      </c>
      <c r="B988" s="1">
        <v>44601</v>
      </c>
      <c r="C988" s="2" t="s">
        <v>2293</v>
      </c>
      <c r="D988" s="2" t="s">
        <v>1580</v>
      </c>
      <c r="E988" s="2" t="s">
        <v>349</v>
      </c>
      <c r="F988" s="2" t="s">
        <v>33</v>
      </c>
      <c r="G988" s="2" t="s">
        <v>268</v>
      </c>
      <c r="H988" s="3">
        <v>2</v>
      </c>
      <c r="I988" s="3">
        <v>518.37</v>
      </c>
      <c r="J988" s="2">
        <v>0</v>
      </c>
      <c r="K988" s="3">
        <v>124.41</v>
      </c>
      <c r="L988" s="3">
        <v>4.05</v>
      </c>
      <c r="M988" s="3">
        <v>1165.2</v>
      </c>
      <c r="N988" s="2" t="s">
        <v>35</v>
      </c>
      <c r="O988" s="2" t="s">
        <v>25</v>
      </c>
      <c r="P988" s="2" t="s">
        <v>124</v>
      </c>
      <c r="Q988" s="2" t="s">
        <v>125</v>
      </c>
      <c r="R988" s="2" t="s">
        <v>38</v>
      </c>
    </row>
    <row r="989" spans="1:18" x14ac:dyDescent="0.3">
      <c r="A989" s="5" t="s">
        <v>2294</v>
      </c>
      <c r="B989" s="4">
        <v>45160</v>
      </c>
      <c r="C989" s="5" t="s">
        <v>2295</v>
      </c>
      <c r="D989" s="5" t="s">
        <v>574</v>
      </c>
      <c r="E989" s="5" t="s">
        <v>287</v>
      </c>
      <c r="F989" s="5" t="s">
        <v>143</v>
      </c>
      <c r="G989" s="5" t="s">
        <v>49</v>
      </c>
      <c r="H989" s="6">
        <v>2</v>
      </c>
      <c r="I989" s="6">
        <v>427.16</v>
      </c>
      <c r="J989" s="5">
        <v>0</v>
      </c>
      <c r="K989" s="6">
        <v>102.52</v>
      </c>
      <c r="L989" s="6">
        <v>4.1500000000000004</v>
      </c>
      <c r="M989" s="6">
        <v>960.99</v>
      </c>
      <c r="N989" s="5" t="s">
        <v>123</v>
      </c>
      <c r="O989" s="5" t="s">
        <v>25</v>
      </c>
      <c r="P989" s="5" t="s">
        <v>36</v>
      </c>
      <c r="Q989" s="5" t="s">
        <v>37</v>
      </c>
      <c r="R989" s="5" t="s">
        <v>76</v>
      </c>
    </row>
    <row r="990" spans="1:18" x14ac:dyDescent="0.3">
      <c r="A990" s="2" t="s">
        <v>2296</v>
      </c>
      <c r="B990" s="1">
        <v>44098</v>
      </c>
      <c r="C990" s="2" t="s">
        <v>2297</v>
      </c>
      <c r="D990" s="2" t="s">
        <v>690</v>
      </c>
      <c r="E990" s="2" t="s">
        <v>156</v>
      </c>
      <c r="F990" s="2" t="s">
        <v>143</v>
      </c>
      <c r="G990" s="2" t="s">
        <v>268</v>
      </c>
      <c r="H990" s="3">
        <v>5</v>
      </c>
      <c r="I990" s="3">
        <v>498.31</v>
      </c>
      <c r="J990" s="2">
        <v>0</v>
      </c>
      <c r="K990" s="3">
        <v>199.32</v>
      </c>
      <c r="L990" s="3">
        <v>12.95</v>
      </c>
      <c r="M990" s="3">
        <v>2703.82</v>
      </c>
      <c r="N990" s="2" t="s">
        <v>67</v>
      </c>
      <c r="O990" s="2" t="s">
        <v>25</v>
      </c>
      <c r="P990" s="2" t="s">
        <v>165</v>
      </c>
      <c r="Q990" s="2" t="s">
        <v>37</v>
      </c>
      <c r="R990" s="2" t="s">
        <v>38</v>
      </c>
    </row>
    <row r="991" spans="1:18" x14ac:dyDescent="0.3">
      <c r="A991" s="5" t="s">
        <v>2298</v>
      </c>
      <c r="B991" s="4">
        <v>44908</v>
      </c>
      <c r="C991" s="5" t="s">
        <v>2299</v>
      </c>
      <c r="D991" s="5" t="s">
        <v>98</v>
      </c>
      <c r="E991" s="5" t="s">
        <v>386</v>
      </c>
      <c r="F991" s="5" t="s">
        <v>43</v>
      </c>
      <c r="G991" s="5" t="s">
        <v>90</v>
      </c>
      <c r="H991" s="6">
        <v>5</v>
      </c>
      <c r="I991" s="6">
        <v>525.02</v>
      </c>
      <c r="J991" s="5">
        <v>0.15</v>
      </c>
      <c r="K991" s="6">
        <v>178.51</v>
      </c>
      <c r="L991" s="6">
        <v>4.3899999999999997</v>
      </c>
      <c r="M991" s="6">
        <v>2414.2399999999998</v>
      </c>
      <c r="N991" s="5" t="s">
        <v>35</v>
      </c>
      <c r="O991" s="5" t="s">
        <v>25</v>
      </c>
      <c r="P991" s="5" t="s">
        <v>150</v>
      </c>
      <c r="Q991" s="5" t="s">
        <v>69</v>
      </c>
      <c r="R991" s="5" t="s">
        <v>76</v>
      </c>
    </row>
    <row r="992" spans="1:18" x14ac:dyDescent="0.3">
      <c r="A992" s="2" t="s">
        <v>2300</v>
      </c>
      <c r="B992" s="1">
        <v>44066</v>
      </c>
      <c r="C992" s="2" t="s">
        <v>2301</v>
      </c>
      <c r="D992" s="2" t="s">
        <v>255</v>
      </c>
      <c r="E992" s="2" t="s">
        <v>132</v>
      </c>
      <c r="F992" s="2" t="s">
        <v>22</v>
      </c>
      <c r="G992" s="2" t="s">
        <v>203</v>
      </c>
      <c r="H992" s="3">
        <v>5</v>
      </c>
      <c r="I992" s="3">
        <v>240.73</v>
      </c>
      <c r="J992" s="2">
        <v>0.15</v>
      </c>
      <c r="K992" s="3">
        <v>81.849999999999994</v>
      </c>
      <c r="L992" s="3">
        <v>6.73</v>
      </c>
      <c r="M992" s="3">
        <v>1111.68</v>
      </c>
      <c r="N992" s="2" t="s">
        <v>35</v>
      </c>
      <c r="O992" s="2" t="s">
        <v>25</v>
      </c>
      <c r="P992" s="2" t="s">
        <v>178</v>
      </c>
      <c r="Q992" s="2" t="s">
        <v>69</v>
      </c>
      <c r="R992" s="2" t="s">
        <v>38</v>
      </c>
    </row>
    <row r="993" spans="1:18" x14ac:dyDescent="0.3">
      <c r="A993" s="5" t="s">
        <v>2302</v>
      </c>
      <c r="B993" s="4">
        <v>44219</v>
      </c>
      <c r="C993" s="5" t="s">
        <v>2303</v>
      </c>
      <c r="D993" s="5" t="s">
        <v>172</v>
      </c>
      <c r="E993" s="5" t="s">
        <v>65</v>
      </c>
      <c r="F993" s="5" t="s">
        <v>33</v>
      </c>
      <c r="G993" s="5" t="s">
        <v>268</v>
      </c>
      <c r="H993" s="6">
        <v>5</v>
      </c>
      <c r="I993" s="6">
        <v>219.88</v>
      </c>
      <c r="J993" s="5">
        <v>0.05</v>
      </c>
      <c r="K993" s="6">
        <v>52.22</v>
      </c>
      <c r="L993" s="6">
        <v>14.84</v>
      </c>
      <c r="M993" s="6">
        <v>1111.49</v>
      </c>
      <c r="N993" s="5" t="s">
        <v>58</v>
      </c>
      <c r="O993" s="5" t="s">
        <v>25</v>
      </c>
      <c r="P993" s="5" t="s">
        <v>150</v>
      </c>
      <c r="Q993" s="5" t="s">
        <v>69</v>
      </c>
      <c r="R993" s="5" t="s">
        <v>38</v>
      </c>
    </row>
    <row r="994" spans="1:18" x14ac:dyDescent="0.3">
      <c r="A994" s="2" t="s">
        <v>2304</v>
      </c>
      <c r="B994" s="1">
        <v>44820</v>
      </c>
      <c r="C994" s="2" t="s">
        <v>2305</v>
      </c>
      <c r="D994" s="2" t="s">
        <v>855</v>
      </c>
      <c r="E994" s="2" t="s">
        <v>577</v>
      </c>
      <c r="F994" s="2" t="s">
        <v>143</v>
      </c>
      <c r="G994" s="2" t="s">
        <v>100</v>
      </c>
      <c r="H994" s="3">
        <v>1</v>
      </c>
      <c r="I994" s="3">
        <v>202.33</v>
      </c>
      <c r="J994" s="2">
        <v>0</v>
      </c>
      <c r="K994" s="3">
        <v>10.119999999999999</v>
      </c>
      <c r="L994" s="3">
        <v>9.1</v>
      </c>
      <c r="M994" s="3">
        <v>221.55</v>
      </c>
      <c r="N994" s="2" t="s">
        <v>24</v>
      </c>
      <c r="O994" s="2" t="s">
        <v>25</v>
      </c>
      <c r="P994" s="2" t="s">
        <v>150</v>
      </c>
      <c r="Q994" s="2" t="s">
        <v>69</v>
      </c>
      <c r="R994" s="2" t="s">
        <v>28</v>
      </c>
    </row>
    <row r="995" spans="1:18" x14ac:dyDescent="0.3">
      <c r="A995" s="5" t="s">
        <v>2306</v>
      </c>
      <c r="B995" s="4">
        <v>45588</v>
      </c>
      <c r="C995" s="5" t="s">
        <v>2307</v>
      </c>
      <c r="D995" s="5" t="s">
        <v>320</v>
      </c>
      <c r="E995" s="5" t="s">
        <v>156</v>
      </c>
      <c r="F995" s="5" t="s">
        <v>33</v>
      </c>
      <c r="G995" s="5" t="s">
        <v>198</v>
      </c>
      <c r="H995" s="6">
        <v>4</v>
      </c>
      <c r="I995" s="6">
        <v>327.29000000000002</v>
      </c>
      <c r="J995" s="5">
        <v>0.1</v>
      </c>
      <c r="K995" s="6">
        <v>0</v>
      </c>
      <c r="L995" s="6">
        <v>1.04</v>
      </c>
      <c r="M995" s="6">
        <v>1179.28</v>
      </c>
      <c r="N995" s="5" t="s">
        <v>58</v>
      </c>
      <c r="O995" s="5" t="s">
        <v>25</v>
      </c>
      <c r="P995" s="5" t="s">
        <v>51</v>
      </c>
      <c r="Q995" s="5" t="s">
        <v>52</v>
      </c>
      <c r="R995" s="5" t="s">
        <v>38</v>
      </c>
    </row>
    <row r="996" spans="1:18" x14ac:dyDescent="0.3">
      <c r="A996" s="2" t="s">
        <v>2308</v>
      </c>
      <c r="B996" s="1">
        <v>44593</v>
      </c>
      <c r="C996" s="2" t="s">
        <v>2309</v>
      </c>
      <c r="D996" s="2" t="s">
        <v>424</v>
      </c>
      <c r="E996" s="2" t="s">
        <v>48</v>
      </c>
      <c r="F996" s="2" t="s">
        <v>143</v>
      </c>
      <c r="G996" s="2" t="s">
        <v>100</v>
      </c>
      <c r="H996" s="3">
        <v>1</v>
      </c>
      <c r="I996" s="3">
        <v>28.68</v>
      </c>
      <c r="J996" s="2">
        <v>0</v>
      </c>
      <c r="K996" s="3">
        <v>2.29</v>
      </c>
      <c r="L996" s="3">
        <v>4.46</v>
      </c>
      <c r="M996" s="3">
        <v>35.43</v>
      </c>
      <c r="N996" s="2" t="s">
        <v>35</v>
      </c>
      <c r="O996" s="2" t="s">
        <v>25</v>
      </c>
      <c r="P996" s="2" t="s">
        <v>145</v>
      </c>
      <c r="Q996" s="2" t="s">
        <v>146</v>
      </c>
      <c r="R996" s="2" t="s">
        <v>38</v>
      </c>
    </row>
    <row r="997" spans="1:18" x14ac:dyDescent="0.3">
      <c r="A997" s="5" t="s">
        <v>2310</v>
      </c>
      <c r="B997" s="4">
        <v>44231</v>
      </c>
      <c r="C997" s="5" t="s">
        <v>2311</v>
      </c>
      <c r="D997" s="5" t="s">
        <v>286</v>
      </c>
      <c r="E997" s="5" t="s">
        <v>106</v>
      </c>
      <c r="F997" s="5" t="s">
        <v>43</v>
      </c>
      <c r="G997" s="5" t="s">
        <v>49</v>
      </c>
      <c r="H997" s="6">
        <v>3</v>
      </c>
      <c r="I997" s="6">
        <v>205.85</v>
      </c>
      <c r="J997" s="5">
        <v>0.05</v>
      </c>
      <c r="K997" s="6">
        <v>46.93</v>
      </c>
      <c r="L997" s="6">
        <v>4.1100000000000003</v>
      </c>
      <c r="M997" s="6">
        <v>637.71</v>
      </c>
      <c r="N997" s="5" t="s">
        <v>58</v>
      </c>
      <c r="O997" s="5" t="s">
        <v>25</v>
      </c>
      <c r="P997" s="5" t="s">
        <v>83</v>
      </c>
      <c r="Q997" s="5" t="s">
        <v>84</v>
      </c>
      <c r="R997" s="5" t="s">
        <v>38</v>
      </c>
    </row>
    <row r="998" spans="1:18" x14ac:dyDescent="0.3">
      <c r="A998" s="2" t="s">
        <v>2312</v>
      </c>
      <c r="B998" s="1">
        <v>44454</v>
      </c>
      <c r="C998" s="2" t="s">
        <v>2313</v>
      </c>
      <c r="D998" s="2" t="s">
        <v>566</v>
      </c>
      <c r="E998" s="2" t="s">
        <v>300</v>
      </c>
      <c r="F998" s="2" t="s">
        <v>33</v>
      </c>
      <c r="G998" s="2" t="s">
        <v>49</v>
      </c>
      <c r="H998" s="3">
        <v>3</v>
      </c>
      <c r="I998" s="3">
        <v>354.79</v>
      </c>
      <c r="J998" s="2">
        <v>0</v>
      </c>
      <c r="K998" s="3">
        <v>127.72</v>
      </c>
      <c r="L998" s="3">
        <v>6.11</v>
      </c>
      <c r="M998" s="3">
        <v>1198.2</v>
      </c>
      <c r="N998" s="2" t="s">
        <v>58</v>
      </c>
      <c r="O998" s="2" t="s">
        <v>25</v>
      </c>
      <c r="P998" s="2" t="s">
        <v>83</v>
      </c>
      <c r="Q998" s="2" t="s">
        <v>84</v>
      </c>
      <c r="R998" s="2" t="s">
        <v>38</v>
      </c>
    </row>
    <row r="999" spans="1:18" x14ac:dyDescent="0.3">
      <c r="A999" s="5" t="s">
        <v>2314</v>
      </c>
      <c r="B999" s="4">
        <v>44597</v>
      </c>
      <c r="C999" s="5" t="s">
        <v>2315</v>
      </c>
      <c r="D999" s="5" t="s">
        <v>734</v>
      </c>
      <c r="E999" s="5" t="s">
        <v>597</v>
      </c>
      <c r="F999" s="5" t="s">
        <v>43</v>
      </c>
      <c r="G999" s="5" t="s">
        <v>49</v>
      </c>
      <c r="H999" s="6">
        <v>4</v>
      </c>
      <c r="I999" s="6">
        <v>468.74</v>
      </c>
      <c r="J999" s="5">
        <v>0.05</v>
      </c>
      <c r="K999" s="6">
        <v>320.62</v>
      </c>
      <c r="L999" s="6">
        <v>1.2</v>
      </c>
      <c r="M999" s="6">
        <v>2103.0300000000002</v>
      </c>
      <c r="N999" s="5" t="s">
        <v>123</v>
      </c>
      <c r="O999" s="5" t="s">
        <v>25</v>
      </c>
      <c r="P999" s="5" t="s">
        <v>44</v>
      </c>
      <c r="Q999" s="5" t="s">
        <v>37</v>
      </c>
      <c r="R999" s="5" t="s">
        <v>38</v>
      </c>
    </row>
    <row r="1000" spans="1:18" x14ac:dyDescent="0.3">
      <c r="A1000" s="2" t="s">
        <v>2316</v>
      </c>
      <c r="B1000" s="1">
        <v>45157</v>
      </c>
      <c r="C1000" s="2" t="s">
        <v>2317</v>
      </c>
      <c r="D1000" s="2" t="s">
        <v>511</v>
      </c>
      <c r="E1000" s="2" t="s">
        <v>220</v>
      </c>
      <c r="F1000" s="2" t="s">
        <v>33</v>
      </c>
      <c r="G1000" s="2" t="s">
        <v>57</v>
      </c>
      <c r="H1000" s="3">
        <v>4</v>
      </c>
      <c r="I1000" s="3">
        <v>44.82</v>
      </c>
      <c r="J1000" s="2">
        <v>0.05</v>
      </c>
      <c r="K1000" s="3">
        <v>13.63</v>
      </c>
      <c r="L1000" s="3">
        <v>0.53</v>
      </c>
      <c r="M1000" s="3">
        <v>184.48</v>
      </c>
      <c r="N1000" s="2" t="s">
        <v>67</v>
      </c>
      <c r="O1000" s="2" t="s">
        <v>144</v>
      </c>
      <c r="P1000" s="2" t="s">
        <v>117</v>
      </c>
      <c r="Q1000" s="2" t="s">
        <v>118</v>
      </c>
      <c r="R1000" s="2" t="s">
        <v>38</v>
      </c>
    </row>
    <row r="1001" spans="1:18" x14ac:dyDescent="0.3">
      <c r="A1001" s="5" t="s">
        <v>2318</v>
      </c>
      <c r="B1001" s="4">
        <v>44749</v>
      </c>
      <c r="C1001" s="5" t="s">
        <v>2319</v>
      </c>
      <c r="D1001" s="5" t="s">
        <v>405</v>
      </c>
      <c r="E1001" s="5" t="s">
        <v>425</v>
      </c>
      <c r="F1001" s="5" t="s">
        <v>143</v>
      </c>
      <c r="G1001" s="5" t="s">
        <v>23</v>
      </c>
      <c r="H1001" s="6">
        <v>5</v>
      </c>
      <c r="I1001" s="6">
        <v>137.56</v>
      </c>
      <c r="J1001" s="5">
        <v>0</v>
      </c>
      <c r="K1001" s="6">
        <v>34.39</v>
      </c>
      <c r="L1001" s="6">
        <v>9.0399999999999991</v>
      </c>
      <c r="M1001" s="6">
        <v>731.23</v>
      </c>
      <c r="N1001" s="5" t="s">
        <v>123</v>
      </c>
      <c r="O1001" s="5" t="s">
        <v>144</v>
      </c>
      <c r="P1001" s="5" t="s">
        <v>83</v>
      </c>
      <c r="Q1001" s="5" t="s">
        <v>84</v>
      </c>
      <c r="R1001" s="5" t="s">
        <v>38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975EA-7F24-4815-A91F-D20FC0163399}">
  <dimension ref="A1:AB8"/>
  <sheetViews>
    <sheetView showGridLines="0" tabSelected="1" zoomScale="88" zoomScaleNormal="90" workbookViewId="0">
      <selection activeCell="Y22" sqref="Y22"/>
    </sheetView>
  </sheetViews>
  <sheetFormatPr defaultRowHeight="14.4" x14ac:dyDescent="0.3"/>
  <sheetData>
    <row r="1" spans="1:28" ht="14.4" customHeight="1" x14ac:dyDescent="0.3">
      <c r="A1" s="21" t="s">
        <v>2331</v>
      </c>
      <c r="B1" s="21"/>
      <c r="C1" s="21"/>
      <c r="D1" s="21"/>
      <c r="E1" s="21"/>
      <c r="F1" s="21"/>
      <c r="G1" s="21"/>
      <c r="H1" s="21"/>
      <c r="I1" s="21"/>
      <c r="J1" s="21"/>
      <c r="K1" s="21"/>
      <c r="L1" s="21"/>
      <c r="M1" s="21"/>
      <c r="N1" s="21"/>
      <c r="O1" s="21"/>
      <c r="P1" s="21"/>
      <c r="Q1" s="21"/>
      <c r="R1" s="21"/>
      <c r="S1" s="21"/>
      <c r="T1" s="21"/>
      <c r="U1" s="21"/>
      <c r="V1" s="21"/>
      <c r="W1" s="21"/>
      <c r="X1" s="21"/>
      <c r="Y1" s="21"/>
      <c r="Z1" s="21"/>
      <c r="AA1" s="15"/>
      <c r="AB1" s="15"/>
    </row>
    <row r="2" spans="1:28" ht="27.6" customHeight="1" x14ac:dyDescent="0.3">
      <c r="A2" s="21"/>
      <c r="B2" s="21"/>
      <c r="C2" s="21"/>
      <c r="D2" s="21"/>
      <c r="E2" s="21"/>
      <c r="F2" s="21"/>
      <c r="G2" s="21"/>
      <c r="H2" s="21"/>
      <c r="I2" s="21"/>
      <c r="J2" s="21"/>
      <c r="K2" s="21"/>
      <c r="L2" s="21"/>
      <c r="M2" s="21"/>
      <c r="N2" s="21"/>
      <c r="O2" s="21"/>
      <c r="P2" s="21"/>
      <c r="Q2" s="21"/>
      <c r="R2" s="21"/>
      <c r="S2" s="21"/>
      <c r="T2" s="21"/>
      <c r="U2" s="21"/>
      <c r="V2" s="21"/>
      <c r="W2" s="21"/>
      <c r="X2" s="21"/>
      <c r="Y2" s="21"/>
      <c r="Z2" s="21"/>
      <c r="AA2" s="15"/>
      <c r="AB2" s="15"/>
    </row>
    <row r="3" spans="1:28" ht="14.4" customHeight="1" x14ac:dyDescent="0.3">
      <c r="A3" s="21"/>
      <c r="B3" s="21"/>
      <c r="C3" s="21"/>
      <c r="D3" s="21"/>
      <c r="E3" s="21"/>
      <c r="F3" s="21"/>
      <c r="G3" s="21"/>
      <c r="H3" s="21"/>
      <c r="I3" s="21"/>
      <c r="J3" s="21"/>
      <c r="K3" s="21"/>
      <c r="L3" s="21"/>
      <c r="M3" s="21"/>
      <c r="N3" s="21"/>
      <c r="O3" s="21"/>
      <c r="P3" s="21"/>
      <c r="Q3" s="21"/>
      <c r="R3" s="21"/>
      <c r="S3" s="21"/>
      <c r="T3" s="21"/>
      <c r="U3" s="21"/>
      <c r="V3" s="21"/>
      <c r="W3" s="21"/>
      <c r="X3" s="21"/>
      <c r="Y3" s="21"/>
      <c r="Z3" s="21"/>
      <c r="AA3" s="15"/>
      <c r="AB3" s="15"/>
    </row>
    <row r="5" spans="1:28" ht="14.4" customHeight="1" x14ac:dyDescent="0.3">
      <c r="A5" s="22" t="s">
        <v>2349</v>
      </c>
      <c r="B5" s="22"/>
      <c r="C5" s="22"/>
      <c r="D5" s="22"/>
      <c r="E5" s="23" t="s">
        <v>2332</v>
      </c>
      <c r="F5" s="24"/>
      <c r="G5" s="24"/>
      <c r="H5" s="24"/>
      <c r="J5" s="26" t="s">
        <v>2333</v>
      </c>
      <c r="K5" s="27"/>
      <c r="L5" s="27"/>
      <c r="M5" s="27"/>
      <c r="O5" s="17" t="s">
        <v>2334</v>
      </c>
      <c r="P5" s="17"/>
      <c r="Q5" s="17"/>
      <c r="R5" s="17"/>
      <c r="T5" s="19" t="s">
        <v>2335</v>
      </c>
      <c r="U5" s="19"/>
      <c r="V5" s="19"/>
    </row>
    <row r="6" spans="1:28" ht="14.4" customHeight="1" x14ac:dyDescent="0.3">
      <c r="A6" s="22"/>
      <c r="B6" s="22"/>
      <c r="C6" s="22"/>
      <c r="D6" s="22"/>
      <c r="E6" s="24"/>
      <c r="F6" s="24"/>
      <c r="G6" s="24"/>
      <c r="H6" s="24"/>
      <c r="J6" s="27"/>
      <c r="K6" s="27"/>
      <c r="L6" s="27"/>
      <c r="M6" s="27"/>
      <c r="O6" s="17"/>
      <c r="P6" s="17"/>
      <c r="Q6" s="17"/>
      <c r="R6" s="17"/>
      <c r="T6" s="19"/>
      <c r="U6" s="19"/>
      <c r="V6" s="19"/>
    </row>
    <row r="7" spans="1:28" ht="14.4" customHeight="1" x14ac:dyDescent="0.3">
      <c r="A7" s="22"/>
      <c r="B7" s="22"/>
      <c r="C7" s="22"/>
      <c r="D7" s="22"/>
      <c r="E7" s="25">
        <f>GETPIVOTDATA("TotalAmount",Sheet2!$A$3)</f>
        <v>917875.89999999991</v>
      </c>
      <c r="F7" s="25"/>
      <c r="G7" s="25"/>
      <c r="H7" s="25"/>
      <c r="J7" s="18">
        <f>GETPIVOTDATA("OrderID",Sheet5!$A$3)</f>
        <v>1000</v>
      </c>
      <c r="K7" s="18"/>
      <c r="L7" s="18"/>
      <c r="M7" s="18"/>
      <c r="O7" s="18">
        <f>GETPIVOTDATA("Quantity",Sheet8!$A$3)</f>
        <v>787</v>
      </c>
      <c r="P7" s="18"/>
      <c r="Q7" s="18"/>
      <c r="R7" s="18"/>
      <c r="T7" s="20">
        <f>E7/J7</f>
        <v>917.87589999999989</v>
      </c>
      <c r="U7" s="20"/>
      <c r="V7" s="20"/>
    </row>
    <row r="8" spans="1:28" ht="14.4" customHeight="1" x14ac:dyDescent="0.3">
      <c r="E8" s="25"/>
      <c r="F8" s="25"/>
      <c r="G8" s="25"/>
      <c r="H8" s="25"/>
      <c r="J8" s="18"/>
      <c r="K8" s="18"/>
      <c r="L8" s="18"/>
      <c r="M8" s="18"/>
      <c r="O8" s="18"/>
      <c r="P8" s="18"/>
      <c r="Q8" s="18"/>
      <c r="R8" s="18"/>
      <c r="T8" s="20"/>
      <c r="U8" s="20"/>
      <c r="V8" s="20"/>
    </row>
  </sheetData>
  <mergeCells count="10">
    <mergeCell ref="O5:R6"/>
    <mergeCell ref="O7:R8"/>
    <mergeCell ref="T5:V6"/>
    <mergeCell ref="T7:V8"/>
    <mergeCell ref="A1:Z3"/>
    <mergeCell ref="A5:D7"/>
    <mergeCell ref="E5:H6"/>
    <mergeCell ref="E7:H8"/>
    <mergeCell ref="J5:M6"/>
    <mergeCell ref="J7:M8"/>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7BDFCA-135B-4677-9383-BCA9009B93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Detail1</vt:lpstr>
      <vt:lpstr>Sheet2</vt:lpstr>
      <vt:lpstr>Sheet3</vt:lpstr>
      <vt:lpstr>Sheet4</vt:lpstr>
      <vt:lpstr>Sheet5</vt:lpstr>
      <vt:lpstr>Sheet6</vt:lpstr>
      <vt:lpstr>Sheet8</vt:lpstr>
      <vt:lpstr>Sheet11</vt:lpstr>
      <vt:lpstr>Sheet1</vt:lpstr>
      <vt:lpstr>final_result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komal komal</dc:creator>
  <cp:lastModifiedBy>komal komal</cp:lastModifiedBy>
  <dcterms:created xsi:type="dcterms:W3CDTF">2026-07-16T21:28:22Z</dcterms:created>
  <dcterms:modified xsi:type="dcterms:W3CDTF">2026-07-22T04:17:31Z</dcterms:modified>
</cp:coreProperties>
</file>